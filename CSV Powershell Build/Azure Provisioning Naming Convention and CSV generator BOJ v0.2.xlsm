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queryTables/queryTable6.xml" ContentType="application/vnd.openxmlformats-officedocument.spreadsheetml.queryTable+xml"/>
  <Override PartName="/xl/tables/table8.xml" ContentType="application/vnd.openxmlformats-officedocument.spreadsheetml.table+xml"/>
  <Override PartName="/xl/queryTables/queryTable7.xml" ContentType="application/vnd.openxmlformats-officedocument.spreadsheetml.queryTable+xml"/>
  <Override PartName="/xl/tables/table9.xml" ContentType="application/vnd.openxmlformats-officedocument.spreadsheetml.table+xml"/>
  <Override PartName="/xl/queryTables/queryTable8.xml" ContentType="application/vnd.openxmlformats-officedocument.spreadsheetml.queryTable+xml"/>
  <Override PartName="/xl/tables/table10.xml" ContentType="application/vnd.openxmlformats-officedocument.spreadsheetml.table+xml"/>
  <Override PartName="/xl/queryTables/queryTable9.xml" ContentType="application/vnd.openxmlformats-officedocument.spreadsheetml.queryTable+xml"/>
  <Override PartName="/xl/tables/table11.xml" ContentType="application/vnd.openxmlformats-officedocument.spreadsheetml.table+xml"/>
  <Override PartName="/xl/queryTables/queryTable10.xml" ContentType="application/vnd.openxmlformats-officedocument.spreadsheetml.queryTable+xml"/>
  <Override PartName="/xl/tables/table12.xml" ContentType="application/vnd.openxmlformats-officedocument.spreadsheetml.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tilnsw-my.sharepoint.com/personal/brett_odgersjewell_essentialenergy_com_au/Documents/"/>
    </mc:Choice>
  </mc:AlternateContent>
  <bookViews>
    <workbookView xWindow="0" yWindow="0" windowWidth="15690" windowHeight="6930" tabRatio="599" activeTab="8" xr2:uid="{00000000-000D-0000-FFFF-FFFF00000000}"/>
  </bookViews>
  <sheets>
    <sheet name="InputPage" sheetId="14" r:id="rId1"/>
    <sheet name="ExporttoCSV" sheetId="10" r:id="rId2"/>
    <sheet name="Lookups" sheetId="9" r:id="rId3"/>
    <sheet name="AzureVMImage" sheetId="21" r:id="rId4"/>
    <sheet name="AzureImageSKU" sheetId="20" r:id="rId5"/>
    <sheet name="AzurePubOffers" sheetId="18" r:id="rId6"/>
    <sheet name="FXSourceValue" sheetId="19" r:id="rId7"/>
    <sheet name="Key" sheetId="31" r:id="rId8"/>
    <sheet name="AzureAutomationKeys" sheetId="30" r:id="rId9"/>
    <sheet name="AzureAutomation" sheetId="29" r:id="rId10"/>
    <sheet name="AzurePublishers" sheetId="15" r:id="rId11"/>
    <sheet name="AzureVMSize" sheetId="22" r:id="rId12"/>
    <sheet name="vNetLookup" sheetId="24" r:id="rId13"/>
    <sheet name="vNetRGLookup" sheetId="32" r:id="rId14"/>
    <sheet name="SubnetID" sheetId="26" r:id="rId15"/>
  </sheets>
  <definedNames>
    <definedName name="AutomationAccount">Lookups!$B$11</definedName>
    <definedName name="env">Lookups!$A$2:$E$6</definedName>
    <definedName name="ExportCSV" localSheetId="1">ExporttoCSV!#REF!</definedName>
    <definedName name="ExternalData_1" localSheetId="10" hidden="1">AzurePublishers!$A$1:$C$657</definedName>
    <definedName name="ExternalData_2" localSheetId="9" hidden="1">AzureAutomation!$A$1:$F$14</definedName>
    <definedName name="ExternalData_2" localSheetId="5" hidden="1">AzurePubOffers!$A$1:$C$3</definedName>
    <definedName name="ExternalData_3" localSheetId="8" hidden="1">AzureAutomationKeys!$A$1:$B$5</definedName>
    <definedName name="ExternalData_3" localSheetId="4" hidden="1">AzureImageSKU!$A$1:$C$14</definedName>
    <definedName name="ExternalData_4" localSheetId="3" hidden="1">AzureVMImage!$A$1:$C$7</definedName>
    <definedName name="ExternalData_4" localSheetId="7" hidden="1">Key!$A$1:$B$3</definedName>
    <definedName name="ExternalData_5" localSheetId="11" hidden="1">AzureVMSize!$A$1:$G$133</definedName>
    <definedName name="ExternalData_6" localSheetId="12" hidden="1">vNetLookup!$A$1:$G$6</definedName>
    <definedName name="ExternalData_7" localSheetId="14" hidden="1">SubnetID!$A$1:$G$6</definedName>
    <definedName name="ExternalData_8" localSheetId="13" hidden="1">vNetRGLookup!$A$1:$Q$5</definedName>
    <definedName name="PublishersDropDown">InputPage!$D$17</definedName>
    <definedName name="SourceImageSku">InputPage!$D$21</definedName>
    <definedName name="SourceLookupUrl">Lookups!$B$10</definedName>
    <definedName name="SourcePublisher">InputPage!$D$17</definedName>
    <definedName name="SourcePubOffers">InputPage!$D$19</definedName>
    <definedName name="SourceResourceGroup">InputPage!$D$11</definedName>
    <definedName name="SourceSubscriptionID">Lookups!$B$8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7" i="9" l="1"/>
  <c r="B10" i="9"/>
  <c r="B8" i="9"/>
  <c r="P11" i="14" l="1"/>
  <c r="P7" i="14" l="1"/>
  <c r="L15" i="14"/>
  <c r="L11" i="14"/>
  <c r="B14" i="9" l="1"/>
  <c r="H19" i="14" l="1"/>
  <c r="B15" i="9"/>
  <c r="B11" i="9"/>
  <c r="H11" i="14" l="1"/>
  <c r="D15" i="1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AutoamtionAccounts" description="Connection to the 'AutoamtionAccounts' query in the workbook." type="5" refreshedVersion="6" background="1" saveData="1">
    <dbPr connection="Provider=Microsoft.Mashup.OleDb.1;Data Source=$Workbook$;Location=AutoamtionAccounts;Extended Properties=&quot;&quot;" command="SELECT * FROM [AutoamtionAccounts]"/>
  </connection>
  <connection id="2" xr16:uid="{00000000-0015-0000-FFFF-FFFF01000000}" keepAlive="1" name="Query - AzureAutomationKeys" description="Connection to the 'AzureAutomationKeys' query in the workbook." type="5" refreshedVersion="6" background="1" saveData="1">
    <dbPr connection="Provider=Microsoft.Mashup.OleDb.1;Data Source=$Workbook$;Location=AzureAutomationKeys;Extended Properties=&quot;&quot;" command="SELECT * FROM [AzureAutomationKeys]"/>
  </connection>
  <connection id="3" xr16:uid="{00000000-0015-0000-FFFF-FFFF02000000}" keepAlive="1" name="Query - AzureImageSku" description="Connection to the 'AzureImageSku' query in the workbook." type="5" refreshedVersion="6" background="1">
    <dbPr connection="Provider=Microsoft.Mashup.OleDb.1;Data Source=$Workbook$;Location=AzureImageSku" command="SELECT * FROM [AzureImageSku]"/>
  </connection>
  <connection id="4" xr16:uid="{00000000-0015-0000-FFFF-FFFF03000000}" keepAlive="1" name="Query - AzurePublisherOffers" description="Connection to the 'AzurePublisherOffers' query in the workbook." type="5" refreshedVersion="6" background="1">
    <dbPr connection="Provider=Microsoft.Mashup.OleDb.1;Data Source=$Workbook$;Location=AzurePublisherOffers" command="SELECT * FROM [AzurePublisherOffers]"/>
  </connection>
  <connection id="5" xr16:uid="{00000000-0015-0000-FFFF-FFFF04000000}" odcFile="C:\Users\BrettOdgers-Jewell\Documents\My Data Sources\Query - AzurePublishers.odc" keepAlive="1" name="Query - AzurePublishers" description="Connection to the 'AzurePublishers' query in the workbook." type="5" refreshedVersion="6" background="1" saveData="1">
    <dbPr connection="Provider=Microsoft.Mashup.OleDb.1;Data Source=$Workbook$;Location=AzurePublishers;Extended Properties=&quot;&quot;" command="SELECT * FROM [AzurePublishers]"/>
  </connection>
  <connection id="6" xr16:uid="{00000000-0015-0000-FFFF-FFFF05000000}" keepAlive="1" name="Query - AzureVMImage" description="Connection to the 'AzureVMImage' query in the workbook." type="5" refreshedVersion="6" background="1">
    <dbPr connection="Provider=Microsoft.Mashup.OleDb.1;Data Source=$Workbook$;Location=AzureVMImage" command="SELECT * FROM [AzureVMImage]"/>
  </connection>
  <connection id="7" xr16:uid="{00000000-0015-0000-FFFF-FFFF06000000}" keepAlive="1" name="Query - AzureVMSize" description="Connection to the 'AzureVMSize' query in the workbook." type="5" refreshedVersion="6" background="1">
    <dbPr connection="Provider=Microsoft.Mashup.OleDb.1;Data Source=$Workbook$;Location=AzureVMSize" command="SELECT * FROM [AzureVMSize]"/>
  </connection>
  <connection id="8" xr16:uid="{00000000-0015-0000-FFFF-FFFF07000000}" keepAlive="1" name="Query - AzureVNets" description="Connection to the 'AzureVNets' query in the workbook." type="5" refreshedVersion="6" background="1">
    <dbPr connection="Provider=Microsoft.Mashup.OleDb.1;Data Source=$Workbook$;Location=AzureVNets" command="SELECT * FROM [AzureVNets]"/>
  </connection>
  <connection id="9" xr16:uid="{00000000-0015-0000-FFFF-FFFF08000000}" keepAlive="1" name="Query - Parameter1" description="Connection to the 'Parameter1' query in the workbook." type="5" refreshedVersion="0" background="1">
    <dbPr connection="Provider=Microsoft.Mashup.OleDb.1;Data Source=$Workbook$;Location=Parameter1" command="SELECT * FROM [Parameter1]"/>
  </connection>
  <connection id="10" xr16:uid="{00000000-0015-0000-FFFF-FFFF09000000}" keepAlive="1" name="Query - Publishers" description="Connection to the 'Publishers' query in the workbook." type="5" refreshedVersion="0" background="1">
    <dbPr connection="Provider=Microsoft.Mashup.OleDb.1;Data Source=$Workbook$;Location=Publishers" command="SELECT * FROM [Publishers]"/>
  </connection>
  <connection id="11" xr16:uid="{00000000-0015-0000-FFFF-FFFF0A000000}" keepAlive="1" name="Query - SourceValue" description="Connection to the 'SourceValue' query in the workbook." type="5" refreshedVersion="0" background="1">
    <dbPr connection="Provider=Microsoft.Mashup.OleDb.1;Data Source=$Workbook$;Location=SourceValue" command="SELECT * FROM [SourceValue]"/>
  </connection>
  <connection id="12" xr16:uid="{00000000-0015-0000-FFFF-FFFF0B000000}" keepAlive="1" name="Query - SourceValue (2)" description="Connection to the 'SourceValue (2)' query in the workbook." type="5" refreshedVersion="0" background="1">
    <dbPr connection="Provider=Microsoft.Mashup.OleDb.1;Data Source=$Workbook$;Location=&quot;SourceValue (2)&quot;" command="SELECT * FROM [SourceValue (2)]"/>
  </connection>
  <connection id="13" xr16:uid="{00000000-0015-0000-FFFF-FFFF0C000000}" keepAlive="1" name="Query - SubnetIDLookup" description="Connection to the 'SubnetIDLookup' query in the workbook." type="5" refreshedVersion="6" background="1">
    <dbPr connection="Provider=Microsoft.Mashup.OleDb.1;Data Source=$Workbook$;Location=SubnetIDLookup" command="SELECT * FROM [SubnetIDLookup]"/>
  </connection>
  <connection id="14" xr16:uid="{00000000-0015-0000-FFFF-FFFF0D000000}" keepAlive="1" name="Query - Value" description="Connection to the 'Value' query in the workbook." type="5" refreshedVersion="6" background="1" saveData="1">
    <dbPr connection="Provider=Microsoft.Mashup.OleDb.1;Data Source=$Workbook$;Location=Value;Extended Properties=&quot;&quot;" command="SELECT * FROM [Value]"/>
  </connection>
  <connection id="15" xr16:uid="{00000000-0015-0000-FFFF-FFFF0E000000}" keepAlive="1" name="Query - vNetRGLookup" description="Connection to the 'vNetRGLookup' query in the workbook." type="5" refreshedVersion="6" background="1" saveData="1">
    <dbPr connection="Provider=Microsoft.Mashup.OleDb.1;Data Source=$Workbook$;Location=vNetRGLookup" command="SELECT * FROM [vNetRGLookup]"/>
  </connection>
</connections>
</file>

<file path=xl/sharedStrings.xml><?xml version="1.0" encoding="utf-8"?>
<sst xmlns="http://schemas.openxmlformats.org/spreadsheetml/2006/main" count="2854" uniqueCount="1765">
  <si>
    <t>Location</t>
  </si>
  <si>
    <t>Environment</t>
  </si>
  <si>
    <t>Storage</t>
  </si>
  <si>
    <t>Availability</t>
  </si>
  <si>
    <t>Name</t>
  </si>
  <si>
    <t>Virtual Network</t>
  </si>
  <si>
    <t>Public IP</t>
  </si>
  <si>
    <t>Perfomance</t>
  </si>
  <si>
    <t>Replication</t>
  </si>
  <si>
    <t>HDD</t>
  </si>
  <si>
    <t>SSD</t>
  </si>
  <si>
    <t>P</t>
  </si>
  <si>
    <t>B</t>
  </si>
  <si>
    <t>S</t>
  </si>
  <si>
    <t>U</t>
  </si>
  <si>
    <t>V</t>
  </si>
  <si>
    <t>live</t>
  </si>
  <si>
    <t>s</t>
  </si>
  <si>
    <t>u</t>
  </si>
  <si>
    <t>v</t>
  </si>
  <si>
    <t>Internal IP</t>
  </si>
  <si>
    <t>Backup Tier</t>
  </si>
  <si>
    <t>SLA</t>
  </si>
  <si>
    <t>Standard_G1</t>
  </si>
  <si>
    <t>Standard_G2</t>
  </si>
  <si>
    <t>Standard_G3</t>
  </si>
  <si>
    <t>Standard_G4</t>
  </si>
  <si>
    <t>Standard_G5</t>
  </si>
  <si>
    <t>Standard_GS1</t>
  </si>
  <si>
    <t>Standard_GS2</t>
  </si>
  <si>
    <t>Standard_GS3</t>
  </si>
  <si>
    <t>Standard_GS4</t>
  </si>
  <si>
    <t>Standard_GS5</t>
  </si>
  <si>
    <t>Standard_L4s</t>
  </si>
  <si>
    <t>Standard_L8s</t>
  </si>
  <si>
    <t>Standard_L16s</t>
  </si>
  <si>
    <t>Standard_L32s</t>
  </si>
  <si>
    <t>Standard_A0</t>
  </si>
  <si>
    <t>Standard_A1</t>
  </si>
  <si>
    <t>Standard_A2</t>
  </si>
  <si>
    <t>Standard_A3</t>
  </si>
  <si>
    <t>Standard_A5</t>
  </si>
  <si>
    <t>Standard_A4</t>
  </si>
  <si>
    <t>Standard_A6</t>
  </si>
  <si>
    <t>Standard_A7</t>
  </si>
  <si>
    <t>Basic_A0</t>
  </si>
  <si>
    <t>Basic_A1</t>
  </si>
  <si>
    <t>Basic_A2</t>
  </si>
  <si>
    <t>Basic_A3</t>
  </si>
  <si>
    <t>Basic_A4</t>
  </si>
  <si>
    <t>Standard_D1_v2</t>
  </si>
  <si>
    <t>Standard_D2_v2</t>
  </si>
  <si>
    <t>Standard_D3_v2</t>
  </si>
  <si>
    <t>Standard_D4_v2</t>
  </si>
  <si>
    <t>Standard_D5_v2</t>
  </si>
  <si>
    <t>Standard_D11_v2</t>
  </si>
  <si>
    <t>Standard_D12_v2</t>
  </si>
  <si>
    <t>Standard_D13_v2</t>
  </si>
  <si>
    <t>Standard_D14_v2</t>
  </si>
  <si>
    <t>Standard_D15_v2</t>
  </si>
  <si>
    <t>Standard_D2_v2_Promo</t>
  </si>
  <si>
    <t>Standard_D3_v2_Promo</t>
  </si>
  <si>
    <t>Standard_D4_v2_Promo</t>
  </si>
  <si>
    <t>Standard_D5_v2_Promo</t>
  </si>
  <si>
    <t>Standard_D11_v2_Promo</t>
  </si>
  <si>
    <t>Standard_D12_v2_Promo</t>
  </si>
  <si>
    <t>Standard_D13_v2_Promo</t>
  </si>
  <si>
    <t>Standard_D14_v2_Promo</t>
  </si>
  <si>
    <t>Standard_F1</t>
  </si>
  <si>
    <t>Standard_F2</t>
  </si>
  <si>
    <t>Standard_F4</t>
  </si>
  <si>
    <t>Standard_F8</t>
  </si>
  <si>
    <t>Standard_F16</t>
  </si>
  <si>
    <t>Standard_A1_v2</t>
  </si>
  <si>
    <t>Standard_A2m_v2</t>
  </si>
  <si>
    <t>Standard_A2_v2</t>
  </si>
  <si>
    <t>Standard_A4m_v2</t>
  </si>
  <si>
    <t>Standard_A4_v2</t>
  </si>
  <si>
    <t>Standard_A8m_v2</t>
  </si>
  <si>
    <t>Standard_A8_v2</t>
  </si>
  <si>
    <t>Standard_D1</t>
  </si>
  <si>
    <t>Standard_D2</t>
  </si>
  <si>
    <t>Standard_D3</t>
  </si>
  <si>
    <t>Standard_D4</t>
  </si>
  <si>
    <t>Standard_D11</t>
  </si>
  <si>
    <t>Standard_D12</t>
  </si>
  <si>
    <t>Standard_D13</t>
  </si>
  <si>
    <t>Standard_D14</t>
  </si>
  <si>
    <t>Standard_DS1_v2</t>
  </si>
  <si>
    <t>Standard_DS2_v2</t>
  </si>
  <si>
    <t>Standard_DS3_v2</t>
  </si>
  <si>
    <t>Standard_DS4_v2</t>
  </si>
  <si>
    <t>Standard_DS5_v2</t>
  </si>
  <si>
    <t>Standard_DS11_v2</t>
  </si>
  <si>
    <t>Standard_DS12_v2</t>
  </si>
  <si>
    <t>Standard_DS13_v2</t>
  </si>
  <si>
    <t>Standard_DS14_v2</t>
  </si>
  <si>
    <t>Standard_DS15_v2</t>
  </si>
  <si>
    <t>Standard_DS2_v2_Promo</t>
  </si>
  <si>
    <t>Standard_DS3_v2_Promo</t>
  </si>
  <si>
    <t>Standard_DS4_v2_Promo</t>
  </si>
  <si>
    <t>Standard_DS5_v2_Promo</t>
  </si>
  <si>
    <t>Standard_DS11_v2_Promo</t>
  </si>
  <si>
    <t>Standard_DS12_v2_Promo</t>
  </si>
  <si>
    <t>Standard_DS13_v2_Promo</t>
  </si>
  <si>
    <t>Standard_DS14_v2_Promo</t>
  </si>
  <si>
    <t>Standard_F1s</t>
  </si>
  <si>
    <t>Standard_F2s</t>
  </si>
  <si>
    <t>Standard_F4s</t>
  </si>
  <si>
    <t>Standard_F8s</t>
  </si>
  <si>
    <t>Standard_F16s</t>
  </si>
  <si>
    <t>Standard_DS1</t>
  </si>
  <si>
    <t>Standard_DS2</t>
  </si>
  <si>
    <t>Standard_DS3</t>
  </si>
  <si>
    <t>Standard_DS4</t>
  </si>
  <si>
    <t>Standard_DS11</t>
  </si>
  <si>
    <t>Standard_DS12</t>
  </si>
  <si>
    <t>Standard_DS13</t>
  </si>
  <si>
    <t>Standard_DS14</t>
  </si>
  <si>
    <t>Column1.location</t>
  </si>
  <si>
    <t>Column1.name</t>
  </si>
  <si>
    <t>Column1.id</t>
  </si>
  <si>
    <t>australiaeast</t>
  </si>
  <si>
    <t>4psa</t>
  </si>
  <si>
    <t>7isolutions</t>
  </si>
  <si>
    <t>a10networks</t>
  </si>
  <si>
    <t>abiquo</t>
  </si>
  <si>
    <t>accellion</t>
  </si>
  <si>
    <t>Acronis</t>
  </si>
  <si>
    <t>Acronis.Backup</t>
  </si>
  <si>
    <t>actian_matrix</t>
  </si>
  <si>
    <t>actifio</t>
  </si>
  <si>
    <t>activeeon</t>
  </si>
  <si>
    <t>adatao</t>
  </si>
  <si>
    <t>adobe_test</t>
  </si>
  <si>
    <t>advantech</t>
  </si>
  <si>
    <t>advantech-webaccess</t>
  </si>
  <si>
    <t>aerospike</t>
  </si>
  <si>
    <t>aerospike-database</t>
  </si>
  <si>
    <t>AIP.Diagnostics.Test</t>
  </si>
  <si>
    <t>aiscaler-cache-control-ddos-and-url-rewriting-</t>
  </si>
  <si>
    <t>akumina</t>
  </si>
  <si>
    <t>alachisoft</t>
  </si>
  <si>
    <t>alertlogic</t>
  </si>
  <si>
    <t>AlertLogic.Extension</t>
  </si>
  <si>
    <t>algebraix-data</t>
  </si>
  <si>
    <t>alienvault</t>
  </si>
  <si>
    <t>alldigital-brevity</t>
  </si>
  <si>
    <t>alteryx</t>
  </si>
  <si>
    <t>apigee</t>
  </si>
  <si>
    <t>appcelerator</t>
  </si>
  <si>
    <t>appex-networks</t>
  </si>
  <si>
    <t>appistry</t>
  </si>
  <si>
    <t>appscale-marketplace</t>
  </si>
  <si>
    <t>aqua-security</t>
  </si>
  <si>
    <t>arangodb</t>
  </si>
  <si>
    <t>aras</t>
  </si>
  <si>
    <t>array_networks</t>
  </si>
  <si>
    <t>aspex</t>
  </si>
  <si>
    <t>aspex-managed-cloud</t>
  </si>
  <si>
    <t>atlassian</t>
  </si>
  <si>
    <t>atomicorp</t>
  </si>
  <si>
    <t>attunity_cloudbeam</t>
  </si>
  <si>
    <t>auriq-systems</t>
  </si>
  <si>
    <t>avds</t>
  </si>
  <si>
    <t>averesystems</t>
  </si>
  <si>
    <t>aviatrix-systems</t>
  </si>
  <si>
    <t>awingu</t>
  </si>
  <si>
    <t>axway</t>
  </si>
  <si>
    <t>azul</t>
  </si>
  <si>
    <t>AzureRT.Test</t>
  </si>
  <si>
    <t>azuresyncfusion</t>
  </si>
  <si>
    <t>azuretesting</t>
  </si>
  <si>
    <t>azuretesting2</t>
  </si>
  <si>
    <t>AzureTools1type</t>
  </si>
  <si>
    <t>balabit</t>
  </si>
  <si>
    <t>barracudanetworks</t>
  </si>
  <si>
    <t>basho</t>
  </si>
  <si>
    <t>batch</t>
  </si>
  <si>
    <t>bdy</t>
  </si>
  <si>
    <t>betterdish</t>
  </si>
  <si>
    <t>beyondtrust</t>
  </si>
  <si>
    <t>Bitnami</t>
  </si>
  <si>
    <t>biztalk360</t>
  </si>
  <si>
    <t>blackberry</t>
  </si>
  <si>
    <t>blockapps</t>
  </si>
  <si>
    <t>blockchain-foundry</t>
  </si>
  <si>
    <t>blockstack</t>
  </si>
  <si>
    <t>bluetalon</t>
  </si>
  <si>
    <t>bmc.ctm</t>
  </si>
  <si>
    <t>bmcctm.test</t>
  </si>
  <si>
    <t>boxless</t>
  </si>
  <si>
    <t>brainshare-it</t>
  </si>
  <si>
    <t>brocade_communications</t>
  </si>
  <si>
    <t>bssw</t>
  </si>
  <si>
    <t>buddhalabs</t>
  </si>
  <si>
    <t>Canonical</t>
  </si>
  <si>
    <t>caringo</t>
  </si>
  <si>
    <t>carto</t>
  </si>
  <si>
    <t>cask</t>
  </si>
  <si>
    <t>cautelalabs</t>
  </si>
  <si>
    <t>cavirin</t>
  </si>
  <si>
    <t>cbrdashboard</t>
  </si>
  <si>
    <t>cbreplicator</t>
  </si>
  <si>
    <t>cds</t>
  </si>
  <si>
    <t>certivox</t>
  </si>
  <si>
    <t>cfd-direct</t>
  </si>
  <si>
    <t>chain</t>
  </si>
  <si>
    <t>checkpoint</t>
  </si>
  <si>
    <t>chef-software</t>
  </si>
  <si>
    <t>Chef.Bootstrap.WindowsAzure</t>
  </si>
  <si>
    <t>circleci</t>
  </si>
  <si>
    <t>cires21</t>
  </si>
  <si>
    <t>cisco</t>
  </si>
  <si>
    <t>citrix</t>
  </si>
  <si>
    <t>clear-linux-project</t>
  </si>
  <si>
    <t>clouber</t>
  </si>
  <si>
    <t>cloud-cruiser</t>
  </si>
  <si>
    <t>cloudbees</t>
  </si>
  <si>
    <t>cloudbees-enterprise-jenkins</t>
  </si>
  <si>
    <t>cloudbolt-software</t>
  </si>
  <si>
    <t>cloudboost</t>
  </si>
  <si>
    <t>cloudcoreo</t>
  </si>
  <si>
    <t>cloudcruiser</t>
  </si>
  <si>
    <t>cloudera</t>
  </si>
  <si>
    <t>cloudera1qaz2wsx</t>
  </si>
  <si>
    <t>cloudhouse</t>
  </si>
  <si>
    <t>cloudhub-technologies</t>
  </si>
  <si>
    <t>cloudify</t>
  </si>
  <si>
    <t>cloudlink</t>
  </si>
  <si>
    <t>CloudLinkEMC.SecureVM</t>
  </si>
  <si>
    <t>CloudLinkEMC.SecureVM.Test</t>
  </si>
  <si>
    <t>CloudLinkEMC.SecureVM.Test2</t>
  </si>
  <si>
    <t>cloudneeti</t>
  </si>
  <si>
    <t>cloudsecurity</t>
  </si>
  <si>
    <t>cloudsoft</t>
  </si>
  <si>
    <t>clustrix</t>
  </si>
  <si>
    <t>codelathe</t>
  </si>
  <si>
    <t>codenvy</t>
  </si>
  <si>
    <t>cognosys</t>
  </si>
  <si>
    <t>cohesity</t>
  </si>
  <si>
    <t>cohesive</t>
  </si>
  <si>
    <t>commvault</t>
  </si>
  <si>
    <t>companyname-short</t>
  </si>
  <si>
    <t>composable</t>
  </si>
  <si>
    <t>comunity</t>
  </si>
  <si>
    <t>Confer</t>
  </si>
  <si>
    <t>confluentinc</t>
  </si>
  <si>
    <t>connecting-software</t>
  </si>
  <si>
    <t>consensys</t>
  </si>
  <si>
    <t>convertigo</t>
  </si>
  <si>
    <t>corda</t>
  </si>
  <si>
    <t>CoreOS</t>
  </si>
  <si>
    <t>couchbase</t>
  </si>
  <si>
    <t>crate-io</t>
  </si>
  <si>
    <t>credativ</t>
  </si>
  <si>
    <t>cryptzone</t>
  </si>
  <si>
    <t>csstest</t>
  </si>
  <si>
    <t>ctm.bmc.com</t>
  </si>
  <si>
    <t>danielsol.AzureTools1</t>
  </si>
  <si>
    <t>Dans.Windows.App</t>
  </si>
  <si>
    <t>Dans3.Windows.App</t>
  </si>
  <si>
    <t>dataart</t>
  </si>
  <si>
    <t>datacore</t>
  </si>
  <si>
    <t>Datadog.Agent</t>
  </si>
  <si>
    <t>dataiku</t>
  </si>
  <si>
    <t>datalayer</t>
  </si>
  <si>
    <t>datastax</t>
  </si>
  <si>
    <t>datasunrise</t>
  </si>
  <si>
    <t>datometry</t>
  </si>
  <si>
    <t>dell-software</t>
  </si>
  <si>
    <t>dellemc</t>
  </si>
  <si>
    <t>dell_software</t>
  </si>
  <si>
    <t>delphix</t>
  </si>
  <si>
    <t>denodo</t>
  </si>
  <si>
    <t>denyall</t>
  </si>
  <si>
    <t>derdack</t>
  </si>
  <si>
    <t>dgsecure</t>
  </si>
  <si>
    <t>diagramics</t>
  </si>
  <si>
    <t>digitaloffice</t>
  </si>
  <si>
    <t>docker</t>
  </si>
  <si>
    <t>docscorp-us</t>
  </si>
  <si>
    <t>dome9</t>
  </si>
  <si>
    <t>drone</t>
  </si>
  <si>
    <t>dsi</t>
  </si>
  <si>
    <t>dundas</t>
  </si>
  <si>
    <t>dynatrace</t>
  </si>
  <si>
    <t>dynatrace.ruxit</t>
  </si>
  <si>
    <t>eastbanctech</t>
  </si>
  <si>
    <t>edevtech</t>
  </si>
  <si>
    <t>egnyte</t>
  </si>
  <si>
    <t>eip</t>
  </si>
  <si>
    <t>eip-eipower</t>
  </si>
  <si>
    <t>elasticbox</t>
  </si>
  <si>
    <t>elecard</t>
  </si>
  <si>
    <t>electric-cloud</t>
  </si>
  <si>
    <t>elementrem</t>
  </si>
  <si>
    <t>elfiqnetworks</t>
  </si>
  <si>
    <t>emercoin</t>
  </si>
  <si>
    <t>enforongo</t>
  </si>
  <si>
    <t>enterprise-ethereum-alliance</t>
  </si>
  <si>
    <t>eperi</t>
  </si>
  <si>
    <t>equalum</t>
  </si>
  <si>
    <t>esdenera</t>
  </si>
  <si>
    <t>ESET</t>
  </si>
  <si>
    <t>esri</t>
  </si>
  <si>
    <t>ethereum</t>
  </si>
  <si>
    <t>eventtracker</t>
  </si>
  <si>
    <t>evostream-inc</t>
  </si>
  <si>
    <t>exasol</t>
  </si>
  <si>
    <t>expertime</t>
  </si>
  <si>
    <t>f5-networks</t>
  </si>
  <si>
    <t>falconstorsoftware</t>
  </si>
  <si>
    <t>firehost</t>
  </si>
  <si>
    <t>flynet</t>
  </si>
  <si>
    <t>foghorn-systems</t>
  </si>
  <si>
    <t>forscene</t>
  </si>
  <si>
    <t>fortinet</t>
  </si>
  <si>
    <t>fortycloud</t>
  </si>
  <si>
    <t>fw</t>
  </si>
  <si>
    <t>gbs</t>
  </si>
  <si>
    <t>gemalto-safenet</t>
  </si>
  <si>
    <t>Gemalto.SafeNet.ProtectV</t>
  </si>
  <si>
    <t>GitHub</t>
  </si>
  <si>
    <t>gitlab</t>
  </si>
  <si>
    <t>globalscape</t>
  </si>
  <si>
    <t>gordic</t>
  </si>
  <si>
    <t>graphitegtc</t>
  </si>
  <si>
    <t>greathorn</t>
  </si>
  <si>
    <t>greensql</t>
  </si>
  <si>
    <t>grid</t>
  </si>
  <si>
    <t>gridgain</t>
  </si>
  <si>
    <t>guardicore</t>
  </si>
  <si>
    <t>h2o-ai</t>
  </si>
  <si>
    <t>haivision</t>
  </si>
  <si>
    <t>halobicloud</t>
  </si>
  <si>
    <t>hanu</t>
  </si>
  <si>
    <t>HDInsight</t>
  </si>
  <si>
    <t>hewlett-packard</t>
  </si>
  <si>
    <t>hillstone-networks</t>
  </si>
  <si>
    <t>hitachi-solutions</t>
  </si>
  <si>
    <t>hortonworks</t>
  </si>
  <si>
    <t>hpe</t>
  </si>
  <si>
    <t>HPE.Security.ApplicationDefender</t>
  </si>
  <si>
    <t>huawei</t>
  </si>
  <si>
    <t>humanlogic</t>
  </si>
  <si>
    <t>hush-hush</t>
  </si>
  <si>
    <t>hvr</t>
  </si>
  <si>
    <t>hyperglance</t>
  </si>
  <si>
    <t>hypergrid</t>
  </si>
  <si>
    <t>hytrust</t>
  </si>
  <si>
    <t>iaansys</t>
  </si>
  <si>
    <t>ibabs-eu</t>
  </si>
  <si>
    <t>ikan</t>
  </si>
  <si>
    <t>imaginecommunications</t>
  </si>
  <si>
    <t>imperva</t>
  </si>
  <si>
    <t>infoblox</t>
  </si>
  <si>
    <t>infolibrarian</t>
  </si>
  <si>
    <t>informatica</t>
  </si>
  <si>
    <t>informatica-cloud</t>
  </si>
  <si>
    <t>informationbuilders</t>
  </si>
  <si>
    <t>ingrammicro</t>
  </si>
  <si>
    <t>intel</t>
  </si>
  <si>
    <t>intigua</t>
  </si>
  <si>
    <t>ipswitch</t>
  </si>
  <si>
    <t>iquest</t>
  </si>
  <si>
    <t>ishlangu-load-balancer-adc</t>
  </si>
  <si>
    <t>itelios</t>
  </si>
  <si>
    <t>iw</t>
  </si>
  <si>
    <t>jamcracker</t>
  </si>
  <si>
    <t>jedox</t>
  </si>
  <si>
    <t>jelastic</t>
  </si>
  <si>
    <t>jetnexus</t>
  </si>
  <si>
    <t>jfrog</t>
  </si>
  <si>
    <t>jitterbit_integration</t>
  </si>
  <si>
    <t>juniper-networks</t>
  </si>
  <si>
    <t>kaazing</t>
  </si>
  <si>
    <t>kali-linux</t>
  </si>
  <si>
    <t>Kaspersky.Lab</t>
  </si>
  <si>
    <t>kaspersky_lab</t>
  </si>
  <si>
    <t>kelverion</t>
  </si>
  <si>
    <t>kemptech</t>
  </si>
  <si>
    <t>kinetica</t>
  </si>
  <si>
    <t>knime</t>
  </si>
  <si>
    <t>lansa</t>
  </si>
  <si>
    <t>learningtechnolgy</t>
  </si>
  <si>
    <t>leostream-corporation</t>
  </si>
  <si>
    <t>literatu</t>
  </si>
  <si>
    <t>loadbalancer</t>
  </si>
  <si>
    <t>loginpeople</t>
  </si>
  <si>
    <t>logmein</t>
  </si>
  <si>
    <t>logsign</t>
  </si>
  <si>
    <t>logtrust</t>
  </si>
  <si>
    <t>looker</t>
  </si>
  <si>
    <t>luxoft</t>
  </si>
  <si>
    <t>mactores_inc</t>
  </si>
  <si>
    <t>manageengine</t>
  </si>
  <si>
    <t>mapr-technologies</t>
  </si>
  <si>
    <t>mariadb</t>
  </si>
  <si>
    <t>marklogic</t>
  </si>
  <si>
    <t>massiveanalytic-</t>
  </si>
  <si>
    <t>mavinglobal</t>
  </si>
  <si>
    <t>McAfee.EndpointSecurity</t>
  </si>
  <si>
    <t>McAfee.EndpointSecurity.test3</t>
  </si>
  <si>
    <t>meanio</t>
  </si>
  <si>
    <t>memsql</t>
  </si>
  <si>
    <t>mendix</t>
  </si>
  <si>
    <t>mesosphere</t>
  </si>
  <si>
    <t>mfiles</t>
  </si>
  <si>
    <t>mico</t>
  </si>
  <si>
    <t>Microsoft</t>
  </si>
  <si>
    <t>microsoft-ads</t>
  </si>
  <si>
    <t>Microsoft.Azure.Applications</t>
  </si>
  <si>
    <t>Microsoft.Azure.Backup.Test</t>
  </si>
  <si>
    <t>Microsoft.Azure.Diagnostics</t>
  </si>
  <si>
    <t>Microsoft.Azure.Diagnostics.Build.Test</t>
  </si>
  <si>
    <t>Microsoft.Azure.Extensions</t>
  </si>
  <si>
    <t>Microsoft.Azure.Networking.SDN</t>
  </si>
  <si>
    <t>Microsoft.Azure.NetworkWatcher</t>
  </si>
  <si>
    <t>Microsoft.Azure.RecoveryServices</t>
  </si>
  <si>
    <t>Microsoft.Azure.RecoveryServices.SiteRecovery</t>
  </si>
  <si>
    <t>Microsoft.Azure.Security</t>
  </si>
  <si>
    <t>Microsoft.Azure.Security.Test</t>
  </si>
  <si>
    <t>Microsoft.Azure.SiteRecovery.Test</t>
  </si>
  <si>
    <t>Microsoft.Azure.SiteRecovery2.Test</t>
  </si>
  <si>
    <t>Microsoft.Azure.Test.Identity</t>
  </si>
  <si>
    <t>Microsoft.Azure.WindowsFabric.Test</t>
  </si>
  <si>
    <t>Microsoft.AzureCAT.AzureEnhancedMonitoring</t>
  </si>
  <si>
    <t>Microsoft.AzureCAT.AzureEnhancedMonitoringTest</t>
  </si>
  <si>
    <t>Microsoft.AzureSecurity.JITAccess</t>
  </si>
  <si>
    <t>Microsoft.CloudBackup.Workload.Extension</t>
  </si>
  <si>
    <t>Microsoft.Compute</t>
  </si>
  <si>
    <t>Microsoft.Compute.Test</t>
  </si>
  <si>
    <t>Microsoft.Compute.TestSar</t>
  </si>
  <si>
    <t>Microsoft.EnterpriseCloud.Monitoring</t>
  </si>
  <si>
    <t>Microsoft.Golive.Extensions</t>
  </si>
  <si>
    <t>Microsoft.HDInsight.Current</t>
  </si>
  <si>
    <t>Microsoft.HpcCompute</t>
  </si>
  <si>
    <t>Microsoft.HpcPack</t>
  </si>
  <si>
    <t>Microsoft.ManagedIdentity</t>
  </si>
  <si>
    <t>Microsoft.OSTCExtensions</t>
  </si>
  <si>
    <t>Microsoft.OSTCExtensions.Test</t>
  </si>
  <si>
    <t>Microsoft.Powershell</t>
  </si>
  <si>
    <t>Microsoft.Powershell.Test</t>
  </si>
  <si>
    <t>Microsoft.SqlServer.Managability.IaaS.Test</t>
  </si>
  <si>
    <t>Microsoft.SqlServer.Management</t>
  </si>
  <si>
    <t>Microsoft.SystemCenter</t>
  </si>
  <si>
    <t>Microsoft.SystemCenter.Test</t>
  </si>
  <si>
    <t>Microsoft.VisualStudio.Azure.ETWTraceListenerService</t>
  </si>
  <si>
    <t>Microsoft.VisualStudio.Azure.RemoteDebug</t>
  </si>
  <si>
    <t>Microsoft.VisualStudio.Azure.RemoteDebug.Json</t>
  </si>
  <si>
    <t>Microsoft.VisualStudio.ServiceProfiler</t>
  </si>
  <si>
    <t>Microsoft.VisualStudio.Services</t>
  </si>
  <si>
    <t>Microsoft.Windows.AzureRemoteApp.Test</t>
  </si>
  <si>
    <t>Microsoft.Windows.RemoteDesktop</t>
  </si>
  <si>
    <t>Microsoft.WindowsAzure.Compute</t>
  </si>
  <si>
    <t>MicrosoftAzureSiteRecovery</t>
  </si>
  <si>
    <t>MicrosoftBizTalkServer</t>
  </si>
  <si>
    <t>MicrosoftDynamicsAX</t>
  </si>
  <si>
    <t>MicrosoftDynamicsGP</t>
  </si>
  <si>
    <t>MicrosoftDynamicsNAV</t>
  </si>
  <si>
    <t>MicrosoftHybridCloudStorage</t>
  </si>
  <si>
    <t>MicrosoftOSTC</t>
  </si>
  <si>
    <t>microsoftoxa</t>
  </si>
  <si>
    <t>MicrosoftRServer</t>
  </si>
  <si>
    <t>MicrosoftSharePoint</t>
  </si>
  <si>
    <t>MicrosoftSQLServer</t>
  </si>
  <si>
    <t>MicrosoftVisualStudio</t>
  </si>
  <si>
    <t>MicrosoftWindowsServer</t>
  </si>
  <si>
    <t>MicrosoftWindowsServerEssentials</t>
  </si>
  <si>
    <t>MicrosoftWindowsServerHPCPack</t>
  </si>
  <si>
    <t>MicrosoftWindowsServerRemoteDesktop</t>
  </si>
  <si>
    <t>midvision</t>
  </si>
  <si>
    <t>mindcti</t>
  </si>
  <si>
    <t>miraclelinux</t>
  </si>
  <si>
    <t>miracl_linux</t>
  </si>
  <si>
    <t>mobilab</t>
  </si>
  <si>
    <t>moviemasher</t>
  </si>
  <si>
    <t>msopentech</t>
  </si>
  <si>
    <t>msrazuresapservices</t>
  </si>
  <si>
    <t>mtnfog</t>
  </si>
  <si>
    <t>mvp-systems</t>
  </si>
  <si>
    <t>mxhero</t>
  </si>
  <si>
    <t>my-com</t>
  </si>
  <si>
    <t>namirial</t>
  </si>
  <si>
    <t>narrativescience</t>
  </si>
  <si>
    <t>ncbi</t>
  </si>
  <si>
    <t>ndl</t>
  </si>
  <si>
    <t>netapp</t>
  </si>
  <si>
    <t>netatwork</t>
  </si>
  <si>
    <t>netgate</t>
  </si>
  <si>
    <t>netiq</t>
  </si>
  <si>
    <t>netmail</t>
  </si>
  <si>
    <t>netsil</t>
  </si>
  <si>
    <t>netwrix</t>
  </si>
  <si>
    <t>neusoft-neteye</t>
  </si>
  <si>
    <t>nextlimit</t>
  </si>
  <si>
    <t>nginxinc</t>
  </si>
  <si>
    <t>nicepeopleatwork</t>
  </si>
  <si>
    <t>nodejsapi</t>
  </si>
  <si>
    <t>nodesource</t>
  </si>
  <si>
    <t>noobaa</t>
  </si>
  <si>
    <t>norsync</t>
  </si>
  <si>
    <t>northbridge-secure</t>
  </si>
  <si>
    <t>nuxeo</t>
  </si>
  <si>
    <t>OctopusDeploy.Tentacle</t>
  </si>
  <si>
    <t>omega-software</t>
  </si>
  <si>
    <t>ooyala</t>
  </si>
  <si>
    <t>op5</t>
  </si>
  <si>
    <t>opencell</t>
  </si>
  <si>
    <t>OpenLogic</t>
  </si>
  <si>
    <t>opennebulasystems</t>
  </si>
  <si>
    <t>opentext</t>
  </si>
  <si>
    <t>opslogix</t>
  </si>
  <si>
    <t>Oracle</t>
  </si>
  <si>
    <t>orientdb</t>
  </si>
  <si>
    <t>osisoft</t>
  </si>
  <si>
    <t>osnexus</t>
  </si>
  <si>
    <t>outsystems</t>
  </si>
  <si>
    <t>paloaltonetworks</t>
  </si>
  <si>
    <t>panorama-necto</t>
  </si>
  <si>
    <t>panzura-file-system</t>
  </si>
  <si>
    <t>parallels</t>
  </si>
  <si>
    <t>parasoft</t>
  </si>
  <si>
    <t>passlogy</t>
  </si>
  <si>
    <t>paxata</t>
  </si>
  <si>
    <t>pivotal</t>
  </si>
  <si>
    <t>plesk</t>
  </si>
  <si>
    <t>portalarchitects</t>
  </si>
  <si>
    <t>postgres-pro</t>
  </si>
  <si>
    <t>predictionio</t>
  </si>
  <si>
    <t>predixion</t>
  </si>
  <si>
    <t>prestashop</t>
  </si>
  <si>
    <t>prime-strategy</t>
  </si>
  <si>
    <t>process-one</t>
  </si>
  <si>
    <t>profisee</t>
  </si>
  <si>
    <t>progelspa</t>
  </si>
  <si>
    <t>ptsecurity</t>
  </si>
  <si>
    <t>puppet</t>
  </si>
  <si>
    <t>PuppetLabs</t>
  </si>
  <si>
    <t>PuppetLabs.Test</t>
  </si>
  <si>
    <t>pydio</t>
  </si>
  <si>
    <t>pyramidanalytics</t>
  </si>
  <si>
    <t>qlik</t>
  </si>
  <si>
    <t>Qualys</t>
  </si>
  <si>
    <t>qualysguard</t>
  </si>
  <si>
    <t>quasardb</t>
  </si>
  <si>
    <t>qubole</t>
  </si>
  <si>
    <t>qubole-inc</t>
  </si>
  <si>
    <t>radware</t>
  </si>
  <si>
    <t>rancher</t>
  </si>
  <si>
    <t>rapid7</t>
  </si>
  <si>
    <t>realm</t>
  </si>
  <si>
    <t>RedHat</t>
  </si>
  <si>
    <t>redpoint-global</t>
  </si>
  <si>
    <t>relevance-lab</t>
  </si>
  <si>
    <t>remotelearner</t>
  </si>
  <si>
    <t>res</t>
  </si>
  <si>
    <t>revolution-analytics</t>
  </si>
  <si>
    <t>RightScaleLinux</t>
  </si>
  <si>
    <t>RightScaleWindowsServer</t>
  </si>
  <si>
    <t>riverbed</t>
  </si>
  <si>
    <t>RiverbedTechnology</t>
  </si>
  <si>
    <t>rocketsoftware</t>
  </si>
  <si>
    <t>rocket_software</t>
  </si>
  <si>
    <t>roktech</t>
  </si>
  <si>
    <t>saama</t>
  </si>
  <si>
    <t>saltstack</t>
  </si>
  <si>
    <t>samsung-sds</t>
  </si>
  <si>
    <t>samsungsds-cello</t>
  </si>
  <si>
    <t>sap</t>
  </si>
  <si>
    <t>scalearc</t>
  </si>
  <si>
    <t>scalebase</t>
  </si>
  <si>
    <t>scalegrid</t>
  </si>
  <si>
    <t>sensorberg</t>
  </si>
  <si>
    <t>sentryone</t>
  </si>
  <si>
    <t>shadow-soft</t>
  </si>
  <si>
    <t>sharefile</t>
  </si>
  <si>
    <t>shareshiftneeraj.test</t>
  </si>
  <si>
    <t>sidm</t>
  </si>
  <si>
    <t>sightapps</t>
  </si>
  <si>
    <t>silver-peak-systems</t>
  </si>
  <si>
    <t>simmachinesinc</t>
  </si>
  <si>
    <t>sinefa</t>
  </si>
  <si>
    <t>sios_datakeeper</t>
  </si>
  <si>
    <t>sisense</t>
  </si>
  <si>
    <t>Site24x7</t>
  </si>
  <si>
    <t>skyarc</t>
  </si>
  <si>
    <t>slamby</t>
  </si>
  <si>
    <t>smartmessage-autoflow</t>
  </si>
  <si>
    <t>snaplogic</t>
  </si>
  <si>
    <t>soasta</t>
  </si>
  <si>
    <t>softnas</t>
  </si>
  <si>
    <t>soha</t>
  </si>
  <si>
    <t>solanolabs</t>
  </si>
  <si>
    <t>solarwinds</t>
  </si>
  <si>
    <t>sophos</t>
  </si>
  <si>
    <t>spacecurve</t>
  </si>
  <si>
    <t>spagobi</t>
  </si>
  <si>
    <t>sphere3d</t>
  </si>
  <si>
    <t>splunk</t>
  </si>
  <si>
    <t>sqream</t>
  </si>
  <si>
    <t>src-solution</t>
  </si>
  <si>
    <t>stackato-platform-as-a-service</t>
  </si>
  <si>
    <t>stackstorm</t>
  </si>
  <si>
    <t>starwind</t>
  </si>
  <si>
    <t>StatusReport.Diagnostics.Test</t>
  </si>
  <si>
    <t>stealthbits</t>
  </si>
  <si>
    <t>steelhive</t>
  </si>
  <si>
    <t>stonefly</t>
  </si>
  <si>
    <t>stormshield</t>
  </si>
  <si>
    <t>storreduce</t>
  </si>
  <si>
    <t>stratalux</t>
  </si>
  <si>
    <t>stratis-group-ltd</t>
  </si>
  <si>
    <t>stratus-id</t>
  </si>
  <si>
    <t>streamsets</t>
  </si>
  <si>
    <t>striim</t>
  </si>
  <si>
    <t>sumologic</t>
  </si>
  <si>
    <t>SUSE</t>
  </si>
  <si>
    <t>Symantec</t>
  </si>
  <si>
    <t>Symantec.QA</t>
  </si>
  <si>
    <t>Symantec.staging</t>
  </si>
  <si>
    <t>Symantec.test</t>
  </si>
  <si>
    <t>Symantec.test.ru2.latest</t>
  </si>
  <si>
    <t>Symantec.test.ru2final</t>
  </si>
  <si>
    <t>Symantec.test.ru2latest1</t>
  </si>
  <si>
    <t>Symantec.test.ru4mp1</t>
  </si>
  <si>
    <t>Symantec.test.ru4mp1.latest</t>
  </si>
  <si>
    <t>Symantec.test.ru4mp1final</t>
  </si>
  <si>
    <t>symantectest1</t>
  </si>
  <si>
    <t>synack-inc</t>
  </si>
  <si>
    <t>syncfusion</t>
  </si>
  <si>
    <t>syncfusionbigdataplatfor</t>
  </si>
  <si>
    <t>syncfusiondashboard</t>
  </si>
  <si>
    <t>synechron-technologies</t>
  </si>
  <si>
    <t>tableau</t>
  </si>
  <si>
    <t>tactic</t>
  </si>
  <si>
    <t>talena-inc</t>
  </si>
  <si>
    <t>talon</t>
  </si>
  <si>
    <t>targit</t>
  </si>
  <si>
    <t>tavendo</t>
  </si>
  <si>
    <t>techdivision</t>
  </si>
  <si>
    <t>telepat</t>
  </si>
  <si>
    <t>tenable</t>
  </si>
  <si>
    <t>teradata</t>
  </si>
  <si>
    <t>Teradici</t>
  </si>
  <si>
    <t>Test.Gemalto.SafeNet.ProtectV</t>
  </si>
  <si>
    <t>Test.HP.AppDefender</t>
  </si>
  <si>
    <t>Test.Microsoft.VisualStudio.Services</t>
  </si>
  <si>
    <t>Test.NJHP.AppDefender</t>
  </si>
  <si>
    <t>Test.TrendMicro.DeepSecurity</t>
  </si>
  <si>
    <t>Test1.NJHP.AppDefender</t>
  </si>
  <si>
    <t>Test3.Microsoft.VisualStudio.Services</t>
  </si>
  <si>
    <t>thales-vormetric</t>
  </si>
  <si>
    <t>tibco-software</t>
  </si>
  <si>
    <t>tig</t>
  </si>
  <si>
    <t>tokyosystemhouse</t>
  </si>
  <si>
    <t>topdesk</t>
  </si>
  <si>
    <t>torusware</t>
  </si>
  <si>
    <t>townsend-security</t>
  </si>
  <si>
    <t>transvault</t>
  </si>
  <si>
    <t>trendmicro</t>
  </si>
  <si>
    <t>TrendMicro.DeepSecurity</t>
  </si>
  <si>
    <t>TrendMicro.DeepSecurity.Test</t>
  </si>
  <si>
    <t>TrendMicro.PortalProtect</t>
  </si>
  <si>
    <t>tresorit</t>
  </si>
  <si>
    <t>tsa-public-service</t>
  </si>
  <si>
    <t>twistlock</t>
  </si>
  <si>
    <t>typesafe</t>
  </si>
  <si>
    <t>ubeeko</t>
  </si>
  <si>
    <t>ubercloud</t>
  </si>
  <si>
    <t>ulex</t>
  </si>
  <si>
    <t>unidesk</t>
  </si>
  <si>
    <t>unidesk-corp</t>
  </si>
  <si>
    <t>unify-cloud-llc</t>
  </si>
  <si>
    <t>uniprint-net</t>
  </si>
  <si>
    <t>unisys-azuremp-stealth</t>
  </si>
  <si>
    <t>unitrends</t>
  </si>
  <si>
    <t>usp</t>
  </si>
  <si>
    <t>varnish</t>
  </si>
  <si>
    <t>vbot</t>
  </si>
  <si>
    <t>veeam</t>
  </si>
  <si>
    <t>velostrata</t>
  </si>
  <si>
    <t>velostrata-inc</t>
  </si>
  <si>
    <t>ventify</t>
  </si>
  <si>
    <t>veritas</t>
  </si>
  <si>
    <t>versasec</t>
  </si>
  <si>
    <t>vertabelo</t>
  </si>
  <si>
    <t>vidispine</t>
  </si>
  <si>
    <t>vidizmo</t>
  </si>
  <si>
    <t>vintegris</t>
  </si>
  <si>
    <t>viptela</t>
  </si>
  <si>
    <t>vircom</t>
  </si>
  <si>
    <t>vizixiotplatformretail001</t>
  </si>
  <si>
    <t>vmturbo</t>
  </si>
  <si>
    <t>Vormetric</t>
  </si>
  <si>
    <t>vte</t>
  </si>
  <si>
    <t>WAD2AI.Diagnostics.Test</t>
  </si>
  <si>
    <t>WAD2EventHub.Diagnostics.Test</t>
  </si>
  <si>
    <t>wallix</t>
  </si>
  <si>
    <t>waratek</t>
  </si>
  <si>
    <t>wardy-it-solutions</t>
  </si>
  <si>
    <t>warewolf-esb</t>
  </si>
  <si>
    <t>waves</t>
  </si>
  <si>
    <t>websense-apmailpe</t>
  </si>
  <si>
    <t>winmagic_securedoc_cloudvm</t>
  </si>
  <si>
    <t>wmspanel</t>
  </si>
  <si>
    <t>workspot</t>
  </si>
  <si>
    <t>wowza</t>
  </si>
  <si>
    <t>xebialabs</t>
  </si>
  <si>
    <t>xfinityinc</t>
  </si>
  <si>
    <t>xrm</t>
  </si>
  <si>
    <t>xtremedata</t>
  </si>
  <si>
    <t>yellowfin</t>
  </si>
  <si>
    <t>your-shop-online</t>
  </si>
  <si>
    <t>zementis</t>
  </si>
  <si>
    <t>zend</t>
  </si>
  <si>
    <t>zerodown_software</t>
  </si>
  <si>
    <t>zerto</t>
  </si>
  <si>
    <t>zoomdata</t>
  </si>
  <si>
    <t>zscaler</t>
  </si>
  <si>
    <t>GetValue</t>
  </si>
  <si>
    <t>(rangeName) =&gt; 
    let
      name = Excel.CurrentWorkbook(){[Name=rangeName]}[Content],
      value = name{0}[Column1]
    in
      value</t>
  </si>
  <si>
    <t>Windows-HUB</t>
  </si>
  <si>
    <t>WindowsServer</t>
  </si>
  <si>
    <t>Publisher Offers</t>
  </si>
  <si>
    <t>2008-R2-SP1</t>
  </si>
  <si>
    <t>2008-R2-SP1-smalldisk</t>
  </si>
  <si>
    <t>2012-Datacenter</t>
  </si>
  <si>
    <t>2012-Datacenter-smalldisk</t>
  </si>
  <si>
    <t>2012-R2-Datacenter</t>
  </si>
  <si>
    <t>2012-R2-Datacenter-smalldisk</t>
  </si>
  <si>
    <t>2016-Datacenter</t>
  </si>
  <si>
    <t>2016-Datacenter-Server-Core</t>
  </si>
  <si>
    <t>2016-Datacenter-Server-Core-smalldisk</t>
  </si>
  <si>
    <t>2016-Datacenter-smalldisk</t>
  </si>
  <si>
    <t>2016-Datacenter-with-Containers</t>
  </si>
  <si>
    <t>2016-Nano-Server</t>
  </si>
  <si>
    <t>Azure Image SKUs</t>
  </si>
  <si>
    <t>Azure Image Version</t>
  </si>
  <si>
    <t>2016.127.20170406</t>
  </si>
  <si>
    <t>2016.127.20170421</t>
  </si>
  <si>
    <t>2016.127.20170510</t>
  </si>
  <si>
    <t>2016.127.20170630</t>
  </si>
  <si>
    <t>Subscription ID</t>
  </si>
  <si>
    <t>VM Name</t>
  </si>
  <si>
    <t>Networking</t>
  </si>
  <si>
    <t>Vnet Name</t>
  </si>
  <si>
    <t>Subnet ID</t>
  </si>
  <si>
    <t>Monitoring Diagnostics</t>
  </si>
  <si>
    <t>Image Publisher</t>
  </si>
  <si>
    <t>BYO License</t>
  </si>
  <si>
    <t>VM Size</t>
  </si>
  <si>
    <t>Resource Group</t>
  </si>
  <si>
    <t>Settings</t>
  </si>
  <si>
    <t>Availability Set</t>
  </si>
  <si>
    <t>Virtual Machine</t>
  </si>
  <si>
    <t>Build Log</t>
  </si>
  <si>
    <t>Value.name</t>
  </si>
  <si>
    <t>Value.numberOfCores</t>
  </si>
  <si>
    <t>Value.osDiskSizeInMB</t>
  </si>
  <si>
    <t>Value.resourceDiskSizeInMB</t>
  </si>
  <si>
    <t>Value.memoryInMB</t>
  </si>
  <si>
    <t>Value.maxDataDiskCount</t>
  </si>
  <si>
    <t>value</t>
  </si>
  <si>
    <t>VMTEST</t>
  </si>
  <si>
    <t>AustraliaEast</t>
  </si>
  <si>
    <t>AustraliaSouthEast</t>
  </si>
  <si>
    <t>None</t>
  </si>
  <si>
    <t>Daily</t>
  </si>
  <si>
    <t>Weekly</t>
  </si>
  <si>
    <t>Snapshot</t>
  </si>
  <si>
    <t>Boolean</t>
  </si>
  <si>
    <t>Yes</t>
  </si>
  <si>
    <t>No</t>
  </si>
  <si>
    <t>Availability  Hours</t>
  </si>
  <si>
    <t xml:space="preserve">Hours </t>
  </si>
  <si>
    <t>Mon-Fri 8am - 5 PM (8x5)</t>
  </si>
  <si>
    <t>Mon-Sun 8am - 5 PM (8x7)</t>
  </si>
  <si>
    <t>Mon-Sunday (24x7)</t>
  </si>
  <si>
    <t>Mon - Friday (24x5)</t>
  </si>
  <si>
    <t>Value.id</t>
  </si>
  <si>
    <t>Value.etag</t>
  </si>
  <si>
    <t>Value.type</t>
  </si>
  <si>
    <t>Value.location</t>
  </si>
  <si>
    <t>Value.properties</t>
  </si>
  <si>
    <t>Microsoft.Network/virtualNetworks</t>
  </si>
  <si>
    <t>[Record]</t>
  </si>
  <si>
    <t>australiasoutheast</t>
  </si>
  <si>
    <t>SubcriptionURL</t>
  </si>
  <si>
    <t>Value.properties.provisioningState</t>
  </si>
  <si>
    <t>Value.properties.addressPrefix</t>
  </si>
  <si>
    <t>Succeeded</t>
  </si>
  <si>
    <t>Value.properties.ipConfigurations.id</t>
  </si>
  <si>
    <t>_DSCManagedNode</t>
  </si>
  <si>
    <t>_virtualNetwork</t>
  </si>
  <si>
    <t>_availabilitySet</t>
  </si>
  <si>
    <t>_publicIPAddress</t>
  </si>
  <si>
    <t>_artifactsLocation</t>
  </si>
  <si>
    <t>_artifactsLocationSasToken</t>
  </si>
  <si>
    <t>virtualMachineName</t>
  </si>
  <si>
    <t>virtualMachineSize</t>
  </si>
  <si>
    <t>adminUsername</t>
  </si>
  <si>
    <t>virtualNetworkName</t>
  </si>
  <si>
    <t>networkInterfaceName</t>
  </si>
  <si>
    <t>networkSecurityGroupName</t>
  </si>
  <si>
    <t>adminPassword</t>
  </si>
  <si>
    <t>availabilitySetName</t>
  </si>
  <si>
    <t>availabilitySetPlatformFaultDomainCount</t>
  </si>
  <si>
    <t>availabilitySetPlatformUpdateDomainCount</t>
  </si>
  <si>
    <t>subnetName</t>
  </si>
  <si>
    <t>publicIpAddressName</t>
  </si>
  <si>
    <t>AutomationRegURL</t>
  </si>
  <si>
    <t>AutomationRegKey</t>
  </si>
  <si>
    <t>DSCModuleLocation</t>
  </si>
  <si>
    <t>DSCConfigurationFunction</t>
  </si>
  <si>
    <t>diagsticsStorageAccountName</t>
  </si>
  <si>
    <t>diagsticsStorageAccountId</t>
  </si>
  <si>
    <t>diagsticsStorageAccount</t>
  </si>
  <si>
    <t>ImagePublisher</t>
  </si>
  <si>
    <t>PublisherOffers</t>
  </si>
  <si>
    <t>AzureImageVersion</t>
  </si>
  <si>
    <t>AzureImageSKUs</t>
  </si>
  <si>
    <t>BYOLicense</t>
  </si>
  <si>
    <t>_AutomationAccountName</t>
  </si>
  <si>
    <t>Managed Disk</t>
  </si>
  <si>
    <t>InternalIPAddressDHCP</t>
  </si>
  <si>
    <t>resourceGroupName</t>
  </si>
  <si>
    <t>_newResourceGroup</t>
  </si>
  <si>
    <t xml:space="preserve">Environment (Prod DEV) </t>
  </si>
  <si>
    <t>DSC Managed Node</t>
  </si>
  <si>
    <t>DSC Role</t>
  </si>
  <si>
    <t>New</t>
  </si>
  <si>
    <t>Existing</t>
  </si>
  <si>
    <t>Resource Group Lookup</t>
  </si>
  <si>
    <t>Resource Group Name</t>
  </si>
  <si>
    <t xml:space="preserve">Storage Account </t>
  </si>
  <si>
    <t xml:space="preserve">Avalability Set </t>
  </si>
  <si>
    <t>Availability Set Name</t>
  </si>
  <si>
    <t>Storage Account Name</t>
  </si>
  <si>
    <t>vNet</t>
  </si>
  <si>
    <t>Network Interface name</t>
  </si>
  <si>
    <t>Subnet Prefix</t>
  </si>
  <si>
    <t>VM Agent</t>
  </si>
  <si>
    <t>Monitoring</t>
  </si>
  <si>
    <t>VMAgent</t>
  </si>
  <si>
    <t>NSG Name</t>
  </si>
  <si>
    <t>DSC Node Type</t>
  </si>
  <si>
    <t>IIS-Web</t>
  </si>
  <si>
    <t>Domain Controller</t>
  </si>
  <si>
    <t>RDS-Gateway</t>
  </si>
  <si>
    <t>RDS-Broker</t>
  </si>
  <si>
    <t>RDS-SessionHost</t>
  </si>
  <si>
    <t>SQL Cluster Node</t>
  </si>
  <si>
    <t>SQL Witness</t>
  </si>
  <si>
    <t>Sub-CA</t>
  </si>
  <si>
    <t>Update Domains</t>
  </si>
  <si>
    <t>Fault Domains</t>
  </si>
  <si>
    <t>1e</t>
  </si>
  <si>
    <t>5nine-software-inc</t>
  </si>
  <si>
    <t>altamira-corporation</t>
  </si>
  <si>
    <t>altova</t>
  </si>
  <si>
    <t>arista-networks</t>
  </si>
  <si>
    <t>auraportal</t>
  </si>
  <si>
    <t>azuretesting3</t>
  </si>
  <si>
    <t>blk-technologies</t>
  </si>
  <si>
    <t>catechnologies</t>
  </si>
  <si>
    <t>center-for-internet-security-inc</t>
  </si>
  <si>
    <t>cinegy-gmbh</t>
  </si>
  <si>
    <t>cloudenablers-inc</t>
  </si>
  <si>
    <t>cloudlanes</t>
  </si>
  <si>
    <t>databricks</t>
  </si>
  <si>
    <t>datacastlered</t>
  </si>
  <si>
    <t>elasticbeam</t>
  </si>
  <si>
    <t>flashgrid-inc</t>
  </si>
  <si>
    <t>image-technologies</t>
  </si>
  <si>
    <t>intelligent-plant-ltd</t>
  </si>
  <si>
    <t>kepion</t>
  </si>
  <si>
    <t>kobalt</t>
  </si>
  <si>
    <t>liebsoft</t>
  </si>
  <si>
    <t>microsoft-azure-batch</t>
  </si>
  <si>
    <t>Microsoft.Azure.Monitoring.DependencyAgent</t>
  </si>
  <si>
    <t>Microsoft.Azure.Performance.Diagnostics</t>
  </si>
  <si>
    <t>Microsoft.Azure.RecoveryServices.SiteRecovery2</t>
  </si>
  <si>
    <t>Microsoft.EnterpriseCloud.Monitoring.Test</t>
  </si>
  <si>
    <t>Microsoft.TestSqlServer.Edp</t>
  </si>
  <si>
    <t>MicrosoftWindowsDesktop</t>
  </si>
  <si>
    <t>naaraaadvertising</t>
  </si>
  <si>
    <t>nebbiolo-technologies-inc</t>
  </si>
  <si>
    <t>netikus-net-ltd</t>
  </si>
  <si>
    <t>o2mc-real-time-data-platform</t>
  </si>
  <si>
    <t>opsview-limited</t>
  </si>
  <si>
    <t>penta-security-systems-inc</t>
  </si>
  <si>
    <t>profiler2.diagnostics.test</t>
  </si>
  <si>
    <t>pulse-secure</t>
  </si>
  <si>
    <t>Rapid7.InsightPlatform</t>
  </si>
  <si>
    <t>rapidminer</t>
  </si>
  <si>
    <t>rsa-security-llc</t>
  </si>
  <si>
    <t>service-control-inc</t>
  </si>
  <si>
    <t>sonicwall-inc</t>
  </si>
  <si>
    <t>sqlstream</t>
  </si>
  <si>
    <t>Stackify.LinuxAgent.Extension</t>
  </si>
  <si>
    <t>Symantec.CloudWorkloadProtection</t>
  </si>
  <si>
    <t>Symantec.CloudWorkloadProtection.Test</t>
  </si>
  <si>
    <t>Symantec.CloudWorkloadProtection.TestOnStage</t>
  </si>
  <si>
    <t>te-systems</t>
  </si>
  <si>
    <t>tunnelbiz</t>
  </si>
  <si>
    <t>vu-llc</t>
  </si>
  <si>
    <t>/Subscriptions/1058ed27-4a60-4cec-b145-768f7c1e37ef/Providers/Microsoft.Compute/Locations/australiaeast/Publishers/MicrosoftWindowsServer/ArtifactTypes/VMImage/Offers/Windows-HUB</t>
  </si>
  <si>
    <t>/Subscriptions/1058ed27-4a60-4cec-b145-768f7c1e37ef/Providers/Microsoft.Compute/Locations/australiaeast/Publishers/MicrosoftWindowsServer/ArtifactTypes/VMImage/Offers/WindowsServer</t>
  </si>
  <si>
    <t>/Subscriptions/1058ed27-4a60-4cec-b145-768f7c1e37ef/Providers/Microsoft.Compute/Locations/australiaeast/Publishers/MicrosoftWindowsServer/ArtifactTypes/VMImage/Offers/WindowsServer/Skus/2008-R2-SP1</t>
  </si>
  <si>
    <t>/Subscriptions/1058ed27-4a60-4cec-b145-768f7c1e37ef/Providers/Microsoft.Compute/Locations/australiaeast/Publishers/MicrosoftWindowsServer/ArtifactTypes/VMImage/Offers/WindowsServer/Skus/2008-R2-SP1-smalldisk</t>
  </si>
  <si>
    <t>/Subscriptions/1058ed27-4a60-4cec-b145-768f7c1e37ef/Providers/Microsoft.Compute/Locations/australiaeast/Publishers/MicrosoftWindowsServer/ArtifactTypes/VMImage/Offers/WindowsServer/Skus/2012-Datacenter</t>
  </si>
  <si>
    <t>/Subscriptions/1058ed27-4a60-4cec-b145-768f7c1e37ef/Providers/Microsoft.Compute/Locations/australiaeast/Publishers/MicrosoftWindowsServer/ArtifactTypes/VMImage/Offers/WindowsServer/Skus/2012-Datacenter-smalldisk</t>
  </si>
  <si>
    <t>/Subscriptions/1058ed27-4a60-4cec-b145-768f7c1e37ef/Providers/Microsoft.Compute/Locations/australiaeast/Publishers/MicrosoftWindowsServer/ArtifactTypes/VMImage/Offers/WindowsServer/Skus/2012-R2-Datacenter</t>
  </si>
  <si>
    <t>/Subscriptions/1058ed27-4a60-4cec-b145-768f7c1e37ef/Providers/Microsoft.Compute/Locations/australiaeast/Publishers/MicrosoftWindowsServer/ArtifactTypes/VMImage/Offers/WindowsServer/Skus/2012-R2-Datacenter-smalldisk</t>
  </si>
  <si>
    <t>/Subscriptions/1058ed27-4a60-4cec-b145-768f7c1e37ef/Providers/Microsoft.Compute/Locations/australiaeast/Publishers/MicrosoftWindowsServer/ArtifactTypes/VMImage/Offers/WindowsServer/Skus/2016-Datacenter</t>
  </si>
  <si>
    <t>/Subscriptions/1058ed27-4a60-4cec-b145-768f7c1e37ef/Providers/Microsoft.Compute/Locations/australiaeast/Publishers/MicrosoftWindowsServer/ArtifactTypes/VMImage/Offers/WindowsServer/Skus/2016-Datacenter-Server-Core</t>
  </si>
  <si>
    <t>/Subscriptions/1058ed27-4a60-4cec-b145-768f7c1e37ef/Providers/Microsoft.Compute/Locations/australiaeast/Publishers/MicrosoftWindowsServer/ArtifactTypes/VMImage/Offers/WindowsServer/Skus/2016-Datacenter-Server-Core-smalldisk</t>
  </si>
  <si>
    <t>/Subscriptions/1058ed27-4a60-4cec-b145-768f7c1e37ef/Providers/Microsoft.Compute/Locations/australiaeast/Publishers/MicrosoftWindowsServer/ArtifactTypes/VMImage/Offers/WindowsServer/Skus/2016-Datacenter-smalldisk</t>
  </si>
  <si>
    <t>/Subscriptions/1058ed27-4a60-4cec-b145-768f7c1e37ef/Providers/Microsoft.Compute/Locations/australiaeast/Publishers/MicrosoftWindowsServer/ArtifactTypes/VMImage/Offers/WindowsServer/Skus/2016-Datacenter-with-Containers</t>
  </si>
  <si>
    <t>2016-Datacenter-with-RDSH</t>
  </si>
  <si>
    <t>/Subscriptions/1058ed27-4a60-4cec-b145-768f7c1e37ef/Providers/Microsoft.Compute/Locations/australiaeast/Publishers/MicrosoftWindowsServer/ArtifactTypes/VMImage/Offers/WindowsServer/Skus/2016-Datacenter-with-RDSH</t>
  </si>
  <si>
    <t>/Subscriptions/1058ed27-4a60-4cec-b145-768f7c1e37ef/Providers/Microsoft.Compute/Locations/australiaeast/Publishers/MicrosoftWindowsServer/ArtifactTypes/VMImage/Offers/WindowsServer/Skus/2016-Nano-Server</t>
  </si>
  <si>
    <t>/Subscriptions/1058ed27-4a60-4cec-b145-768f7c1e37ef/Providers/Microsoft.Compute/Locations/australiaeast/Publishers/MicrosoftWindowsServer/ArtifactTypes/VMImage/Offers/WindowsServer/Skus/2016-Datacenter/Versions/2016.127.20170406</t>
  </si>
  <si>
    <t>/Subscriptions/1058ed27-4a60-4cec-b145-768f7c1e37ef/Providers/Microsoft.Compute/Locations/australiaeast/Publishers/MicrosoftWindowsServer/ArtifactTypes/VMImage/Offers/WindowsServer/Skus/2016-Datacenter/Versions/2016.127.20170421</t>
  </si>
  <si>
    <t>/Subscriptions/1058ed27-4a60-4cec-b145-768f7c1e37ef/Providers/Microsoft.Compute/Locations/australiaeast/Publishers/MicrosoftWindowsServer/ArtifactTypes/VMImage/Offers/WindowsServer/Skus/2016-Datacenter/Versions/2016.127.20170510</t>
  </si>
  <si>
    <t>/Subscriptions/1058ed27-4a60-4cec-b145-768f7c1e37ef/Providers/Microsoft.Compute/Locations/australiaeast/Publishers/MicrosoftWindowsServer/ArtifactTypes/VMImage/Offers/WindowsServer/Skus/2016-Datacenter/Versions/2016.127.20170630</t>
  </si>
  <si>
    <t>2016.127.20170712</t>
  </si>
  <si>
    <t>/Subscriptions/1058ed27-4a60-4cec-b145-768f7c1e37ef/Providers/Microsoft.Compute/Locations/australiaeast/Publishers/MicrosoftWindowsServer/ArtifactTypes/VMImage/Offers/WindowsServer/Skus/2016-Datacenter/Versions/2016.127.20170712</t>
  </si>
  <si>
    <t>2016.127.20170811</t>
  </si>
  <si>
    <t>/Subscriptions/1058ed27-4a60-4cec-b145-768f7c1e37ef/Providers/Microsoft.Compute/Locations/australiaeast/Publishers/MicrosoftWindowsServer/ArtifactTypes/VMImage/Offers/WindowsServer/Skus/2016-Datacenter/Versions/2016.127.20170811</t>
  </si>
  <si>
    <t>IP</t>
  </si>
  <si>
    <t>Static</t>
  </si>
  <si>
    <t>Dynamic</t>
  </si>
  <si>
    <t>Microsoft.Automation/AutomationAccounts</t>
  </si>
  <si>
    <t>AutoamtionAccountURL</t>
  </si>
  <si>
    <t>Value</t>
  </si>
  <si>
    <t>primary</t>
  </si>
  <si>
    <t>secondary</t>
  </si>
  <si>
    <t>id</t>
  </si>
  <si>
    <t>keys</t>
  </si>
  <si>
    <t>endpoint</t>
  </si>
  <si>
    <t>dscMetaConfiguration</t>
  </si>
  <si>
    <t>bojadmin</t>
  </si>
  <si>
    <t>FaultDomain</t>
  </si>
  <si>
    <t>UpdateDomain</t>
  </si>
  <si>
    <t>SubscriptionID</t>
  </si>
  <si>
    <t>1058ed27-4a60-4cec-b145-768f7c1e37ef</t>
  </si>
  <si>
    <t>c6af6ae2-9944-4751-b114-790536486ec8</t>
  </si>
  <si>
    <t>EEPROD01</t>
  </si>
  <si>
    <t>EENONPROD01</t>
  </si>
  <si>
    <t>https://raw.githubusercontent.com/BrettOJ/EEAzureAutomation/master/RDSClusterADJoin/UpdateLCMforAAPull.zip</t>
  </si>
  <si>
    <t>DSCConfigurationScript</t>
  </si>
  <si>
    <t>UpdateLCMforAAPull.ps1</t>
  </si>
  <si>
    <t>ConfigureLCMforAAPull</t>
  </si>
  <si>
    <t>Public IP name</t>
  </si>
  <si>
    <t>New NSG</t>
  </si>
  <si>
    <t>_NewNetworkSecurityGroup</t>
  </si>
  <si>
    <t>diagnosticsStorageAccountName</t>
  </si>
  <si>
    <t>diagnosticsStorageAccountType</t>
  </si>
  <si>
    <t>DiskPerformance</t>
  </si>
  <si>
    <t>DSCNodeRole</t>
  </si>
  <si>
    <t>Spare</t>
  </si>
  <si>
    <t>Diagnostic SA Name</t>
  </si>
  <si>
    <t>Diagnostic SA Type</t>
  </si>
  <si>
    <t>accops</t>
  </si>
  <si>
    <t>feezmodo-consulting-pte-ltd</t>
  </si>
  <si>
    <t>mathworks-deployment</t>
  </si>
  <si>
    <t>Microsoft.Azure.RecoveryServices.WorkloadBackup</t>
  </si>
  <si>
    <t>openvpn</t>
  </si>
  <si>
    <t>racemi-incorporated</t>
  </si>
  <si>
    <t>vaultive-inc</t>
  </si>
  <si>
    <t>VNet_NonProd_aueast</t>
  </si>
  <si>
    <t>/subscriptions/c6af6ae2-9944-4751-b114-790536486ec8/resourceGroups/EENonProdInfraEast/providers/Microsoft.Network/virtualNetworks/VNet_NonProd_aueast</t>
  </si>
  <si>
    <t>scalazessvnet</t>
  </si>
  <si>
    <t>/subscriptions/c6af6ae2-9944-4751-b114-790536486ec8/resourceGroups/test-scaleset-x-rg/providers/Microsoft.Network/virtualNetworks/scalazessvnet</t>
  </si>
  <si>
    <t>W/"8e9a2ec6-27e0-4067-a922-38a761b744a6"</t>
  </si>
  <si>
    <t>test2-appsvc-x-vnet</t>
  </si>
  <si>
    <t>/subscriptions/c6af6ae2-9944-4751-b114-790536486ec8/resourceGroups/test2-appsvc-x-rg/providers/Microsoft.Network/virtualNetworks/test2-appsvc-x-vnet</t>
  </si>
  <si>
    <t>W/"89f540bc-7570-4c01-984c-41962399d650"</t>
  </si>
  <si>
    <t>vNet_xWeb_NonProd_aueast</t>
  </si>
  <si>
    <t>/subscriptions/c6af6ae2-9944-4751-b114-790536486ec8/resourceGroups/xweb-appsvc-uat-rg/providers/Microsoft.Network/virtualNetworks/vNet_xWeb_NonProd_aueast</t>
  </si>
  <si>
    <t>W/"3ce26c6f-a020-4033-96ff-f6d7f0ca309e"</t>
  </si>
  <si>
    <t>VNet_NonProd_ausoutheast</t>
  </si>
  <si>
    <t>/subscriptions/c6af6ae2-9944-4751-b114-790536486ec8/resourceGroups/EENonProdInfraSoutheast/providers/Microsoft.Network/virtualNetworks/VNet_NonProd_ausoutheast</t>
  </si>
  <si>
    <t>W/"e12f94a4-86cd-4d79-babe-fedacda652ba"</t>
  </si>
  <si>
    <t>10.32.0.0/29</t>
  </si>
  <si>
    <t>BrettJewell@1</t>
  </si>
  <si>
    <t>NicPublicIPAddress</t>
  </si>
  <si>
    <t>Public</t>
  </si>
  <si>
    <t>Private</t>
  </si>
  <si>
    <t>NIC Public IP</t>
  </si>
  <si>
    <t>Subnet_Application_NonProd_ausoutheast</t>
  </si>
  <si>
    <t>/subscriptions/c6af6ae2-9944-4751-b114-790536486ec8/resourceGroups/EENonProdInfraSoutheast/providers/Microsoft.Network/virtualNetworks/VNet_NonProd_ausoutheast/subnets/Subnet_Application_NonProd_ausoutheast</t>
  </si>
  <si>
    <t>10.30.208.0/21</t>
  </si>
  <si>
    <t>/subscriptions/c6af6ae2-9944-4751-b114-790536486ec8/resourceGroups/jnaf-appsvc-uat-rg/providers/Microsoft.Network/networkInterfaces/jnafazeaph05801/ipConfigurations/ipconfig1</t>
  </si>
  <si>
    <t>/subscriptions/c6af6ae2-9944-4751-b114-790536486ec8/resourceGroups/jnaf-appsvc-uat-rg/providers/Microsoft.Network/networkInterfaces/jnafazeapp06932/ipConfigurations/ipconfig1</t>
  </si>
  <si>
    <t>Subnet_SecurityAppliance_NonProd_ausoutheast</t>
  </si>
  <si>
    <t>/subscriptions/c6af6ae2-9944-4751-b114-790536486ec8/resourceGroups/EENonProdInfraSoutheast/providers/Microsoft.Network/virtualNetworks/VNet_NonProd_ausoutheast/subnets/Subnet_SecurityAppliance_NonProd_ausoutheast</t>
  </si>
  <si>
    <t>10.30.222.0/24</t>
  </si>
  <si>
    <t>Subnet_DMZ_NonProd_ausoutheast</t>
  </si>
  <si>
    <t>/subscriptions/c6af6ae2-9944-4751-b114-790536486ec8/resourceGroups/EENonProdInfraSoutheast/providers/Microsoft.Network/virtualNetworks/VNet_NonProd_ausoutheast/subnets/Subnet_DMZ_NonProd_ausoutheast</t>
  </si>
  <si>
    <t>10.30.220.0/23</t>
  </si>
  <si>
    <t>GatewaySubnet</t>
  </si>
  <si>
    <t>/subscriptions/c6af6ae2-9944-4751-b114-790536486ec8/resourceGroups/EENonProdInfraSoutheast/providers/Microsoft.Network/virtualNetworks/VNet_NonProd_ausoutheast/subnets/GatewaySubnet</t>
  </si>
  <si>
    <t>10.30.223.240/28</t>
  </si>
  <si>
    <t>/subscriptions/c6af6ae2-9944-4751-b114-790536486ec8/resourceGroups/EENonProdInfraSoutheast/providers/Microsoft.Network/virtualNetworkGateways/GW_01_NonProd_ausoutheast/ipConfigurations/vnetGatewayConfig</t>
  </si>
  <si>
    <t>eevmtest-rg</t>
  </si>
  <si>
    <t>vmteststs01</t>
  </si>
  <si>
    <t>vmtest-avset-s01</t>
  </si>
  <si>
    <t>eevmtest-nsg</t>
  </si>
  <si>
    <t>eevmtest-nic</t>
  </si>
  <si>
    <t>eevmtest-pubip</t>
  </si>
  <si>
    <t>eevmtest-diagsa</t>
  </si>
  <si>
    <t>addressPrefix</t>
  </si>
  <si>
    <t>Diagnostic Enabled</t>
  </si>
  <si>
    <t>_diagnosticsEnabled</t>
  </si>
  <si>
    <t>vNetrg</t>
  </si>
  <si>
    <t>Microsoft.OSTCExtensions.Edp</t>
  </si>
  <si>
    <t>Standard_GS4-4</t>
  </si>
  <si>
    <t>Standard_GS4-8</t>
  </si>
  <si>
    <t>Standard_GS5-8</t>
  </si>
  <si>
    <t>Standard_GS5-16</t>
  </si>
  <si>
    <t>Standard_DS13-2_v2</t>
  </si>
  <si>
    <t>Standard_DS13-4_v2</t>
  </si>
  <si>
    <t>Standard_DS14-4_v2</t>
  </si>
  <si>
    <t>Standard_DS14-8_v2</t>
  </si>
  <si>
    <t>Standard_D2_v3</t>
  </si>
  <si>
    <t>Standard_D4_v3</t>
  </si>
  <si>
    <t>Standard_D8_v3</t>
  </si>
  <si>
    <t>Standard_D16_v3</t>
  </si>
  <si>
    <t>Standard_D32_v3</t>
  </si>
  <si>
    <t>Standard_D64_v3</t>
  </si>
  <si>
    <t>Standard_D2s_v3</t>
  </si>
  <si>
    <t>Standard_D4s_v3</t>
  </si>
  <si>
    <t>Standard_D8s_v3</t>
  </si>
  <si>
    <t>Standard_D16s_v3</t>
  </si>
  <si>
    <t>Standard_D32s_v3</t>
  </si>
  <si>
    <t>Standard_D64s_v3</t>
  </si>
  <si>
    <t>Standard_E2_v3</t>
  </si>
  <si>
    <t>Standard_E4_v3</t>
  </si>
  <si>
    <t>Standard_E8_v3</t>
  </si>
  <si>
    <t>Standard_E16_v3</t>
  </si>
  <si>
    <t>Standard_E32_v3</t>
  </si>
  <si>
    <t>Standard_E64_v3</t>
  </si>
  <si>
    <t>Standard_E2s_v3</t>
  </si>
  <si>
    <t>Standard_E4s_v3</t>
  </si>
  <si>
    <t>Standard_E8s_v3</t>
  </si>
  <si>
    <t>Standard_E16s_v3</t>
  </si>
  <si>
    <t>Standard_E32-8s_v3</t>
  </si>
  <si>
    <t>Standard_E32-16s_v3</t>
  </si>
  <si>
    <t>Standard_E32s_v3</t>
  </si>
  <si>
    <t>Standard_E64-16s_v3</t>
  </si>
  <si>
    <t>Standard_E64-32s_v3</t>
  </si>
  <si>
    <t>Standard_E64s_v3</t>
  </si>
  <si>
    <t>Value.id.1</t>
  </si>
  <si>
    <t>Value.id.2</t>
  </si>
  <si>
    <t>Value.id.3</t>
  </si>
  <si>
    <t>Value.id.4</t>
  </si>
  <si>
    <t>Value.id.5</t>
  </si>
  <si>
    <t>Value.id.6</t>
  </si>
  <si>
    <t>Value.id.7</t>
  </si>
  <si>
    <t>Value.id.8</t>
  </si>
  <si>
    <t>Value.id.9</t>
  </si>
  <si>
    <t>Value.id.10</t>
  </si>
  <si>
    <t>Value.id.11</t>
  </si>
  <si>
    <t>Value.properties.ipConfigurations</t>
  </si>
  <si>
    <t/>
  </si>
  <si>
    <t>subscriptions</t>
  </si>
  <si>
    <t>resourceGroups</t>
  </si>
  <si>
    <t>EENonProdInfraSoutheast</t>
  </si>
  <si>
    <t>providers</t>
  </si>
  <si>
    <t>Microsoft.Network</t>
  </si>
  <si>
    <t>virtualNetworks</t>
  </si>
  <si>
    <t>subnets</t>
  </si>
  <si>
    <t>[List]</t>
  </si>
  <si>
    <t>W/"8a1daab2-81d9-4a2d-9dea-85c2458bb118"</t>
  </si>
  <si>
    <t>/Subscriptions/c6af6ae2-9944-4751-b114-790536486ec8/Providers/Microsoft.Compute/Locations/australiaeast/Publishers/1e</t>
  </si>
  <si>
    <t>/Subscriptions/c6af6ae2-9944-4751-b114-790536486ec8/Providers/Microsoft.Compute/Locations/australiaeast/Publishers/4psa</t>
  </si>
  <si>
    <t>/Subscriptions/c6af6ae2-9944-4751-b114-790536486ec8/Providers/Microsoft.Compute/Locations/australiaeast/Publishers/5nine-software-inc</t>
  </si>
  <si>
    <t>/Subscriptions/c6af6ae2-9944-4751-b114-790536486ec8/Providers/Microsoft.Compute/Locations/australiaeast/Publishers/7isolutions</t>
  </si>
  <si>
    <t>/Subscriptions/c6af6ae2-9944-4751-b114-790536486ec8/Providers/Microsoft.Compute/Locations/australiaeast/Publishers/a10networks</t>
  </si>
  <si>
    <t>/Subscriptions/c6af6ae2-9944-4751-b114-790536486ec8/Providers/Microsoft.Compute/Locations/australiaeast/Publishers/abiquo</t>
  </si>
  <si>
    <t>/Subscriptions/c6af6ae2-9944-4751-b114-790536486ec8/Providers/Microsoft.Compute/Locations/australiaeast/Publishers/accellion</t>
  </si>
  <si>
    <t>/Subscriptions/c6af6ae2-9944-4751-b114-790536486ec8/Providers/Microsoft.Compute/Locations/australiaeast/Publishers/accops</t>
  </si>
  <si>
    <t>/Subscriptions/c6af6ae2-9944-4751-b114-790536486ec8/Providers/Microsoft.Compute/Locations/australiaeast/Publishers/Acronis</t>
  </si>
  <si>
    <t>/Subscriptions/c6af6ae2-9944-4751-b114-790536486ec8/Providers/Microsoft.Compute/Locations/australiaeast/Publishers/Acronis.Backup</t>
  </si>
  <si>
    <t>/Subscriptions/c6af6ae2-9944-4751-b114-790536486ec8/Providers/Microsoft.Compute/Locations/australiaeast/Publishers/actian_matrix</t>
  </si>
  <si>
    <t>/Subscriptions/c6af6ae2-9944-4751-b114-790536486ec8/Providers/Microsoft.Compute/Locations/australiaeast/Publishers/actifio</t>
  </si>
  <si>
    <t>/Subscriptions/c6af6ae2-9944-4751-b114-790536486ec8/Providers/Microsoft.Compute/Locations/australiaeast/Publishers/activeeon</t>
  </si>
  <si>
    <t>/Subscriptions/c6af6ae2-9944-4751-b114-790536486ec8/Providers/Microsoft.Compute/Locations/australiaeast/Publishers/adatao</t>
  </si>
  <si>
    <t>/Subscriptions/c6af6ae2-9944-4751-b114-790536486ec8/Providers/Microsoft.Compute/Locations/australiaeast/Publishers/adobe_test</t>
  </si>
  <si>
    <t>/Subscriptions/c6af6ae2-9944-4751-b114-790536486ec8/Providers/Microsoft.Compute/Locations/australiaeast/Publishers/advantech</t>
  </si>
  <si>
    <t>/Subscriptions/c6af6ae2-9944-4751-b114-790536486ec8/Providers/Microsoft.Compute/Locations/australiaeast/Publishers/advantech-webaccess</t>
  </si>
  <si>
    <t>/Subscriptions/c6af6ae2-9944-4751-b114-790536486ec8/Providers/Microsoft.Compute/Locations/australiaeast/Publishers/aerospike</t>
  </si>
  <si>
    <t>/Subscriptions/c6af6ae2-9944-4751-b114-790536486ec8/Providers/Microsoft.Compute/Locations/australiaeast/Publishers/aerospike-database</t>
  </si>
  <si>
    <t>/Subscriptions/c6af6ae2-9944-4751-b114-790536486ec8/Providers/Microsoft.Compute/Locations/australiaeast/Publishers/AIP.Diagnostics.Test</t>
  </si>
  <si>
    <t>/Subscriptions/c6af6ae2-9944-4751-b114-790536486ec8/Providers/Microsoft.Compute/Locations/australiaeast/Publishers/aiscaler-cache-control-ddos-and-url-rewriting-</t>
  </si>
  <si>
    <t>/Subscriptions/c6af6ae2-9944-4751-b114-790536486ec8/Providers/Microsoft.Compute/Locations/australiaeast/Publishers/akumina</t>
  </si>
  <si>
    <t>/Subscriptions/c6af6ae2-9944-4751-b114-790536486ec8/Providers/Microsoft.Compute/Locations/australiaeast/Publishers/alachisoft</t>
  </si>
  <si>
    <t>/Subscriptions/c6af6ae2-9944-4751-b114-790536486ec8/Providers/Microsoft.Compute/Locations/australiaeast/Publishers/alertlogic</t>
  </si>
  <si>
    <t>/Subscriptions/c6af6ae2-9944-4751-b114-790536486ec8/Providers/Microsoft.Compute/Locations/australiaeast/Publishers/AlertLogic.Extension</t>
  </si>
  <si>
    <t>/Subscriptions/c6af6ae2-9944-4751-b114-790536486ec8/Providers/Microsoft.Compute/Locations/australiaeast/Publishers/algebraix-data</t>
  </si>
  <si>
    <t>/Subscriptions/c6af6ae2-9944-4751-b114-790536486ec8/Providers/Microsoft.Compute/Locations/australiaeast/Publishers/alienvault</t>
  </si>
  <si>
    <t>/Subscriptions/c6af6ae2-9944-4751-b114-790536486ec8/Providers/Microsoft.Compute/Locations/australiaeast/Publishers/alldigital-brevity</t>
  </si>
  <si>
    <t>/Subscriptions/c6af6ae2-9944-4751-b114-790536486ec8/Providers/Microsoft.Compute/Locations/australiaeast/Publishers/altamira-corporation</t>
  </si>
  <si>
    <t>/Subscriptions/c6af6ae2-9944-4751-b114-790536486ec8/Providers/Microsoft.Compute/Locations/australiaeast/Publishers/alteryx</t>
  </si>
  <si>
    <t>/Subscriptions/c6af6ae2-9944-4751-b114-790536486ec8/Providers/Microsoft.Compute/Locations/australiaeast/Publishers/altova</t>
  </si>
  <si>
    <t>/Subscriptions/c6af6ae2-9944-4751-b114-790536486ec8/Providers/Microsoft.Compute/Locations/australiaeast/Publishers/apigee</t>
  </si>
  <si>
    <t>/Subscriptions/c6af6ae2-9944-4751-b114-790536486ec8/Providers/Microsoft.Compute/Locations/australiaeast/Publishers/appcelerator</t>
  </si>
  <si>
    <t>/Subscriptions/c6af6ae2-9944-4751-b114-790536486ec8/Providers/Microsoft.Compute/Locations/australiaeast/Publishers/appex-networks</t>
  </si>
  <si>
    <t>/Subscriptions/c6af6ae2-9944-4751-b114-790536486ec8/Providers/Microsoft.Compute/Locations/australiaeast/Publishers/appistry</t>
  </si>
  <si>
    <t>/Subscriptions/c6af6ae2-9944-4751-b114-790536486ec8/Providers/Microsoft.Compute/Locations/australiaeast/Publishers/appscale-marketplace</t>
  </si>
  <si>
    <t>/Subscriptions/c6af6ae2-9944-4751-b114-790536486ec8/Providers/Microsoft.Compute/Locations/australiaeast/Publishers/aqua-security</t>
  </si>
  <si>
    <t>/Subscriptions/c6af6ae2-9944-4751-b114-790536486ec8/Providers/Microsoft.Compute/Locations/australiaeast/Publishers/arangodb</t>
  </si>
  <si>
    <t>/Subscriptions/c6af6ae2-9944-4751-b114-790536486ec8/Providers/Microsoft.Compute/Locations/australiaeast/Publishers/aras</t>
  </si>
  <si>
    <t>/Subscriptions/c6af6ae2-9944-4751-b114-790536486ec8/Providers/Microsoft.Compute/Locations/australiaeast/Publishers/arista-networks</t>
  </si>
  <si>
    <t>/Subscriptions/c6af6ae2-9944-4751-b114-790536486ec8/Providers/Microsoft.Compute/Locations/australiaeast/Publishers/array_networks</t>
  </si>
  <si>
    <t>/Subscriptions/c6af6ae2-9944-4751-b114-790536486ec8/Providers/Microsoft.Compute/Locations/australiaeast/Publishers/aspex</t>
  </si>
  <si>
    <t>/Subscriptions/c6af6ae2-9944-4751-b114-790536486ec8/Providers/Microsoft.Compute/Locations/australiaeast/Publishers/aspex-managed-cloud</t>
  </si>
  <si>
    <t>/Subscriptions/c6af6ae2-9944-4751-b114-790536486ec8/Providers/Microsoft.Compute/Locations/australiaeast/Publishers/atlassian</t>
  </si>
  <si>
    <t>/Subscriptions/c6af6ae2-9944-4751-b114-790536486ec8/Providers/Microsoft.Compute/Locations/australiaeast/Publishers/atomicorp</t>
  </si>
  <si>
    <t>/Subscriptions/c6af6ae2-9944-4751-b114-790536486ec8/Providers/Microsoft.Compute/Locations/australiaeast/Publishers/attunity_cloudbeam</t>
  </si>
  <si>
    <t>/Subscriptions/c6af6ae2-9944-4751-b114-790536486ec8/Providers/Microsoft.Compute/Locations/australiaeast/Publishers/auraportal</t>
  </si>
  <si>
    <t>/Subscriptions/c6af6ae2-9944-4751-b114-790536486ec8/Providers/Microsoft.Compute/Locations/australiaeast/Publishers/auriq-systems</t>
  </si>
  <si>
    <t>/Subscriptions/c6af6ae2-9944-4751-b114-790536486ec8/Providers/Microsoft.Compute/Locations/australiaeast/Publishers/avds</t>
  </si>
  <si>
    <t>/Subscriptions/c6af6ae2-9944-4751-b114-790536486ec8/Providers/Microsoft.Compute/Locations/australiaeast/Publishers/averesystems</t>
  </si>
  <si>
    <t>/Subscriptions/c6af6ae2-9944-4751-b114-790536486ec8/Providers/Microsoft.Compute/Locations/australiaeast/Publishers/aviatrix-systems</t>
  </si>
  <si>
    <t>/Subscriptions/c6af6ae2-9944-4751-b114-790536486ec8/Providers/Microsoft.Compute/Locations/australiaeast/Publishers/awingu</t>
  </si>
  <si>
    <t>/Subscriptions/c6af6ae2-9944-4751-b114-790536486ec8/Providers/Microsoft.Compute/Locations/australiaeast/Publishers/axway</t>
  </si>
  <si>
    <t>/Subscriptions/c6af6ae2-9944-4751-b114-790536486ec8/Providers/Microsoft.Compute/Locations/australiaeast/Publishers/azul</t>
  </si>
  <si>
    <t>/Subscriptions/c6af6ae2-9944-4751-b114-790536486ec8/Providers/Microsoft.Compute/Locations/australiaeast/Publishers/AzureRT.Test</t>
  </si>
  <si>
    <t>/Subscriptions/c6af6ae2-9944-4751-b114-790536486ec8/Providers/Microsoft.Compute/Locations/australiaeast/Publishers/azuresyncfusion</t>
  </si>
  <si>
    <t>/Subscriptions/c6af6ae2-9944-4751-b114-790536486ec8/Providers/Microsoft.Compute/Locations/australiaeast/Publishers/azuretesting</t>
  </si>
  <si>
    <t>/Subscriptions/c6af6ae2-9944-4751-b114-790536486ec8/Providers/Microsoft.Compute/Locations/australiaeast/Publishers/azuretesting2</t>
  </si>
  <si>
    <t>/Subscriptions/c6af6ae2-9944-4751-b114-790536486ec8/Providers/Microsoft.Compute/Locations/australiaeast/Publishers/azuretesting3</t>
  </si>
  <si>
    <t>/Subscriptions/c6af6ae2-9944-4751-b114-790536486ec8/Providers/Microsoft.Compute/Locations/australiaeast/Publishers/AzureTools1type</t>
  </si>
  <si>
    <t>/Subscriptions/c6af6ae2-9944-4751-b114-790536486ec8/Providers/Microsoft.Compute/Locations/australiaeast/Publishers/balabit</t>
  </si>
  <si>
    <t>/Subscriptions/c6af6ae2-9944-4751-b114-790536486ec8/Providers/Microsoft.Compute/Locations/australiaeast/Publishers/barracudanetworks</t>
  </si>
  <si>
    <t>/Subscriptions/c6af6ae2-9944-4751-b114-790536486ec8/Providers/Microsoft.Compute/Locations/australiaeast/Publishers/basho</t>
  </si>
  <si>
    <t>/Subscriptions/c6af6ae2-9944-4751-b114-790536486ec8/Providers/Microsoft.Compute/Locations/australiaeast/Publishers/batch</t>
  </si>
  <si>
    <t>/Subscriptions/c6af6ae2-9944-4751-b114-790536486ec8/Providers/Microsoft.Compute/Locations/australiaeast/Publishers/bdy</t>
  </si>
  <si>
    <t>/Subscriptions/c6af6ae2-9944-4751-b114-790536486ec8/Providers/Microsoft.Compute/Locations/australiaeast/Publishers/betterdish</t>
  </si>
  <si>
    <t>/Subscriptions/c6af6ae2-9944-4751-b114-790536486ec8/Providers/Microsoft.Compute/Locations/australiaeast/Publishers/beyondtrust</t>
  </si>
  <si>
    <t>/Subscriptions/c6af6ae2-9944-4751-b114-790536486ec8/Providers/Microsoft.Compute/Locations/australiaeast/Publishers/Bitnami</t>
  </si>
  <si>
    <t>/Subscriptions/c6af6ae2-9944-4751-b114-790536486ec8/Providers/Microsoft.Compute/Locations/australiaeast/Publishers/biztalk360</t>
  </si>
  <si>
    <t>/Subscriptions/c6af6ae2-9944-4751-b114-790536486ec8/Providers/Microsoft.Compute/Locations/australiaeast/Publishers/blackberry</t>
  </si>
  <si>
    <t>/Subscriptions/c6af6ae2-9944-4751-b114-790536486ec8/Providers/Microsoft.Compute/Locations/australiaeast/Publishers/blk-technologies</t>
  </si>
  <si>
    <t>/Subscriptions/c6af6ae2-9944-4751-b114-790536486ec8/Providers/Microsoft.Compute/Locations/australiaeast/Publishers/blockapps</t>
  </si>
  <si>
    <t>/Subscriptions/c6af6ae2-9944-4751-b114-790536486ec8/Providers/Microsoft.Compute/Locations/australiaeast/Publishers/blockchain-foundry</t>
  </si>
  <si>
    <t>/Subscriptions/c6af6ae2-9944-4751-b114-790536486ec8/Providers/Microsoft.Compute/Locations/australiaeast/Publishers/blockstack</t>
  </si>
  <si>
    <t>/Subscriptions/c6af6ae2-9944-4751-b114-790536486ec8/Providers/Microsoft.Compute/Locations/australiaeast/Publishers/bluetalon</t>
  </si>
  <si>
    <t>/Subscriptions/c6af6ae2-9944-4751-b114-790536486ec8/Providers/Microsoft.Compute/Locations/australiaeast/Publishers/bmc.ctm</t>
  </si>
  <si>
    <t>/Subscriptions/c6af6ae2-9944-4751-b114-790536486ec8/Providers/Microsoft.Compute/Locations/australiaeast/Publishers/bmcctm.test</t>
  </si>
  <si>
    <t>/Subscriptions/c6af6ae2-9944-4751-b114-790536486ec8/Providers/Microsoft.Compute/Locations/australiaeast/Publishers/boxless</t>
  </si>
  <si>
    <t>/Subscriptions/c6af6ae2-9944-4751-b114-790536486ec8/Providers/Microsoft.Compute/Locations/australiaeast/Publishers/brainshare-it</t>
  </si>
  <si>
    <t>/Subscriptions/c6af6ae2-9944-4751-b114-790536486ec8/Providers/Microsoft.Compute/Locations/australiaeast/Publishers/brocade_communications</t>
  </si>
  <si>
    <t>/Subscriptions/c6af6ae2-9944-4751-b114-790536486ec8/Providers/Microsoft.Compute/Locations/australiaeast/Publishers/bssw</t>
  </si>
  <si>
    <t>/Subscriptions/c6af6ae2-9944-4751-b114-790536486ec8/Providers/Microsoft.Compute/Locations/australiaeast/Publishers/buddhalabs</t>
  </si>
  <si>
    <t>/Subscriptions/c6af6ae2-9944-4751-b114-790536486ec8/Providers/Microsoft.Compute/Locations/australiaeast/Publishers/Canonical</t>
  </si>
  <si>
    <t>/Subscriptions/c6af6ae2-9944-4751-b114-790536486ec8/Providers/Microsoft.Compute/Locations/australiaeast/Publishers/caringo</t>
  </si>
  <si>
    <t>/Subscriptions/c6af6ae2-9944-4751-b114-790536486ec8/Providers/Microsoft.Compute/Locations/australiaeast/Publishers/carto</t>
  </si>
  <si>
    <t>/Subscriptions/c6af6ae2-9944-4751-b114-790536486ec8/Providers/Microsoft.Compute/Locations/australiaeast/Publishers/cask</t>
  </si>
  <si>
    <t>/Subscriptions/c6af6ae2-9944-4751-b114-790536486ec8/Providers/Microsoft.Compute/Locations/australiaeast/Publishers/catechnologies</t>
  </si>
  <si>
    <t>/Subscriptions/c6af6ae2-9944-4751-b114-790536486ec8/Providers/Microsoft.Compute/Locations/australiaeast/Publishers/cautelalabs</t>
  </si>
  <si>
    <t>/Subscriptions/c6af6ae2-9944-4751-b114-790536486ec8/Providers/Microsoft.Compute/Locations/australiaeast/Publishers/cavirin</t>
  </si>
  <si>
    <t>/Subscriptions/c6af6ae2-9944-4751-b114-790536486ec8/Providers/Microsoft.Compute/Locations/australiaeast/Publishers/cbrdashboard</t>
  </si>
  <si>
    <t>/Subscriptions/c6af6ae2-9944-4751-b114-790536486ec8/Providers/Microsoft.Compute/Locations/australiaeast/Publishers/cbreplicator</t>
  </si>
  <si>
    <t>/Subscriptions/c6af6ae2-9944-4751-b114-790536486ec8/Providers/Microsoft.Compute/Locations/australiaeast/Publishers/cds</t>
  </si>
  <si>
    <t>/Subscriptions/c6af6ae2-9944-4751-b114-790536486ec8/Providers/Microsoft.Compute/Locations/australiaeast/Publishers/center-for-internet-security-inc</t>
  </si>
  <si>
    <t>/Subscriptions/c6af6ae2-9944-4751-b114-790536486ec8/Providers/Microsoft.Compute/Locations/australiaeast/Publishers/certivox</t>
  </si>
  <si>
    <t>/Subscriptions/c6af6ae2-9944-4751-b114-790536486ec8/Providers/Microsoft.Compute/Locations/australiaeast/Publishers/cfd-direct</t>
  </si>
  <si>
    <t>/Subscriptions/c6af6ae2-9944-4751-b114-790536486ec8/Providers/Microsoft.Compute/Locations/australiaeast/Publishers/chain</t>
  </si>
  <si>
    <t>/Subscriptions/c6af6ae2-9944-4751-b114-790536486ec8/Providers/Microsoft.Compute/Locations/australiaeast/Publishers/checkpoint</t>
  </si>
  <si>
    <t>/Subscriptions/c6af6ae2-9944-4751-b114-790536486ec8/Providers/Microsoft.Compute/Locations/australiaeast/Publishers/chef-software</t>
  </si>
  <si>
    <t>/Subscriptions/c6af6ae2-9944-4751-b114-790536486ec8/Providers/Microsoft.Compute/Locations/australiaeast/Publishers/Chef.Bootstrap.WindowsAzure</t>
  </si>
  <si>
    <t>/Subscriptions/c6af6ae2-9944-4751-b114-790536486ec8/Providers/Microsoft.Compute/Locations/australiaeast/Publishers/cinegy-gmbh</t>
  </si>
  <si>
    <t>/Subscriptions/c6af6ae2-9944-4751-b114-790536486ec8/Providers/Microsoft.Compute/Locations/australiaeast/Publishers/circleci</t>
  </si>
  <si>
    <t>/Subscriptions/c6af6ae2-9944-4751-b114-790536486ec8/Providers/Microsoft.Compute/Locations/australiaeast/Publishers/cires21</t>
  </si>
  <si>
    <t>/Subscriptions/c6af6ae2-9944-4751-b114-790536486ec8/Providers/Microsoft.Compute/Locations/australiaeast/Publishers/cisco</t>
  </si>
  <si>
    <t>/Subscriptions/c6af6ae2-9944-4751-b114-790536486ec8/Providers/Microsoft.Compute/Locations/australiaeast/Publishers/citrix</t>
  </si>
  <si>
    <t>/Subscriptions/c6af6ae2-9944-4751-b114-790536486ec8/Providers/Microsoft.Compute/Locations/australiaeast/Publishers/clear-linux-project</t>
  </si>
  <si>
    <t>/Subscriptions/c6af6ae2-9944-4751-b114-790536486ec8/Providers/Microsoft.Compute/Locations/australiaeast/Publishers/clouber</t>
  </si>
  <si>
    <t>/Subscriptions/c6af6ae2-9944-4751-b114-790536486ec8/Providers/Microsoft.Compute/Locations/australiaeast/Publishers/cloud-cruiser</t>
  </si>
  <si>
    <t>/Subscriptions/c6af6ae2-9944-4751-b114-790536486ec8/Providers/Microsoft.Compute/Locations/australiaeast/Publishers/cloudbees</t>
  </si>
  <si>
    <t>/Subscriptions/c6af6ae2-9944-4751-b114-790536486ec8/Providers/Microsoft.Compute/Locations/australiaeast/Publishers/cloudbees-enterprise-jenkins</t>
  </si>
  <si>
    <t>/Subscriptions/c6af6ae2-9944-4751-b114-790536486ec8/Providers/Microsoft.Compute/Locations/australiaeast/Publishers/cloudbolt-software</t>
  </si>
  <si>
    <t>/Subscriptions/c6af6ae2-9944-4751-b114-790536486ec8/Providers/Microsoft.Compute/Locations/australiaeast/Publishers/cloudboost</t>
  </si>
  <si>
    <t>/Subscriptions/c6af6ae2-9944-4751-b114-790536486ec8/Providers/Microsoft.Compute/Locations/australiaeast/Publishers/cloudcoreo</t>
  </si>
  <si>
    <t>/Subscriptions/c6af6ae2-9944-4751-b114-790536486ec8/Providers/Microsoft.Compute/Locations/australiaeast/Publishers/cloudcruiser</t>
  </si>
  <si>
    <t>/Subscriptions/c6af6ae2-9944-4751-b114-790536486ec8/Providers/Microsoft.Compute/Locations/australiaeast/Publishers/cloudenablers-inc</t>
  </si>
  <si>
    <t>/Subscriptions/c6af6ae2-9944-4751-b114-790536486ec8/Providers/Microsoft.Compute/Locations/australiaeast/Publishers/cloudera</t>
  </si>
  <si>
    <t>/Subscriptions/c6af6ae2-9944-4751-b114-790536486ec8/Providers/Microsoft.Compute/Locations/australiaeast/Publishers/cloudera1qaz2wsx</t>
  </si>
  <si>
    <t>/Subscriptions/c6af6ae2-9944-4751-b114-790536486ec8/Providers/Microsoft.Compute/Locations/australiaeast/Publishers/cloudhouse</t>
  </si>
  <si>
    <t>/Subscriptions/c6af6ae2-9944-4751-b114-790536486ec8/Providers/Microsoft.Compute/Locations/australiaeast/Publishers/cloudhub-technologies</t>
  </si>
  <si>
    <t>/Subscriptions/c6af6ae2-9944-4751-b114-790536486ec8/Providers/Microsoft.Compute/Locations/australiaeast/Publishers/cloudify</t>
  </si>
  <si>
    <t>/Subscriptions/c6af6ae2-9944-4751-b114-790536486ec8/Providers/Microsoft.Compute/Locations/australiaeast/Publishers/cloudlanes</t>
  </si>
  <si>
    <t>/Subscriptions/c6af6ae2-9944-4751-b114-790536486ec8/Providers/Microsoft.Compute/Locations/australiaeast/Publishers/cloudlink</t>
  </si>
  <si>
    <t>/Subscriptions/c6af6ae2-9944-4751-b114-790536486ec8/Providers/Microsoft.Compute/Locations/australiaeast/Publishers/CloudLinkEMC.SecureVM</t>
  </si>
  <si>
    <t>/Subscriptions/c6af6ae2-9944-4751-b114-790536486ec8/Providers/Microsoft.Compute/Locations/australiaeast/Publishers/CloudLinkEMC.SecureVM.Test</t>
  </si>
  <si>
    <t>/Subscriptions/c6af6ae2-9944-4751-b114-790536486ec8/Providers/Microsoft.Compute/Locations/australiaeast/Publishers/CloudLinkEMC.SecureVM.Test2</t>
  </si>
  <si>
    <t>/Subscriptions/c6af6ae2-9944-4751-b114-790536486ec8/Providers/Microsoft.Compute/Locations/australiaeast/Publishers/cloudneeti</t>
  </si>
  <si>
    <t>/Subscriptions/c6af6ae2-9944-4751-b114-790536486ec8/Providers/Microsoft.Compute/Locations/australiaeast/Publishers/cloudsecurity</t>
  </si>
  <si>
    <t>/Subscriptions/c6af6ae2-9944-4751-b114-790536486ec8/Providers/Microsoft.Compute/Locations/australiaeast/Publishers/cloudsoft</t>
  </si>
  <si>
    <t>/Subscriptions/c6af6ae2-9944-4751-b114-790536486ec8/Providers/Microsoft.Compute/Locations/australiaeast/Publishers/clustrix</t>
  </si>
  <si>
    <t>/Subscriptions/c6af6ae2-9944-4751-b114-790536486ec8/Providers/Microsoft.Compute/Locations/australiaeast/Publishers/codelathe</t>
  </si>
  <si>
    <t>/Subscriptions/c6af6ae2-9944-4751-b114-790536486ec8/Providers/Microsoft.Compute/Locations/australiaeast/Publishers/codenvy</t>
  </si>
  <si>
    <t>/Subscriptions/c6af6ae2-9944-4751-b114-790536486ec8/Providers/Microsoft.Compute/Locations/australiaeast/Publishers/cognosys</t>
  </si>
  <si>
    <t>/Subscriptions/c6af6ae2-9944-4751-b114-790536486ec8/Providers/Microsoft.Compute/Locations/australiaeast/Publishers/cohesity</t>
  </si>
  <si>
    <t>/Subscriptions/c6af6ae2-9944-4751-b114-790536486ec8/Providers/Microsoft.Compute/Locations/australiaeast/Publishers/cohesive</t>
  </si>
  <si>
    <t>/Subscriptions/c6af6ae2-9944-4751-b114-790536486ec8/Providers/Microsoft.Compute/Locations/australiaeast/Publishers/commvault</t>
  </si>
  <si>
    <t>/Subscriptions/c6af6ae2-9944-4751-b114-790536486ec8/Providers/Microsoft.Compute/Locations/australiaeast/Publishers/companyname-short</t>
  </si>
  <si>
    <t>/Subscriptions/c6af6ae2-9944-4751-b114-790536486ec8/Providers/Microsoft.Compute/Locations/australiaeast/Publishers/composable</t>
  </si>
  <si>
    <t>/Subscriptions/c6af6ae2-9944-4751-b114-790536486ec8/Providers/Microsoft.Compute/Locations/australiaeast/Publishers/comunity</t>
  </si>
  <si>
    <t>/Subscriptions/c6af6ae2-9944-4751-b114-790536486ec8/Providers/Microsoft.Compute/Locations/australiaeast/Publishers/Confer</t>
  </si>
  <si>
    <t>/Subscriptions/c6af6ae2-9944-4751-b114-790536486ec8/Providers/Microsoft.Compute/Locations/australiaeast/Publishers/confluentinc</t>
  </si>
  <si>
    <t>/Subscriptions/c6af6ae2-9944-4751-b114-790536486ec8/Providers/Microsoft.Compute/Locations/australiaeast/Publishers/connecting-software</t>
  </si>
  <si>
    <t>/Subscriptions/c6af6ae2-9944-4751-b114-790536486ec8/Providers/Microsoft.Compute/Locations/australiaeast/Publishers/consensys</t>
  </si>
  <si>
    <t>/Subscriptions/c6af6ae2-9944-4751-b114-790536486ec8/Providers/Microsoft.Compute/Locations/australiaeast/Publishers/convertigo</t>
  </si>
  <si>
    <t>/Subscriptions/c6af6ae2-9944-4751-b114-790536486ec8/Providers/Microsoft.Compute/Locations/australiaeast/Publishers/corda</t>
  </si>
  <si>
    <t>/Subscriptions/c6af6ae2-9944-4751-b114-790536486ec8/Providers/Microsoft.Compute/Locations/australiaeast/Publishers/CoreOS</t>
  </si>
  <si>
    <t>/Subscriptions/c6af6ae2-9944-4751-b114-790536486ec8/Providers/Microsoft.Compute/Locations/australiaeast/Publishers/couchbase</t>
  </si>
  <si>
    <t>/Subscriptions/c6af6ae2-9944-4751-b114-790536486ec8/Providers/Microsoft.Compute/Locations/australiaeast/Publishers/crate-io</t>
  </si>
  <si>
    <t>/Subscriptions/c6af6ae2-9944-4751-b114-790536486ec8/Providers/Microsoft.Compute/Locations/australiaeast/Publishers/credativ</t>
  </si>
  <si>
    <t>/Subscriptions/c6af6ae2-9944-4751-b114-790536486ec8/Providers/Microsoft.Compute/Locations/australiaeast/Publishers/cryptzone</t>
  </si>
  <si>
    <t>/Subscriptions/c6af6ae2-9944-4751-b114-790536486ec8/Providers/Microsoft.Compute/Locations/australiaeast/Publishers/csstest</t>
  </si>
  <si>
    <t>/Subscriptions/c6af6ae2-9944-4751-b114-790536486ec8/Providers/Microsoft.Compute/Locations/australiaeast/Publishers/ctm.bmc.com</t>
  </si>
  <si>
    <t>/Subscriptions/c6af6ae2-9944-4751-b114-790536486ec8/Providers/Microsoft.Compute/Locations/australiaeast/Publishers/danielsol.AzureTools1</t>
  </si>
  <si>
    <t>/Subscriptions/c6af6ae2-9944-4751-b114-790536486ec8/Providers/Microsoft.Compute/Locations/australiaeast/Publishers/Dans.Windows.App</t>
  </si>
  <si>
    <t>/Subscriptions/c6af6ae2-9944-4751-b114-790536486ec8/Providers/Microsoft.Compute/Locations/australiaeast/Publishers/Dans3.Windows.App</t>
  </si>
  <si>
    <t>/Subscriptions/c6af6ae2-9944-4751-b114-790536486ec8/Providers/Microsoft.Compute/Locations/australiaeast/Publishers/dataart</t>
  </si>
  <si>
    <t>/Subscriptions/c6af6ae2-9944-4751-b114-790536486ec8/Providers/Microsoft.Compute/Locations/australiaeast/Publishers/databricks</t>
  </si>
  <si>
    <t>/Subscriptions/c6af6ae2-9944-4751-b114-790536486ec8/Providers/Microsoft.Compute/Locations/australiaeast/Publishers/datacastlered</t>
  </si>
  <si>
    <t>/Subscriptions/c6af6ae2-9944-4751-b114-790536486ec8/Providers/Microsoft.Compute/Locations/australiaeast/Publishers/datacore</t>
  </si>
  <si>
    <t>/Subscriptions/c6af6ae2-9944-4751-b114-790536486ec8/Providers/Microsoft.Compute/Locations/australiaeast/Publishers/Datadog.Agent</t>
  </si>
  <si>
    <t>/Subscriptions/c6af6ae2-9944-4751-b114-790536486ec8/Providers/Microsoft.Compute/Locations/australiaeast/Publishers/dataiku</t>
  </si>
  <si>
    <t>/Subscriptions/c6af6ae2-9944-4751-b114-790536486ec8/Providers/Microsoft.Compute/Locations/australiaeast/Publishers/datalayer</t>
  </si>
  <si>
    <t>/Subscriptions/c6af6ae2-9944-4751-b114-790536486ec8/Providers/Microsoft.Compute/Locations/australiaeast/Publishers/datastax</t>
  </si>
  <si>
    <t>/Subscriptions/c6af6ae2-9944-4751-b114-790536486ec8/Providers/Microsoft.Compute/Locations/australiaeast/Publishers/datasunrise</t>
  </si>
  <si>
    <t>/Subscriptions/c6af6ae2-9944-4751-b114-790536486ec8/Providers/Microsoft.Compute/Locations/australiaeast/Publishers/datometry</t>
  </si>
  <si>
    <t>/Subscriptions/c6af6ae2-9944-4751-b114-790536486ec8/Providers/Microsoft.Compute/Locations/australiaeast/Publishers/dell-software</t>
  </si>
  <si>
    <t>/Subscriptions/c6af6ae2-9944-4751-b114-790536486ec8/Providers/Microsoft.Compute/Locations/australiaeast/Publishers/dellemc</t>
  </si>
  <si>
    <t>/Subscriptions/c6af6ae2-9944-4751-b114-790536486ec8/Providers/Microsoft.Compute/Locations/australiaeast/Publishers/dell_software</t>
  </si>
  <si>
    <t>/Subscriptions/c6af6ae2-9944-4751-b114-790536486ec8/Providers/Microsoft.Compute/Locations/australiaeast/Publishers/delphix</t>
  </si>
  <si>
    <t>/Subscriptions/c6af6ae2-9944-4751-b114-790536486ec8/Providers/Microsoft.Compute/Locations/australiaeast/Publishers/denodo</t>
  </si>
  <si>
    <t>/Subscriptions/c6af6ae2-9944-4751-b114-790536486ec8/Providers/Microsoft.Compute/Locations/australiaeast/Publishers/denyall</t>
  </si>
  <si>
    <t>/Subscriptions/c6af6ae2-9944-4751-b114-790536486ec8/Providers/Microsoft.Compute/Locations/australiaeast/Publishers/derdack</t>
  </si>
  <si>
    <t>/Subscriptions/c6af6ae2-9944-4751-b114-790536486ec8/Providers/Microsoft.Compute/Locations/australiaeast/Publishers/dgsecure</t>
  </si>
  <si>
    <t>/Subscriptions/c6af6ae2-9944-4751-b114-790536486ec8/Providers/Microsoft.Compute/Locations/australiaeast/Publishers/diagramics</t>
  </si>
  <si>
    <t>/Subscriptions/c6af6ae2-9944-4751-b114-790536486ec8/Providers/Microsoft.Compute/Locations/australiaeast/Publishers/digitaloffice</t>
  </si>
  <si>
    <t>/Subscriptions/c6af6ae2-9944-4751-b114-790536486ec8/Providers/Microsoft.Compute/Locations/australiaeast/Publishers/docker</t>
  </si>
  <si>
    <t>/Subscriptions/c6af6ae2-9944-4751-b114-790536486ec8/Providers/Microsoft.Compute/Locations/australiaeast/Publishers/docscorp-us</t>
  </si>
  <si>
    <t>/Subscriptions/c6af6ae2-9944-4751-b114-790536486ec8/Providers/Microsoft.Compute/Locations/australiaeast/Publishers/dome9</t>
  </si>
  <si>
    <t>/Subscriptions/c6af6ae2-9944-4751-b114-790536486ec8/Providers/Microsoft.Compute/Locations/australiaeast/Publishers/drone</t>
  </si>
  <si>
    <t>/Subscriptions/c6af6ae2-9944-4751-b114-790536486ec8/Providers/Microsoft.Compute/Locations/australiaeast/Publishers/dsi</t>
  </si>
  <si>
    <t>/Subscriptions/c6af6ae2-9944-4751-b114-790536486ec8/Providers/Microsoft.Compute/Locations/australiaeast/Publishers/dundas</t>
  </si>
  <si>
    <t>/Subscriptions/c6af6ae2-9944-4751-b114-790536486ec8/Providers/Microsoft.Compute/Locations/australiaeast/Publishers/dynatrace</t>
  </si>
  <si>
    <t>/Subscriptions/c6af6ae2-9944-4751-b114-790536486ec8/Providers/Microsoft.Compute/Locations/australiaeast/Publishers/dynatrace.ruxit</t>
  </si>
  <si>
    <t>/Subscriptions/c6af6ae2-9944-4751-b114-790536486ec8/Providers/Microsoft.Compute/Locations/australiaeast/Publishers/eastbanctech</t>
  </si>
  <si>
    <t>/Subscriptions/c6af6ae2-9944-4751-b114-790536486ec8/Providers/Microsoft.Compute/Locations/australiaeast/Publishers/edevtech</t>
  </si>
  <si>
    <t>/Subscriptions/c6af6ae2-9944-4751-b114-790536486ec8/Providers/Microsoft.Compute/Locations/australiaeast/Publishers/egnyte</t>
  </si>
  <si>
    <t>/Subscriptions/c6af6ae2-9944-4751-b114-790536486ec8/Providers/Microsoft.Compute/Locations/australiaeast/Publishers/eip</t>
  </si>
  <si>
    <t>/Subscriptions/c6af6ae2-9944-4751-b114-790536486ec8/Providers/Microsoft.Compute/Locations/australiaeast/Publishers/eip-eipower</t>
  </si>
  <si>
    <t>/Subscriptions/c6af6ae2-9944-4751-b114-790536486ec8/Providers/Microsoft.Compute/Locations/australiaeast/Publishers/elasticbeam</t>
  </si>
  <si>
    <t>/Subscriptions/c6af6ae2-9944-4751-b114-790536486ec8/Providers/Microsoft.Compute/Locations/australiaeast/Publishers/elasticbox</t>
  </si>
  <si>
    <t>/Subscriptions/c6af6ae2-9944-4751-b114-790536486ec8/Providers/Microsoft.Compute/Locations/australiaeast/Publishers/elecard</t>
  </si>
  <si>
    <t>/Subscriptions/c6af6ae2-9944-4751-b114-790536486ec8/Providers/Microsoft.Compute/Locations/australiaeast/Publishers/electric-cloud</t>
  </si>
  <si>
    <t>/Subscriptions/c6af6ae2-9944-4751-b114-790536486ec8/Providers/Microsoft.Compute/Locations/australiaeast/Publishers/elementrem</t>
  </si>
  <si>
    <t>/Subscriptions/c6af6ae2-9944-4751-b114-790536486ec8/Providers/Microsoft.Compute/Locations/australiaeast/Publishers/elfiqnetworks</t>
  </si>
  <si>
    <t>/Subscriptions/c6af6ae2-9944-4751-b114-790536486ec8/Providers/Microsoft.Compute/Locations/australiaeast/Publishers/emercoin</t>
  </si>
  <si>
    <t>/Subscriptions/c6af6ae2-9944-4751-b114-790536486ec8/Providers/Microsoft.Compute/Locations/australiaeast/Publishers/enforongo</t>
  </si>
  <si>
    <t>/Subscriptions/c6af6ae2-9944-4751-b114-790536486ec8/Providers/Microsoft.Compute/Locations/australiaeast/Publishers/enterprise-ethereum-alliance</t>
  </si>
  <si>
    <t>/Subscriptions/c6af6ae2-9944-4751-b114-790536486ec8/Providers/Microsoft.Compute/Locations/australiaeast/Publishers/eperi</t>
  </si>
  <si>
    <t>/Subscriptions/c6af6ae2-9944-4751-b114-790536486ec8/Providers/Microsoft.Compute/Locations/australiaeast/Publishers/equalum</t>
  </si>
  <si>
    <t>/Subscriptions/c6af6ae2-9944-4751-b114-790536486ec8/Providers/Microsoft.Compute/Locations/australiaeast/Publishers/esdenera</t>
  </si>
  <si>
    <t>/Subscriptions/c6af6ae2-9944-4751-b114-790536486ec8/Providers/Microsoft.Compute/Locations/australiaeast/Publishers/ESET</t>
  </si>
  <si>
    <t>/Subscriptions/c6af6ae2-9944-4751-b114-790536486ec8/Providers/Microsoft.Compute/Locations/australiaeast/Publishers/esri</t>
  </si>
  <si>
    <t>/Subscriptions/c6af6ae2-9944-4751-b114-790536486ec8/Providers/Microsoft.Compute/Locations/australiaeast/Publishers/ethereum</t>
  </si>
  <si>
    <t>/Subscriptions/c6af6ae2-9944-4751-b114-790536486ec8/Providers/Microsoft.Compute/Locations/australiaeast/Publishers/eventtracker</t>
  </si>
  <si>
    <t>/Subscriptions/c6af6ae2-9944-4751-b114-790536486ec8/Providers/Microsoft.Compute/Locations/australiaeast/Publishers/evostream-inc</t>
  </si>
  <si>
    <t>/Subscriptions/c6af6ae2-9944-4751-b114-790536486ec8/Providers/Microsoft.Compute/Locations/australiaeast/Publishers/exasol</t>
  </si>
  <si>
    <t>/Subscriptions/c6af6ae2-9944-4751-b114-790536486ec8/Providers/Microsoft.Compute/Locations/australiaeast/Publishers/expertime</t>
  </si>
  <si>
    <t>/Subscriptions/c6af6ae2-9944-4751-b114-790536486ec8/Providers/Microsoft.Compute/Locations/australiaeast/Publishers/f5-networks</t>
  </si>
  <si>
    <t>/Subscriptions/c6af6ae2-9944-4751-b114-790536486ec8/Providers/Microsoft.Compute/Locations/australiaeast/Publishers/falconstorsoftware</t>
  </si>
  <si>
    <t>/Subscriptions/c6af6ae2-9944-4751-b114-790536486ec8/Providers/Microsoft.Compute/Locations/australiaeast/Publishers/feezmodo-consulting-pte-ltd</t>
  </si>
  <si>
    <t>/Subscriptions/c6af6ae2-9944-4751-b114-790536486ec8/Providers/Microsoft.Compute/Locations/australiaeast/Publishers/firehost</t>
  </si>
  <si>
    <t>/Subscriptions/c6af6ae2-9944-4751-b114-790536486ec8/Providers/Microsoft.Compute/Locations/australiaeast/Publishers/flashgrid-inc</t>
  </si>
  <si>
    <t>/Subscriptions/c6af6ae2-9944-4751-b114-790536486ec8/Providers/Microsoft.Compute/Locations/australiaeast/Publishers/flynet</t>
  </si>
  <si>
    <t>/Subscriptions/c6af6ae2-9944-4751-b114-790536486ec8/Providers/Microsoft.Compute/Locations/australiaeast/Publishers/foghorn-systems</t>
  </si>
  <si>
    <t>/Subscriptions/c6af6ae2-9944-4751-b114-790536486ec8/Providers/Microsoft.Compute/Locations/australiaeast/Publishers/forscene</t>
  </si>
  <si>
    <t>/Subscriptions/c6af6ae2-9944-4751-b114-790536486ec8/Providers/Microsoft.Compute/Locations/australiaeast/Publishers/fortinet</t>
  </si>
  <si>
    <t>/Subscriptions/c6af6ae2-9944-4751-b114-790536486ec8/Providers/Microsoft.Compute/Locations/australiaeast/Publishers/fortycloud</t>
  </si>
  <si>
    <t>/Subscriptions/c6af6ae2-9944-4751-b114-790536486ec8/Providers/Microsoft.Compute/Locations/australiaeast/Publishers/fw</t>
  </si>
  <si>
    <t>/Subscriptions/c6af6ae2-9944-4751-b114-790536486ec8/Providers/Microsoft.Compute/Locations/australiaeast/Publishers/gbs</t>
  </si>
  <si>
    <t>/Subscriptions/c6af6ae2-9944-4751-b114-790536486ec8/Providers/Microsoft.Compute/Locations/australiaeast/Publishers/gemalto-safenet</t>
  </si>
  <si>
    <t>/Subscriptions/c6af6ae2-9944-4751-b114-790536486ec8/Providers/Microsoft.Compute/Locations/australiaeast/Publishers/Gemalto.SafeNet.ProtectV</t>
  </si>
  <si>
    <t>/Subscriptions/c6af6ae2-9944-4751-b114-790536486ec8/Providers/Microsoft.Compute/Locations/australiaeast/Publishers/GitHub</t>
  </si>
  <si>
    <t>/Subscriptions/c6af6ae2-9944-4751-b114-790536486ec8/Providers/Microsoft.Compute/Locations/australiaeast/Publishers/gitlab</t>
  </si>
  <si>
    <t>/Subscriptions/c6af6ae2-9944-4751-b114-790536486ec8/Providers/Microsoft.Compute/Locations/australiaeast/Publishers/globalscape</t>
  </si>
  <si>
    <t>/Subscriptions/c6af6ae2-9944-4751-b114-790536486ec8/Providers/Microsoft.Compute/Locations/australiaeast/Publishers/gordic</t>
  </si>
  <si>
    <t>/Subscriptions/c6af6ae2-9944-4751-b114-790536486ec8/Providers/Microsoft.Compute/Locations/australiaeast/Publishers/graphitegtc</t>
  </si>
  <si>
    <t>/Subscriptions/c6af6ae2-9944-4751-b114-790536486ec8/Providers/Microsoft.Compute/Locations/australiaeast/Publishers/greathorn</t>
  </si>
  <si>
    <t>/Subscriptions/c6af6ae2-9944-4751-b114-790536486ec8/Providers/Microsoft.Compute/Locations/australiaeast/Publishers/greensql</t>
  </si>
  <si>
    <t>/Subscriptions/c6af6ae2-9944-4751-b114-790536486ec8/Providers/Microsoft.Compute/Locations/australiaeast/Publishers/grid</t>
  </si>
  <si>
    <t>/Subscriptions/c6af6ae2-9944-4751-b114-790536486ec8/Providers/Microsoft.Compute/Locations/australiaeast/Publishers/gridgain</t>
  </si>
  <si>
    <t>/Subscriptions/c6af6ae2-9944-4751-b114-790536486ec8/Providers/Microsoft.Compute/Locations/australiaeast/Publishers/guardicore</t>
  </si>
  <si>
    <t>/Subscriptions/c6af6ae2-9944-4751-b114-790536486ec8/Providers/Microsoft.Compute/Locations/australiaeast/Publishers/h2o-ai</t>
  </si>
  <si>
    <t>/Subscriptions/c6af6ae2-9944-4751-b114-790536486ec8/Providers/Microsoft.Compute/Locations/australiaeast/Publishers/haivision</t>
  </si>
  <si>
    <t>/Subscriptions/c6af6ae2-9944-4751-b114-790536486ec8/Providers/Microsoft.Compute/Locations/australiaeast/Publishers/halobicloud</t>
  </si>
  <si>
    <t>/Subscriptions/c6af6ae2-9944-4751-b114-790536486ec8/Providers/Microsoft.Compute/Locations/australiaeast/Publishers/hanu</t>
  </si>
  <si>
    <t>/Subscriptions/c6af6ae2-9944-4751-b114-790536486ec8/Providers/Microsoft.Compute/Locations/australiaeast/Publishers/HDInsight</t>
  </si>
  <si>
    <t>/Subscriptions/c6af6ae2-9944-4751-b114-790536486ec8/Providers/Microsoft.Compute/Locations/australiaeast/Publishers/hewlett-packard</t>
  </si>
  <si>
    <t>/Subscriptions/c6af6ae2-9944-4751-b114-790536486ec8/Providers/Microsoft.Compute/Locations/australiaeast/Publishers/hillstone-networks</t>
  </si>
  <si>
    <t>/Subscriptions/c6af6ae2-9944-4751-b114-790536486ec8/Providers/Microsoft.Compute/Locations/australiaeast/Publishers/hitachi-solutions</t>
  </si>
  <si>
    <t>/Subscriptions/c6af6ae2-9944-4751-b114-790536486ec8/Providers/Microsoft.Compute/Locations/australiaeast/Publishers/hortonworks</t>
  </si>
  <si>
    <t>/Subscriptions/c6af6ae2-9944-4751-b114-790536486ec8/Providers/Microsoft.Compute/Locations/australiaeast/Publishers/hpe</t>
  </si>
  <si>
    <t>/Subscriptions/c6af6ae2-9944-4751-b114-790536486ec8/Providers/Microsoft.Compute/Locations/australiaeast/Publishers/HPE.Security.ApplicationDefender</t>
  </si>
  <si>
    <t>/Subscriptions/c6af6ae2-9944-4751-b114-790536486ec8/Providers/Microsoft.Compute/Locations/australiaeast/Publishers/huawei</t>
  </si>
  <si>
    <t>/Subscriptions/c6af6ae2-9944-4751-b114-790536486ec8/Providers/Microsoft.Compute/Locations/australiaeast/Publishers/humanlogic</t>
  </si>
  <si>
    <t>/Subscriptions/c6af6ae2-9944-4751-b114-790536486ec8/Providers/Microsoft.Compute/Locations/australiaeast/Publishers/hush-hush</t>
  </si>
  <si>
    <t>/Subscriptions/c6af6ae2-9944-4751-b114-790536486ec8/Providers/Microsoft.Compute/Locations/australiaeast/Publishers/hvr</t>
  </si>
  <si>
    <t>/Subscriptions/c6af6ae2-9944-4751-b114-790536486ec8/Providers/Microsoft.Compute/Locations/australiaeast/Publishers/hyperglance</t>
  </si>
  <si>
    <t>/Subscriptions/c6af6ae2-9944-4751-b114-790536486ec8/Providers/Microsoft.Compute/Locations/australiaeast/Publishers/hypergrid</t>
  </si>
  <si>
    <t>/Subscriptions/c6af6ae2-9944-4751-b114-790536486ec8/Providers/Microsoft.Compute/Locations/australiaeast/Publishers/hytrust</t>
  </si>
  <si>
    <t>/Subscriptions/c6af6ae2-9944-4751-b114-790536486ec8/Providers/Microsoft.Compute/Locations/australiaeast/Publishers/iaansys</t>
  </si>
  <si>
    <t>/Subscriptions/c6af6ae2-9944-4751-b114-790536486ec8/Providers/Microsoft.Compute/Locations/australiaeast/Publishers/ibabs-eu</t>
  </si>
  <si>
    <t>/Subscriptions/c6af6ae2-9944-4751-b114-790536486ec8/Providers/Microsoft.Compute/Locations/australiaeast/Publishers/ikan</t>
  </si>
  <si>
    <t>/Subscriptions/c6af6ae2-9944-4751-b114-790536486ec8/Providers/Microsoft.Compute/Locations/australiaeast/Publishers/image-technologies</t>
  </si>
  <si>
    <t>/Subscriptions/c6af6ae2-9944-4751-b114-790536486ec8/Providers/Microsoft.Compute/Locations/australiaeast/Publishers/imaginecommunications</t>
  </si>
  <si>
    <t>/Subscriptions/c6af6ae2-9944-4751-b114-790536486ec8/Providers/Microsoft.Compute/Locations/australiaeast/Publishers/imperva</t>
  </si>
  <si>
    <t>/Subscriptions/c6af6ae2-9944-4751-b114-790536486ec8/Providers/Microsoft.Compute/Locations/australiaeast/Publishers/infoblox</t>
  </si>
  <si>
    <t>/Subscriptions/c6af6ae2-9944-4751-b114-790536486ec8/Providers/Microsoft.Compute/Locations/australiaeast/Publishers/infolibrarian</t>
  </si>
  <si>
    <t>/Subscriptions/c6af6ae2-9944-4751-b114-790536486ec8/Providers/Microsoft.Compute/Locations/australiaeast/Publishers/informatica</t>
  </si>
  <si>
    <t>/Subscriptions/c6af6ae2-9944-4751-b114-790536486ec8/Providers/Microsoft.Compute/Locations/australiaeast/Publishers/informatica-cloud</t>
  </si>
  <si>
    <t>/Subscriptions/c6af6ae2-9944-4751-b114-790536486ec8/Providers/Microsoft.Compute/Locations/australiaeast/Publishers/informationbuilders</t>
  </si>
  <si>
    <t>/Subscriptions/c6af6ae2-9944-4751-b114-790536486ec8/Providers/Microsoft.Compute/Locations/australiaeast/Publishers/ingrammicro</t>
  </si>
  <si>
    <t>/Subscriptions/c6af6ae2-9944-4751-b114-790536486ec8/Providers/Microsoft.Compute/Locations/australiaeast/Publishers/intel</t>
  </si>
  <si>
    <t>/Subscriptions/c6af6ae2-9944-4751-b114-790536486ec8/Providers/Microsoft.Compute/Locations/australiaeast/Publishers/intelligent-plant-ltd</t>
  </si>
  <si>
    <t>/Subscriptions/c6af6ae2-9944-4751-b114-790536486ec8/Providers/Microsoft.Compute/Locations/australiaeast/Publishers/intigua</t>
  </si>
  <si>
    <t>/Subscriptions/c6af6ae2-9944-4751-b114-790536486ec8/Providers/Microsoft.Compute/Locations/australiaeast/Publishers/ipswitch</t>
  </si>
  <si>
    <t>/Subscriptions/c6af6ae2-9944-4751-b114-790536486ec8/Providers/Microsoft.Compute/Locations/australiaeast/Publishers/iquest</t>
  </si>
  <si>
    <t>/Subscriptions/c6af6ae2-9944-4751-b114-790536486ec8/Providers/Microsoft.Compute/Locations/australiaeast/Publishers/ishlangu-load-balancer-adc</t>
  </si>
  <si>
    <t>/Subscriptions/c6af6ae2-9944-4751-b114-790536486ec8/Providers/Microsoft.Compute/Locations/australiaeast/Publishers/itelios</t>
  </si>
  <si>
    <t>/Subscriptions/c6af6ae2-9944-4751-b114-790536486ec8/Providers/Microsoft.Compute/Locations/australiaeast/Publishers/iw</t>
  </si>
  <si>
    <t>/Subscriptions/c6af6ae2-9944-4751-b114-790536486ec8/Providers/Microsoft.Compute/Locations/australiaeast/Publishers/jamcracker</t>
  </si>
  <si>
    <t>/Subscriptions/c6af6ae2-9944-4751-b114-790536486ec8/Providers/Microsoft.Compute/Locations/australiaeast/Publishers/jedox</t>
  </si>
  <si>
    <t>/Subscriptions/c6af6ae2-9944-4751-b114-790536486ec8/Providers/Microsoft.Compute/Locations/australiaeast/Publishers/jelastic</t>
  </si>
  <si>
    <t>/Subscriptions/c6af6ae2-9944-4751-b114-790536486ec8/Providers/Microsoft.Compute/Locations/australiaeast/Publishers/jetnexus</t>
  </si>
  <si>
    <t>/Subscriptions/c6af6ae2-9944-4751-b114-790536486ec8/Providers/Microsoft.Compute/Locations/australiaeast/Publishers/jfrog</t>
  </si>
  <si>
    <t>/Subscriptions/c6af6ae2-9944-4751-b114-790536486ec8/Providers/Microsoft.Compute/Locations/australiaeast/Publishers/jitterbit_integration</t>
  </si>
  <si>
    <t>/Subscriptions/c6af6ae2-9944-4751-b114-790536486ec8/Providers/Microsoft.Compute/Locations/australiaeast/Publishers/juniper-networks</t>
  </si>
  <si>
    <t>/Subscriptions/c6af6ae2-9944-4751-b114-790536486ec8/Providers/Microsoft.Compute/Locations/australiaeast/Publishers/kaazing</t>
  </si>
  <si>
    <t>/Subscriptions/c6af6ae2-9944-4751-b114-790536486ec8/Providers/Microsoft.Compute/Locations/australiaeast/Publishers/kali-linux</t>
  </si>
  <si>
    <t>/Subscriptions/c6af6ae2-9944-4751-b114-790536486ec8/Providers/Microsoft.Compute/Locations/australiaeast/Publishers/Kaspersky.Lab</t>
  </si>
  <si>
    <t>/Subscriptions/c6af6ae2-9944-4751-b114-790536486ec8/Providers/Microsoft.Compute/Locations/australiaeast/Publishers/kaspersky_lab</t>
  </si>
  <si>
    <t>/Subscriptions/c6af6ae2-9944-4751-b114-790536486ec8/Providers/Microsoft.Compute/Locations/australiaeast/Publishers/kelverion</t>
  </si>
  <si>
    <t>/Subscriptions/c6af6ae2-9944-4751-b114-790536486ec8/Providers/Microsoft.Compute/Locations/australiaeast/Publishers/kemptech</t>
  </si>
  <si>
    <t>/Subscriptions/c6af6ae2-9944-4751-b114-790536486ec8/Providers/Microsoft.Compute/Locations/australiaeast/Publishers/kepion</t>
  </si>
  <si>
    <t>/Subscriptions/c6af6ae2-9944-4751-b114-790536486ec8/Providers/Microsoft.Compute/Locations/australiaeast/Publishers/kinetica</t>
  </si>
  <si>
    <t>/Subscriptions/c6af6ae2-9944-4751-b114-790536486ec8/Providers/Microsoft.Compute/Locations/australiaeast/Publishers/knime</t>
  </si>
  <si>
    <t>/Subscriptions/c6af6ae2-9944-4751-b114-790536486ec8/Providers/Microsoft.Compute/Locations/australiaeast/Publishers/kobalt</t>
  </si>
  <si>
    <t>/Subscriptions/c6af6ae2-9944-4751-b114-790536486ec8/Providers/Microsoft.Compute/Locations/australiaeast/Publishers/lansa</t>
  </si>
  <si>
    <t>/Subscriptions/c6af6ae2-9944-4751-b114-790536486ec8/Providers/Microsoft.Compute/Locations/australiaeast/Publishers/learningtechnolgy</t>
  </si>
  <si>
    <t>/Subscriptions/c6af6ae2-9944-4751-b114-790536486ec8/Providers/Microsoft.Compute/Locations/australiaeast/Publishers/leostream-corporation</t>
  </si>
  <si>
    <t>/Subscriptions/c6af6ae2-9944-4751-b114-790536486ec8/Providers/Microsoft.Compute/Locations/australiaeast/Publishers/liebsoft</t>
  </si>
  <si>
    <t>/Subscriptions/c6af6ae2-9944-4751-b114-790536486ec8/Providers/Microsoft.Compute/Locations/australiaeast/Publishers/literatu</t>
  </si>
  <si>
    <t>/Subscriptions/c6af6ae2-9944-4751-b114-790536486ec8/Providers/Microsoft.Compute/Locations/australiaeast/Publishers/loadbalancer</t>
  </si>
  <si>
    <t>/Subscriptions/c6af6ae2-9944-4751-b114-790536486ec8/Providers/Microsoft.Compute/Locations/australiaeast/Publishers/loginpeople</t>
  </si>
  <si>
    <t>/Subscriptions/c6af6ae2-9944-4751-b114-790536486ec8/Providers/Microsoft.Compute/Locations/australiaeast/Publishers/logmein</t>
  </si>
  <si>
    <t>/Subscriptions/c6af6ae2-9944-4751-b114-790536486ec8/Providers/Microsoft.Compute/Locations/australiaeast/Publishers/logsign</t>
  </si>
  <si>
    <t>/Subscriptions/c6af6ae2-9944-4751-b114-790536486ec8/Providers/Microsoft.Compute/Locations/australiaeast/Publishers/logtrust</t>
  </si>
  <si>
    <t>/Subscriptions/c6af6ae2-9944-4751-b114-790536486ec8/Providers/Microsoft.Compute/Locations/australiaeast/Publishers/looker</t>
  </si>
  <si>
    <t>/Subscriptions/c6af6ae2-9944-4751-b114-790536486ec8/Providers/Microsoft.Compute/Locations/australiaeast/Publishers/luxoft</t>
  </si>
  <si>
    <t>/Subscriptions/c6af6ae2-9944-4751-b114-790536486ec8/Providers/Microsoft.Compute/Locations/australiaeast/Publishers/mactores_inc</t>
  </si>
  <si>
    <t>/Subscriptions/c6af6ae2-9944-4751-b114-790536486ec8/Providers/Microsoft.Compute/Locations/australiaeast/Publishers/manageengine</t>
  </si>
  <si>
    <t>/Subscriptions/c6af6ae2-9944-4751-b114-790536486ec8/Providers/Microsoft.Compute/Locations/australiaeast/Publishers/mapr-technologies</t>
  </si>
  <si>
    <t>/Subscriptions/c6af6ae2-9944-4751-b114-790536486ec8/Providers/Microsoft.Compute/Locations/australiaeast/Publishers/mariadb</t>
  </si>
  <si>
    <t>/Subscriptions/c6af6ae2-9944-4751-b114-790536486ec8/Providers/Microsoft.Compute/Locations/australiaeast/Publishers/marklogic</t>
  </si>
  <si>
    <t>/Subscriptions/c6af6ae2-9944-4751-b114-790536486ec8/Providers/Microsoft.Compute/Locations/australiaeast/Publishers/massiveanalytic-</t>
  </si>
  <si>
    <t>/Subscriptions/c6af6ae2-9944-4751-b114-790536486ec8/Providers/Microsoft.Compute/Locations/australiaeast/Publishers/mathworks-deployment</t>
  </si>
  <si>
    <t>/Subscriptions/c6af6ae2-9944-4751-b114-790536486ec8/Providers/Microsoft.Compute/Locations/australiaeast/Publishers/mavinglobal</t>
  </si>
  <si>
    <t>/Subscriptions/c6af6ae2-9944-4751-b114-790536486ec8/Providers/Microsoft.Compute/Locations/australiaeast/Publishers/McAfee.EndpointSecurity</t>
  </si>
  <si>
    <t>/Subscriptions/c6af6ae2-9944-4751-b114-790536486ec8/Providers/Microsoft.Compute/Locations/australiaeast/Publishers/McAfee.EndpointSecurity.test3</t>
  </si>
  <si>
    <t>/Subscriptions/c6af6ae2-9944-4751-b114-790536486ec8/Providers/Microsoft.Compute/Locations/australiaeast/Publishers/meanio</t>
  </si>
  <si>
    <t>/Subscriptions/c6af6ae2-9944-4751-b114-790536486ec8/Providers/Microsoft.Compute/Locations/australiaeast/Publishers/memsql</t>
  </si>
  <si>
    <t>/Subscriptions/c6af6ae2-9944-4751-b114-790536486ec8/Providers/Microsoft.Compute/Locations/australiaeast/Publishers/mendix</t>
  </si>
  <si>
    <t>/Subscriptions/c6af6ae2-9944-4751-b114-790536486ec8/Providers/Microsoft.Compute/Locations/australiaeast/Publishers/mesosphere</t>
  </si>
  <si>
    <t>/Subscriptions/c6af6ae2-9944-4751-b114-790536486ec8/Providers/Microsoft.Compute/Locations/australiaeast/Publishers/mfiles</t>
  </si>
  <si>
    <t>/Subscriptions/c6af6ae2-9944-4751-b114-790536486ec8/Providers/Microsoft.Compute/Locations/australiaeast/Publishers/mico</t>
  </si>
  <si>
    <t>/Subscriptions/c6af6ae2-9944-4751-b114-790536486ec8/Providers/Microsoft.Compute/Locations/australiaeast/Publishers/Microsoft</t>
  </si>
  <si>
    <t>/Subscriptions/c6af6ae2-9944-4751-b114-790536486ec8/Providers/Microsoft.Compute/Locations/australiaeast/Publishers/microsoft-ads</t>
  </si>
  <si>
    <t>/Subscriptions/c6af6ae2-9944-4751-b114-790536486ec8/Providers/Microsoft.Compute/Locations/australiaeast/Publishers/microsoft-azure-batch</t>
  </si>
  <si>
    <t>/Subscriptions/c6af6ae2-9944-4751-b114-790536486ec8/Providers/Microsoft.Compute/Locations/australiaeast/Publishers/Microsoft.Azure.Applications</t>
  </si>
  <si>
    <t>/Subscriptions/c6af6ae2-9944-4751-b114-790536486ec8/Providers/Microsoft.Compute/Locations/australiaeast/Publishers/Microsoft.Azure.Backup.Test</t>
  </si>
  <si>
    <t>/Subscriptions/c6af6ae2-9944-4751-b114-790536486ec8/Providers/Microsoft.Compute/Locations/australiaeast/Publishers/Microsoft.Azure.Diagnostics</t>
  </si>
  <si>
    <t>/Subscriptions/c6af6ae2-9944-4751-b114-790536486ec8/Providers/Microsoft.Compute/Locations/australiaeast/Publishers/Microsoft.Azure.Diagnostics.Build.Test</t>
  </si>
  <si>
    <t>/Subscriptions/c6af6ae2-9944-4751-b114-790536486ec8/Providers/Microsoft.Compute/Locations/australiaeast/Publishers/Microsoft.Azure.Extensions</t>
  </si>
  <si>
    <t>/Subscriptions/c6af6ae2-9944-4751-b114-790536486ec8/Providers/Microsoft.Compute/Locations/australiaeast/Publishers/Microsoft.Azure.Monitoring.DependencyAgent</t>
  </si>
  <si>
    <t>/Subscriptions/c6af6ae2-9944-4751-b114-790536486ec8/Providers/Microsoft.Compute/Locations/australiaeast/Publishers/Microsoft.Azure.Networking.SDN</t>
  </si>
  <si>
    <t>/Subscriptions/c6af6ae2-9944-4751-b114-790536486ec8/Providers/Microsoft.Compute/Locations/australiaeast/Publishers/Microsoft.Azure.NetworkWatcher</t>
  </si>
  <si>
    <t>/Subscriptions/c6af6ae2-9944-4751-b114-790536486ec8/Providers/Microsoft.Compute/Locations/australiaeast/Publishers/Microsoft.Azure.Performance.Diagnostics</t>
  </si>
  <si>
    <t>/Subscriptions/c6af6ae2-9944-4751-b114-790536486ec8/Providers/Microsoft.Compute/Locations/australiaeast/Publishers/Microsoft.Azure.RecoveryServices</t>
  </si>
  <si>
    <t>/Subscriptions/c6af6ae2-9944-4751-b114-790536486ec8/Providers/Microsoft.Compute/Locations/australiaeast/Publishers/Microsoft.Azure.RecoveryServices.SiteRecovery</t>
  </si>
  <si>
    <t>/Subscriptions/c6af6ae2-9944-4751-b114-790536486ec8/Providers/Microsoft.Compute/Locations/australiaeast/Publishers/Microsoft.Azure.RecoveryServices.SiteRecovery2</t>
  </si>
  <si>
    <t>/Subscriptions/c6af6ae2-9944-4751-b114-790536486ec8/Providers/Microsoft.Compute/Locations/australiaeast/Publishers/Microsoft.Azure.RecoveryServices.WorkloadBackup</t>
  </si>
  <si>
    <t>/Subscriptions/c6af6ae2-9944-4751-b114-790536486ec8/Providers/Microsoft.Compute/Locations/australiaeast/Publishers/Microsoft.Azure.Security</t>
  </si>
  <si>
    <t>/Subscriptions/c6af6ae2-9944-4751-b114-790536486ec8/Providers/Microsoft.Compute/Locations/australiaeast/Publishers/Microsoft.Azure.Security.Test</t>
  </si>
  <si>
    <t>/Subscriptions/c6af6ae2-9944-4751-b114-790536486ec8/Providers/Microsoft.Compute/Locations/australiaeast/Publishers/Microsoft.Azure.SiteRecovery.Test</t>
  </si>
  <si>
    <t>/Subscriptions/c6af6ae2-9944-4751-b114-790536486ec8/Providers/Microsoft.Compute/Locations/australiaeast/Publishers/Microsoft.Azure.SiteRecovery2.Test</t>
  </si>
  <si>
    <t>/Subscriptions/c6af6ae2-9944-4751-b114-790536486ec8/Providers/Microsoft.Compute/Locations/australiaeast/Publishers/Microsoft.Azure.Test.Identity</t>
  </si>
  <si>
    <t>/Subscriptions/c6af6ae2-9944-4751-b114-790536486ec8/Providers/Microsoft.Compute/Locations/australiaeast/Publishers/Microsoft.Azure.WindowsFabric.Test</t>
  </si>
  <si>
    <t>/Subscriptions/c6af6ae2-9944-4751-b114-790536486ec8/Providers/Microsoft.Compute/Locations/australiaeast/Publishers/Microsoft.AzureCAT.AzureEnhancedMonitoring</t>
  </si>
  <si>
    <t>/Subscriptions/c6af6ae2-9944-4751-b114-790536486ec8/Providers/Microsoft.Compute/Locations/australiaeast/Publishers/Microsoft.AzureCAT.AzureEnhancedMonitoringTest</t>
  </si>
  <si>
    <t>/Subscriptions/c6af6ae2-9944-4751-b114-790536486ec8/Providers/Microsoft.Compute/Locations/australiaeast/Publishers/Microsoft.AzureSecurity.JITAccess</t>
  </si>
  <si>
    <t>/Subscriptions/c6af6ae2-9944-4751-b114-790536486ec8/Providers/Microsoft.Compute/Locations/australiaeast/Publishers/Microsoft.CloudBackup.Workload.Extension</t>
  </si>
  <si>
    <t>/Subscriptions/c6af6ae2-9944-4751-b114-790536486ec8/Providers/Microsoft.Compute/Locations/australiaeast/Publishers/Microsoft.Compute</t>
  </si>
  <si>
    <t>/Subscriptions/c6af6ae2-9944-4751-b114-790536486ec8/Providers/Microsoft.Compute/Locations/australiaeast/Publishers/Microsoft.Compute.Test</t>
  </si>
  <si>
    <t>/Subscriptions/c6af6ae2-9944-4751-b114-790536486ec8/Providers/Microsoft.Compute/Locations/australiaeast/Publishers/Microsoft.Compute.TestSar</t>
  </si>
  <si>
    <t>/Subscriptions/c6af6ae2-9944-4751-b114-790536486ec8/Providers/Microsoft.Compute/Locations/australiaeast/Publishers/Microsoft.EnterpriseCloud.Monitoring</t>
  </si>
  <si>
    <t>/Subscriptions/c6af6ae2-9944-4751-b114-790536486ec8/Providers/Microsoft.Compute/Locations/australiaeast/Publishers/Microsoft.EnterpriseCloud.Monitoring.Test</t>
  </si>
  <si>
    <t>/Subscriptions/c6af6ae2-9944-4751-b114-790536486ec8/Providers/Microsoft.Compute/Locations/australiaeast/Publishers/Microsoft.Golive.Extensions</t>
  </si>
  <si>
    <t>/Subscriptions/c6af6ae2-9944-4751-b114-790536486ec8/Providers/Microsoft.Compute/Locations/australiaeast/Publishers/Microsoft.HDInsight.Current</t>
  </si>
  <si>
    <t>/Subscriptions/c6af6ae2-9944-4751-b114-790536486ec8/Providers/Microsoft.Compute/Locations/australiaeast/Publishers/Microsoft.HpcCompute</t>
  </si>
  <si>
    <t>/Subscriptions/c6af6ae2-9944-4751-b114-790536486ec8/Providers/Microsoft.Compute/Locations/australiaeast/Publishers/Microsoft.HpcPack</t>
  </si>
  <si>
    <t>/Subscriptions/c6af6ae2-9944-4751-b114-790536486ec8/Providers/Microsoft.Compute/Locations/australiaeast/Publishers/Microsoft.ManagedIdentity</t>
  </si>
  <si>
    <t>/Subscriptions/c6af6ae2-9944-4751-b114-790536486ec8/Providers/Microsoft.Compute/Locations/australiaeast/Publishers/Microsoft.OSTCExtensions</t>
  </si>
  <si>
    <t>/Subscriptions/c6af6ae2-9944-4751-b114-790536486ec8/Providers/Microsoft.Compute/Locations/australiaeast/Publishers/Microsoft.OSTCExtensions.Edp</t>
  </si>
  <si>
    <t>/Subscriptions/c6af6ae2-9944-4751-b114-790536486ec8/Providers/Microsoft.Compute/Locations/australiaeast/Publishers/Microsoft.OSTCExtensions.Test</t>
  </si>
  <si>
    <t>/Subscriptions/c6af6ae2-9944-4751-b114-790536486ec8/Providers/Microsoft.Compute/Locations/australiaeast/Publishers/Microsoft.Powershell</t>
  </si>
  <si>
    <t>/Subscriptions/c6af6ae2-9944-4751-b114-790536486ec8/Providers/Microsoft.Compute/Locations/australiaeast/Publishers/Microsoft.Powershell.Test</t>
  </si>
  <si>
    <t>/Subscriptions/c6af6ae2-9944-4751-b114-790536486ec8/Providers/Microsoft.Compute/Locations/australiaeast/Publishers/Microsoft.SqlServer.Managability.IaaS.Test</t>
  </si>
  <si>
    <t>/Subscriptions/c6af6ae2-9944-4751-b114-790536486ec8/Providers/Microsoft.Compute/Locations/australiaeast/Publishers/Microsoft.SqlServer.Management</t>
  </si>
  <si>
    <t>/Subscriptions/c6af6ae2-9944-4751-b114-790536486ec8/Providers/Microsoft.Compute/Locations/australiaeast/Publishers/Microsoft.SystemCenter</t>
  </si>
  <si>
    <t>/Subscriptions/c6af6ae2-9944-4751-b114-790536486ec8/Providers/Microsoft.Compute/Locations/australiaeast/Publishers/Microsoft.SystemCenter.Test</t>
  </si>
  <si>
    <t>/Subscriptions/c6af6ae2-9944-4751-b114-790536486ec8/Providers/Microsoft.Compute/Locations/australiaeast/Publishers/Microsoft.TestSqlServer.Edp</t>
  </si>
  <si>
    <t>/Subscriptions/c6af6ae2-9944-4751-b114-790536486ec8/Providers/Microsoft.Compute/Locations/australiaeast/Publishers/Microsoft.VisualStudio.Azure.ETWTraceListenerService</t>
  </si>
  <si>
    <t>/Subscriptions/c6af6ae2-9944-4751-b114-790536486ec8/Providers/Microsoft.Compute/Locations/australiaeast/Publishers/Microsoft.VisualStudio.Azure.RemoteDebug</t>
  </si>
  <si>
    <t>/Subscriptions/c6af6ae2-9944-4751-b114-790536486ec8/Providers/Microsoft.Compute/Locations/australiaeast/Publishers/Microsoft.VisualStudio.Azure.RemoteDebug.Json</t>
  </si>
  <si>
    <t>/Subscriptions/c6af6ae2-9944-4751-b114-790536486ec8/Providers/Microsoft.Compute/Locations/australiaeast/Publishers/Microsoft.VisualStudio.ServiceProfiler</t>
  </si>
  <si>
    <t>/Subscriptions/c6af6ae2-9944-4751-b114-790536486ec8/Providers/Microsoft.Compute/Locations/australiaeast/Publishers/Microsoft.VisualStudio.Services</t>
  </si>
  <si>
    <t>/Subscriptions/c6af6ae2-9944-4751-b114-790536486ec8/Providers/Microsoft.Compute/Locations/australiaeast/Publishers/Microsoft.Windows.AzureRemoteApp.Test</t>
  </si>
  <si>
    <t>/Subscriptions/c6af6ae2-9944-4751-b114-790536486ec8/Providers/Microsoft.Compute/Locations/australiaeast/Publishers/Microsoft.Windows.RemoteDesktop</t>
  </si>
  <si>
    <t>/Subscriptions/c6af6ae2-9944-4751-b114-790536486ec8/Providers/Microsoft.Compute/Locations/australiaeast/Publishers/Microsoft.WindowsAzure.Compute</t>
  </si>
  <si>
    <t>/Subscriptions/c6af6ae2-9944-4751-b114-790536486ec8/Providers/Microsoft.Compute/Locations/australiaeast/Publishers/MicrosoftAzureSiteRecovery</t>
  </si>
  <si>
    <t>/Subscriptions/c6af6ae2-9944-4751-b114-790536486ec8/Providers/Microsoft.Compute/Locations/australiaeast/Publishers/MicrosoftBizTalkServer</t>
  </si>
  <si>
    <t>/Subscriptions/c6af6ae2-9944-4751-b114-790536486ec8/Providers/Microsoft.Compute/Locations/australiaeast/Publishers/MicrosoftDynamicsAX</t>
  </si>
  <si>
    <t>/Subscriptions/c6af6ae2-9944-4751-b114-790536486ec8/Providers/Microsoft.Compute/Locations/australiaeast/Publishers/MicrosoftDynamicsGP</t>
  </si>
  <si>
    <t>/Subscriptions/c6af6ae2-9944-4751-b114-790536486ec8/Providers/Microsoft.Compute/Locations/australiaeast/Publishers/MicrosoftDynamicsNAV</t>
  </si>
  <si>
    <t>/Subscriptions/c6af6ae2-9944-4751-b114-790536486ec8/Providers/Microsoft.Compute/Locations/australiaeast/Publishers/MicrosoftHybridCloudStorage</t>
  </si>
  <si>
    <t>/Subscriptions/c6af6ae2-9944-4751-b114-790536486ec8/Providers/Microsoft.Compute/Locations/australiaeast/Publishers/MicrosoftOSTC</t>
  </si>
  <si>
    <t>/Subscriptions/c6af6ae2-9944-4751-b114-790536486ec8/Providers/Microsoft.Compute/Locations/australiaeast/Publishers/microsoftoxa</t>
  </si>
  <si>
    <t>/Subscriptions/c6af6ae2-9944-4751-b114-790536486ec8/Providers/Microsoft.Compute/Locations/australiaeast/Publishers/MicrosoftRServer</t>
  </si>
  <si>
    <t>/Subscriptions/c6af6ae2-9944-4751-b114-790536486ec8/Providers/Microsoft.Compute/Locations/australiaeast/Publishers/MicrosoftSharePoint</t>
  </si>
  <si>
    <t>/Subscriptions/c6af6ae2-9944-4751-b114-790536486ec8/Providers/Microsoft.Compute/Locations/australiaeast/Publishers/MicrosoftSQLServer</t>
  </si>
  <si>
    <t>/Subscriptions/c6af6ae2-9944-4751-b114-790536486ec8/Providers/Microsoft.Compute/Locations/australiaeast/Publishers/MicrosoftVisualStudio</t>
  </si>
  <si>
    <t>/Subscriptions/c6af6ae2-9944-4751-b114-790536486ec8/Providers/Microsoft.Compute/Locations/australiaeast/Publishers/MicrosoftWindowsDesktop</t>
  </si>
  <si>
    <t>/Subscriptions/c6af6ae2-9944-4751-b114-790536486ec8/Providers/Microsoft.Compute/Locations/australiaeast/Publishers/MicrosoftWindowsServer</t>
  </si>
  <si>
    <t>/Subscriptions/c6af6ae2-9944-4751-b114-790536486ec8/Providers/Microsoft.Compute/Locations/australiaeast/Publishers/MicrosoftWindowsServerEssentials</t>
  </si>
  <si>
    <t>/Subscriptions/c6af6ae2-9944-4751-b114-790536486ec8/Providers/Microsoft.Compute/Locations/australiaeast/Publishers/MicrosoftWindowsServerHPCPack</t>
  </si>
  <si>
    <t>/Subscriptions/c6af6ae2-9944-4751-b114-790536486ec8/Providers/Microsoft.Compute/Locations/australiaeast/Publishers/MicrosoftWindowsServerRemoteDesktop</t>
  </si>
  <si>
    <t>/Subscriptions/c6af6ae2-9944-4751-b114-790536486ec8/Providers/Microsoft.Compute/Locations/australiaeast/Publishers/midvision</t>
  </si>
  <si>
    <t>/Subscriptions/c6af6ae2-9944-4751-b114-790536486ec8/Providers/Microsoft.Compute/Locations/australiaeast/Publishers/mindcti</t>
  </si>
  <si>
    <t>/Subscriptions/c6af6ae2-9944-4751-b114-790536486ec8/Providers/Microsoft.Compute/Locations/australiaeast/Publishers/miraclelinux</t>
  </si>
  <si>
    <t>/Subscriptions/c6af6ae2-9944-4751-b114-790536486ec8/Providers/Microsoft.Compute/Locations/australiaeast/Publishers/miracl_linux</t>
  </si>
  <si>
    <t>/Subscriptions/c6af6ae2-9944-4751-b114-790536486ec8/Providers/Microsoft.Compute/Locations/australiaeast/Publishers/mobilab</t>
  </si>
  <si>
    <t>/Subscriptions/c6af6ae2-9944-4751-b114-790536486ec8/Providers/Microsoft.Compute/Locations/australiaeast/Publishers/moviemasher</t>
  </si>
  <si>
    <t>/Subscriptions/c6af6ae2-9944-4751-b114-790536486ec8/Providers/Microsoft.Compute/Locations/australiaeast/Publishers/msopentech</t>
  </si>
  <si>
    <t>/Subscriptions/c6af6ae2-9944-4751-b114-790536486ec8/Providers/Microsoft.Compute/Locations/australiaeast/Publishers/msrazuresapservices</t>
  </si>
  <si>
    <t>/Subscriptions/c6af6ae2-9944-4751-b114-790536486ec8/Providers/Microsoft.Compute/Locations/australiaeast/Publishers/mtnfog</t>
  </si>
  <si>
    <t>/Subscriptions/c6af6ae2-9944-4751-b114-790536486ec8/Providers/Microsoft.Compute/Locations/australiaeast/Publishers/mvp-systems</t>
  </si>
  <si>
    <t>/Subscriptions/c6af6ae2-9944-4751-b114-790536486ec8/Providers/Microsoft.Compute/Locations/australiaeast/Publishers/mxhero</t>
  </si>
  <si>
    <t>/Subscriptions/c6af6ae2-9944-4751-b114-790536486ec8/Providers/Microsoft.Compute/Locations/australiaeast/Publishers/my-com</t>
  </si>
  <si>
    <t>/Subscriptions/c6af6ae2-9944-4751-b114-790536486ec8/Providers/Microsoft.Compute/Locations/australiaeast/Publishers/naaraaadvertising</t>
  </si>
  <si>
    <t>/Subscriptions/c6af6ae2-9944-4751-b114-790536486ec8/Providers/Microsoft.Compute/Locations/australiaeast/Publishers/namirial</t>
  </si>
  <si>
    <t>/Subscriptions/c6af6ae2-9944-4751-b114-790536486ec8/Providers/Microsoft.Compute/Locations/australiaeast/Publishers/narrativescience</t>
  </si>
  <si>
    <t>/Subscriptions/c6af6ae2-9944-4751-b114-790536486ec8/Providers/Microsoft.Compute/Locations/australiaeast/Publishers/ncbi</t>
  </si>
  <si>
    <t>/Subscriptions/c6af6ae2-9944-4751-b114-790536486ec8/Providers/Microsoft.Compute/Locations/australiaeast/Publishers/ndl</t>
  </si>
  <si>
    <t>/Subscriptions/c6af6ae2-9944-4751-b114-790536486ec8/Providers/Microsoft.Compute/Locations/australiaeast/Publishers/nebbiolo-technologies-inc</t>
  </si>
  <si>
    <t>/Subscriptions/c6af6ae2-9944-4751-b114-790536486ec8/Providers/Microsoft.Compute/Locations/australiaeast/Publishers/netapp</t>
  </si>
  <si>
    <t>/Subscriptions/c6af6ae2-9944-4751-b114-790536486ec8/Providers/Microsoft.Compute/Locations/australiaeast/Publishers/netatwork</t>
  </si>
  <si>
    <t>/Subscriptions/c6af6ae2-9944-4751-b114-790536486ec8/Providers/Microsoft.Compute/Locations/australiaeast/Publishers/netgate</t>
  </si>
  <si>
    <t>/Subscriptions/c6af6ae2-9944-4751-b114-790536486ec8/Providers/Microsoft.Compute/Locations/australiaeast/Publishers/netikus-net-ltd</t>
  </si>
  <si>
    <t>/Subscriptions/c6af6ae2-9944-4751-b114-790536486ec8/Providers/Microsoft.Compute/Locations/australiaeast/Publishers/netiq</t>
  </si>
  <si>
    <t>/Subscriptions/c6af6ae2-9944-4751-b114-790536486ec8/Providers/Microsoft.Compute/Locations/australiaeast/Publishers/netmail</t>
  </si>
  <si>
    <t>/Subscriptions/c6af6ae2-9944-4751-b114-790536486ec8/Providers/Microsoft.Compute/Locations/australiaeast/Publishers/netsil</t>
  </si>
  <si>
    <t>/Subscriptions/c6af6ae2-9944-4751-b114-790536486ec8/Providers/Microsoft.Compute/Locations/australiaeast/Publishers/netwrix</t>
  </si>
  <si>
    <t>/Subscriptions/c6af6ae2-9944-4751-b114-790536486ec8/Providers/Microsoft.Compute/Locations/australiaeast/Publishers/neusoft-neteye</t>
  </si>
  <si>
    <t>/Subscriptions/c6af6ae2-9944-4751-b114-790536486ec8/Providers/Microsoft.Compute/Locations/australiaeast/Publishers/nextlimit</t>
  </si>
  <si>
    <t>/Subscriptions/c6af6ae2-9944-4751-b114-790536486ec8/Providers/Microsoft.Compute/Locations/australiaeast/Publishers/nginxinc</t>
  </si>
  <si>
    <t>/Subscriptions/c6af6ae2-9944-4751-b114-790536486ec8/Providers/Microsoft.Compute/Locations/australiaeast/Publishers/nicepeopleatwork</t>
  </si>
  <si>
    <t>/Subscriptions/c6af6ae2-9944-4751-b114-790536486ec8/Providers/Microsoft.Compute/Locations/australiaeast/Publishers/nodejsapi</t>
  </si>
  <si>
    <t>/Subscriptions/c6af6ae2-9944-4751-b114-790536486ec8/Providers/Microsoft.Compute/Locations/australiaeast/Publishers/nodesource</t>
  </si>
  <si>
    <t>/Subscriptions/c6af6ae2-9944-4751-b114-790536486ec8/Providers/Microsoft.Compute/Locations/australiaeast/Publishers/noobaa</t>
  </si>
  <si>
    <t>/Subscriptions/c6af6ae2-9944-4751-b114-790536486ec8/Providers/Microsoft.Compute/Locations/australiaeast/Publishers/norsync</t>
  </si>
  <si>
    <t>/Subscriptions/c6af6ae2-9944-4751-b114-790536486ec8/Providers/Microsoft.Compute/Locations/australiaeast/Publishers/northbridge-secure</t>
  </si>
  <si>
    <t>/Subscriptions/c6af6ae2-9944-4751-b114-790536486ec8/Providers/Microsoft.Compute/Locations/australiaeast/Publishers/nuxeo</t>
  </si>
  <si>
    <t>/Subscriptions/c6af6ae2-9944-4751-b114-790536486ec8/Providers/Microsoft.Compute/Locations/australiaeast/Publishers/o2mc-real-time-data-platform</t>
  </si>
  <si>
    <t>/Subscriptions/c6af6ae2-9944-4751-b114-790536486ec8/Providers/Microsoft.Compute/Locations/australiaeast/Publishers/OctopusDeploy.Tentacle</t>
  </si>
  <si>
    <t>/Subscriptions/c6af6ae2-9944-4751-b114-790536486ec8/Providers/Microsoft.Compute/Locations/australiaeast/Publishers/omega-software</t>
  </si>
  <si>
    <t>/Subscriptions/c6af6ae2-9944-4751-b114-790536486ec8/Providers/Microsoft.Compute/Locations/australiaeast/Publishers/ooyala</t>
  </si>
  <si>
    <t>/Subscriptions/c6af6ae2-9944-4751-b114-790536486ec8/Providers/Microsoft.Compute/Locations/australiaeast/Publishers/op5</t>
  </si>
  <si>
    <t>/Subscriptions/c6af6ae2-9944-4751-b114-790536486ec8/Providers/Microsoft.Compute/Locations/australiaeast/Publishers/opencell</t>
  </si>
  <si>
    <t>/Subscriptions/c6af6ae2-9944-4751-b114-790536486ec8/Providers/Microsoft.Compute/Locations/australiaeast/Publishers/OpenLogic</t>
  </si>
  <si>
    <t>/Subscriptions/c6af6ae2-9944-4751-b114-790536486ec8/Providers/Microsoft.Compute/Locations/australiaeast/Publishers/opennebulasystems</t>
  </si>
  <si>
    <t>/Subscriptions/c6af6ae2-9944-4751-b114-790536486ec8/Providers/Microsoft.Compute/Locations/australiaeast/Publishers/opentext</t>
  </si>
  <si>
    <t>/Subscriptions/c6af6ae2-9944-4751-b114-790536486ec8/Providers/Microsoft.Compute/Locations/australiaeast/Publishers/openvpn</t>
  </si>
  <si>
    <t>/Subscriptions/c6af6ae2-9944-4751-b114-790536486ec8/Providers/Microsoft.Compute/Locations/australiaeast/Publishers/opslogix</t>
  </si>
  <si>
    <t>/Subscriptions/c6af6ae2-9944-4751-b114-790536486ec8/Providers/Microsoft.Compute/Locations/australiaeast/Publishers/opsview-limited</t>
  </si>
  <si>
    <t>/Subscriptions/c6af6ae2-9944-4751-b114-790536486ec8/Providers/Microsoft.Compute/Locations/australiaeast/Publishers/Oracle</t>
  </si>
  <si>
    <t>/Subscriptions/c6af6ae2-9944-4751-b114-790536486ec8/Providers/Microsoft.Compute/Locations/australiaeast/Publishers/orientdb</t>
  </si>
  <si>
    <t>/Subscriptions/c6af6ae2-9944-4751-b114-790536486ec8/Providers/Microsoft.Compute/Locations/australiaeast/Publishers/osisoft</t>
  </si>
  <si>
    <t>/Subscriptions/c6af6ae2-9944-4751-b114-790536486ec8/Providers/Microsoft.Compute/Locations/australiaeast/Publishers/osnexus</t>
  </si>
  <si>
    <t>/Subscriptions/c6af6ae2-9944-4751-b114-790536486ec8/Providers/Microsoft.Compute/Locations/australiaeast/Publishers/outsystems</t>
  </si>
  <si>
    <t>/Subscriptions/c6af6ae2-9944-4751-b114-790536486ec8/Providers/Microsoft.Compute/Locations/australiaeast/Publishers/paloaltonetworks</t>
  </si>
  <si>
    <t>/Subscriptions/c6af6ae2-9944-4751-b114-790536486ec8/Providers/Microsoft.Compute/Locations/australiaeast/Publishers/panorama-necto</t>
  </si>
  <si>
    <t>/Subscriptions/c6af6ae2-9944-4751-b114-790536486ec8/Providers/Microsoft.Compute/Locations/australiaeast/Publishers/panzura-file-system</t>
  </si>
  <si>
    <t>/Subscriptions/c6af6ae2-9944-4751-b114-790536486ec8/Providers/Microsoft.Compute/Locations/australiaeast/Publishers/parallels</t>
  </si>
  <si>
    <t>/Subscriptions/c6af6ae2-9944-4751-b114-790536486ec8/Providers/Microsoft.Compute/Locations/australiaeast/Publishers/parasoft</t>
  </si>
  <si>
    <t>/Subscriptions/c6af6ae2-9944-4751-b114-790536486ec8/Providers/Microsoft.Compute/Locations/australiaeast/Publishers/passlogy</t>
  </si>
  <si>
    <t>/Subscriptions/c6af6ae2-9944-4751-b114-790536486ec8/Providers/Microsoft.Compute/Locations/australiaeast/Publishers/paxata</t>
  </si>
  <si>
    <t>/Subscriptions/c6af6ae2-9944-4751-b114-790536486ec8/Providers/Microsoft.Compute/Locations/australiaeast/Publishers/penta-security-systems-inc</t>
  </si>
  <si>
    <t>/Subscriptions/c6af6ae2-9944-4751-b114-790536486ec8/Providers/Microsoft.Compute/Locations/australiaeast/Publishers/pivotal</t>
  </si>
  <si>
    <t>/Subscriptions/c6af6ae2-9944-4751-b114-790536486ec8/Providers/Microsoft.Compute/Locations/australiaeast/Publishers/plesk</t>
  </si>
  <si>
    <t>/Subscriptions/c6af6ae2-9944-4751-b114-790536486ec8/Providers/Microsoft.Compute/Locations/australiaeast/Publishers/portalarchitects</t>
  </si>
  <si>
    <t>/Subscriptions/c6af6ae2-9944-4751-b114-790536486ec8/Providers/Microsoft.Compute/Locations/australiaeast/Publishers/postgres-pro</t>
  </si>
  <si>
    <t>/Subscriptions/c6af6ae2-9944-4751-b114-790536486ec8/Providers/Microsoft.Compute/Locations/australiaeast/Publishers/predictionio</t>
  </si>
  <si>
    <t>/Subscriptions/c6af6ae2-9944-4751-b114-790536486ec8/Providers/Microsoft.Compute/Locations/australiaeast/Publishers/predixion</t>
  </si>
  <si>
    <t>/Subscriptions/c6af6ae2-9944-4751-b114-790536486ec8/Providers/Microsoft.Compute/Locations/australiaeast/Publishers/prestashop</t>
  </si>
  <si>
    <t>/Subscriptions/c6af6ae2-9944-4751-b114-790536486ec8/Providers/Microsoft.Compute/Locations/australiaeast/Publishers/prime-strategy</t>
  </si>
  <si>
    <t>/Subscriptions/c6af6ae2-9944-4751-b114-790536486ec8/Providers/Microsoft.Compute/Locations/australiaeast/Publishers/process-one</t>
  </si>
  <si>
    <t>/Subscriptions/c6af6ae2-9944-4751-b114-790536486ec8/Providers/Microsoft.Compute/Locations/australiaeast/Publishers/profiler2.diagnostics.test</t>
  </si>
  <si>
    <t>/Subscriptions/c6af6ae2-9944-4751-b114-790536486ec8/Providers/Microsoft.Compute/Locations/australiaeast/Publishers/profisee</t>
  </si>
  <si>
    <t>/Subscriptions/c6af6ae2-9944-4751-b114-790536486ec8/Providers/Microsoft.Compute/Locations/australiaeast/Publishers/progelspa</t>
  </si>
  <si>
    <t>/Subscriptions/c6af6ae2-9944-4751-b114-790536486ec8/Providers/Microsoft.Compute/Locations/australiaeast/Publishers/ptsecurity</t>
  </si>
  <si>
    <t>/Subscriptions/c6af6ae2-9944-4751-b114-790536486ec8/Providers/Microsoft.Compute/Locations/australiaeast/Publishers/pulse-secure</t>
  </si>
  <si>
    <t>/Subscriptions/c6af6ae2-9944-4751-b114-790536486ec8/Providers/Microsoft.Compute/Locations/australiaeast/Publishers/puppet</t>
  </si>
  <si>
    <t>/Subscriptions/c6af6ae2-9944-4751-b114-790536486ec8/Providers/Microsoft.Compute/Locations/australiaeast/Publishers/PuppetLabs</t>
  </si>
  <si>
    <t>/Subscriptions/c6af6ae2-9944-4751-b114-790536486ec8/Providers/Microsoft.Compute/Locations/australiaeast/Publishers/PuppetLabs.Test</t>
  </si>
  <si>
    <t>/Subscriptions/c6af6ae2-9944-4751-b114-790536486ec8/Providers/Microsoft.Compute/Locations/australiaeast/Publishers/pydio</t>
  </si>
  <si>
    <t>/Subscriptions/c6af6ae2-9944-4751-b114-790536486ec8/Providers/Microsoft.Compute/Locations/australiaeast/Publishers/pyramidanalytics</t>
  </si>
  <si>
    <t>/Subscriptions/c6af6ae2-9944-4751-b114-790536486ec8/Providers/Microsoft.Compute/Locations/australiaeast/Publishers/qlik</t>
  </si>
  <si>
    <t>/Subscriptions/c6af6ae2-9944-4751-b114-790536486ec8/Providers/Microsoft.Compute/Locations/australiaeast/Publishers/Qualys</t>
  </si>
  <si>
    <t>/Subscriptions/c6af6ae2-9944-4751-b114-790536486ec8/Providers/Microsoft.Compute/Locations/australiaeast/Publishers/qualysguard</t>
  </si>
  <si>
    <t>/Subscriptions/c6af6ae2-9944-4751-b114-790536486ec8/Providers/Microsoft.Compute/Locations/australiaeast/Publishers/quasardb</t>
  </si>
  <si>
    <t>/Subscriptions/c6af6ae2-9944-4751-b114-790536486ec8/Providers/Microsoft.Compute/Locations/australiaeast/Publishers/qubole</t>
  </si>
  <si>
    <t>/Subscriptions/c6af6ae2-9944-4751-b114-790536486ec8/Providers/Microsoft.Compute/Locations/australiaeast/Publishers/qubole-inc</t>
  </si>
  <si>
    <t>/Subscriptions/c6af6ae2-9944-4751-b114-790536486ec8/Providers/Microsoft.Compute/Locations/australiaeast/Publishers/racemi-incorporated</t>
  </si>
  <si>
    <t>/Subscriptions/c6af6ae2-9944-4751-b114-790536486ec8/Providers/Microsoft.Compute/Locations/australiaeast/Publishers/radware</t>
  </si>
  <si>
    <t>/Subscriptions/c6af6ae2-9944-4751-b114-790536486ec8/Providers/Microsoft.Compute/Locations/australiaeast/Publishers/rancher</t>
  </si>
  <si>
    <t>/Subscriptions/c6af6ae2-9944-4751-b114-790536486ec8/Providers/Microsoft.Compute/Locations/australiaeast/Publishers/rapid7</t>
  </si>
  <si>
    <t>/Subscriptions/c6af6ae2-9944-4751-b114-790536486ec8/Providers/Microsoft.Compute/Locations/australiaeast/Publishers/Rapid7.InsightPlatform</t>
  </si>
  <si>
    <t>/Subscriptions/c6af6ae2-9944-4751-b114-790536486ec8/Providers/Microsoft.Compute/Locations/australiaeast/Publishers/rapidminer</t>
  </si>
  <si>
    <t>/Subscriptions/c6af6ae2-9944-4751-b114-790536486ec8/Providers/Microsoft.Compute/Locations/australiaeast/Publishers/realm</t>
  </si>
  <si>
    <t>/Subscriptions/c6af6ae2-9944-4751-b114-790536486ec8/Providers/Microsoft.Compute/Locations/australiaeast/Publishers/RedHat</t>
  </si>
  <si>
    <t>/Subscriptions/c6af6ae2-9944-4751-b114-790536486ec8/Providers/Microsoft.Compute/Locations/australiaeast/Publishers/redpoint-global</t>
  </si>
  <si>
    <t>/Subscriptions/c6af6ae2-9944-4751-b114-790536486ec8/Providers/Microsoft.Compute/Locations/australiaeast/Publishers/relevance-lab</t>
  </si>
  <si>
    <t>/Subscriptions/c6af6ae2-9944-4751-b114-790536486ec8/Providers/Microsoft.Compute/Locations/australiaeast/Publishers/remotelearner</t>
  </si>
  <si>
    <t>/Subscriptions/c6af6ae2-9944-4751-b114-790536486ec8/Providers/Microsoft.Compute/Locations/australiaeast/Publishers/res</t>
  </si>
  <si>
    <t>/Subscriptions/c6af6ae2-9944-4751-b114-790536486ec8/Providers/Microsoft.Compute/Locations/australiaeast/Publishers/revolution-analytics</t>
  </si>
  <si>
    <t>/Subscriptions/c6af6ae2-9944-4751-b114-790536486ec8/Providers/Microsoft.Compute/Locations/australiaeast/Publishers/RightScaleLinux</t>
  </si>
  <si>
    <t>/Subscriptions/c6af6ae2-9944-4751-b114-790536486ec8/Providers/Microsoft.Compute/Locations/australiaeast/Publishers/RightScaleWindowsServer</t>
  </si>
  <si>
    <t>/Subscriptions/c6af6ae2-9944-4751-b114-790536486ec8/Providers/Microsoft.Compute/Locations/australiaeast/Publishers/riverbed</t>
  </si>
  <si>
    <t>/Subscriptions/c6af6ae2-9944-4751-b114-790536486ec8/Providers/Microsoft.Compute/Locations/australiaeast/Publishers/RiverbedTechnology</t>
  </si>
  <si>
    <t>/Subscriptions/c6af6ae2-9944-4751-b114-790536486ec8/Providers/Microsoft.Compute/Locations/australiaeast/Publishers/rocketsoftware</t>
  </si>
  <si>
    <t>/Subscriptions/c6af6ae2-9944-4751-b114-790536486ec8/Providers/Microsoft.Compute/Locations/australiaeast/Publishers/rocket_software</t>
  </si>
  <si>
    <t>/Subscriptions/c6af6ae2-9944-4751-b114-790536486ec8/Providers/Microsoft.Compute/Locations/australiaeast/Publishers/roktech</t>
  </si>
  <si>
    <t>/Subscriptions/c6af6ae2-9944-4751-b114-790536486ec8/Providers/Microsoft.Compute/Locations/australiaeast/Publishers/rsa-security-llc</t>
  </si>
  <si>
    <t>/Subscriptions/c6af6ae2-9944-4751-b114-790536486ec8/Providers/Microsoft.Compute/Locations/australiaeast/Publishers/saama</t>
  </si>
  <si>
    <t>/Subscriptions/c6af6ae2-9944-4751-b114-790536486ec8/Providers/Microsoft.Compute/Locations/australiaeast/Publishers/saltstack</t>
  </si>
  <si>
    <t>/Subscriptions/c6af6ae2-9944-4751-b114-790536486ec8/Providers/Microsoft.Compute/Locations/australiaeast/Publishers/samsung-sds</t>
  </si>
  <si>
    <t>/Subscriptions/c6af6ae2-9944-4751-b114-790536486ec8/Providers/Microsoft.Compute/Locations/australiaeast/Publishers/samsungsds-cello</t>
  </si>
  <si>
    <t>/Subscriptions/c6af6ae2-9944-4751-b114-790536486ec8/Providers/Microsoft.Compute/Locations/australiaeast/Publishers/sap</t>
  </si>
  <si>
    <t>/Subscriptions/c6af6ae2-9944-4751-b114-790536486ec8/Providers/Microsoft.Compute/Locations/australiaeast/Publishers/scalearc</t>
  </si>
  <si>
    <t>/Subscriptions/c6af6ae2-9944-4751-b114-790536486ec8/Providers/Microsoft.Compute/Locations/australiaeast/Publishers/scalebase</t>
  </si>
  <si>
    <t>/Subscriptions/c6af6ae2-9944-4751-b114-790536486ec8/Providers/Microsoft.Compute/Locations/australiaeast/Publishers/scalegrid</t>
  </si>
  <si>
    <t>/Subscriptions/c6af6ae2-9944-4751-b114-790536486ec8/Providers/Microsoft.Compute/Locations/australiaeast/Publishers/sensorberg</t>
  </si>
  <si>
    <t>/Subscriptions/c6af6ae2-9944-4751-b114-790536486ec8/Providers/Microsoft.Compute/Locations/australiaeast/Publishers/sentryone</t>
  </si>
  <si>
    <t>/Subscriptions/c6af6ae2-9944-4751-b114-790536486ec8/Providers/Microsoft.Compute/Locations/australiaeast/Publishers/service-control-inc</t>
  </si>
  <si>
    <t>/Subscriptions/c6af6ae2-9944-4751-b114-790536486ec8/Providers/Microsoft.Compute/Locations/australiaeast/Publishers/shadow-soft</t>
  </si>
  <si>
    <t>/Subscriptions/c6af6ae2-9944-4751-b114-790536486ec8/Providers/Microsoft.Compute/Locations/australiaeast/Publishers/sharefile</t>
  </si>
  <si>
    <t>/Subscriptions/c6af6ae2-9944-4751-b114-790536486ec8/Providers/Microsoft.Compute/Locations/australiaeast/Publishers/shareshiftneeraj.test</t>
  </si>
  <si>
    <t>/Subscriptions/c6af6ae2-9944-4751-b114-790536486ec8/Providers/Microsoft.Compute/Locations/australiaeast/Publishers/sidm</t>
  </si>
  <si>
    <t>/Subscriptions/c6af6ae2-9944-4751-b114-790536486ec8/Providers/Microsoft.Compute/Locations/australiaeast/Publishers/sightapps</t>
  </si>
  <si>
    <t>/Subscriptions/c6af6ae2-9944-4751-b114-790536486ec8/Providers/Microsoft.Compute/Locations/australiaeast/Publishers/silver-peak-systems</t>
  </si>
  <si>
    <t>/Subscriptions/c6af6ae2-9944-4751-b114-790536486ec8/Providers/Microsoft.Compute/Locations/australiaeast/Publishers/simmachinesinc</t>
  </si>
  <si>
    <t>/Subscriptions/c6af6ae2-9944-4751-b114-790536486ec8/Providers/Microsoft.Compute/Locations/australiaeast/Publishers/sinefa</t>
  </si>
  <si>
    <t>/Subscriptions/c6af6ae2-9944-4751-b114-790536486ec8/Providers/Microsoft.Compute/Locations/australiaeast/Publishers/sios_datakeeper</t>
  </si>
  <si>
    <t>/Subscriptions/c6af6ae2-9944-4751-b114-790536486ec8/Providers/Microsoft.Compute/Locations/australiaeast/Publishers/sisense</t>
  </si>
  <si>
    <t>/Subscriptions/c6af6ae2-9944-4751-b114-790536486ec8/Providers/Microsoft.Compute/Locations/australiaeast/Publishers/Site24x7</t>
  </si>
  <si>
    <t>/Subscriptions/c6af6ae2-9944-4751-b114-790536486ec8/Providers/Microsoft.Compute/Locations/australiaeast/Publishers/skyarc</t>
  </si>
  <si>
    <t>/Subscriptions/c6af6ae2-9944-4751-b114-790536486ec8/Providers/Microsoft.Compute/Locations/australiaeast/Publishers/slamby</t>
  </si>
  <si>
    <t>/Subscriptions/c6af6ae2-9944-4751-b114-790536486ec8/Providers/Microsoft.Compute/Locations/australiaeast/Publishers/smartmessage-autoflow</t>
  </si>
  <si>
    <t>/Subscriptions/c6af6ae2-9944-4751-b114-790536486ec8/Providers/Microsoft.Compute/Locations/australiaeast/Publishers/snaplogic</t>
  </si>
  <si>
    <t>/Subscriptions/c6af6ae2-9944-4751-b114-790536486ec8/Providers/Microsoft.Compute/Locations/australiaeast/Publishers/soasta</t>
  </si>
  <si>
    <t>/Subscriptions/c6af6ae2-9944-4751-b114-790536486ec8/Providers/Microsoft.Compute/Locations/australiaeast/Publishers/softnas</t>
  </si>
  <si>
    <t>/Subscriptions/c6af6ae2-9944-4751-b114-790536486ec8/Providers/Microsoft.Compute/Locations/australiaeast/Publishers/soha</t>
  </si>
  <si>
    <t>/Subscriptions/c6af6ae2-9944-4751-b114-790536486ec8/Providers/Microsoft.Compute/Locations/australiaeast/Publishers/solanolabs</t>
  </si>
  <si>
    <t>/Subscriptions/c6af6ae2-9944-4751-b114-790536486ec8/Providers/Microsoft.Compute/Locations/australiaeast/Publishers/solarwinds</t>
  </si>
  <si>
    <t>/Subscriptions/c6af6ae2-9944-4751-b114-790536486ec8/Providers/Microsoft.Compute/Locations/australiaeast/Publishers/sonicwall-inc</t>
  </si>
  <si>
    <t>/Subscriptions/c6af6ae2-9944-4751-b114-790536486ec8/Providers/Microsoft.Compute/Locations/australiaeast/Publishers/sophos</t>
  </si>
  <si>
    <t>/Subscriptions/c6af6ae2-9944-4751-b114-790536486ec8/Providers/Microsoft.Compute/Locations/australiaeast/Publishers/spacecurve</t>
  </si>
  <si>
    <t>/Subscriptions/c6af6ae2-9944-4751-b114-790536486ec8/Providers/Microsoft.Compute/Locations/australiaeast/Publishers/spagobi</t>
  </si>
  <si>
    <t>/Subscriptions/c6af6ae2-9944-4751-b114-790536486ec8/Providers/Microsoft.Compute/Locations/australiaeast/Publishers/sphere3d</t>
  </si>
  <si>
    <t>/Subscriptions/c6af6ae2-9944-4751-b114-790536486ec8/Providers/Microsoft.Compute/Locations/australiaeast/Publishers/splunk</t>
  </si>
  <si>
    <t>/Subscriptions/c6af6ae2-9944-4751-b114-790536486ec8/Providers/Microsoft.Compute/Locations/australiaeast/Publishers/sqlstream</t>
  </si>
  <si>
    <t>/Subscriptions/c6af6ae2-9944-4751-b114-790536486ec8/Providers/Microsoft.Compute/Locations/australiaeast/Publishers/sqream</t>
  </si>
  <si>
    <t>/Subscriptions/c6af6ae2-9944-4751-b114-790536486ec8/Providers/Microsoft.Compute/Locations/australiaeast/Publishers/src-solution</t>
  </si>
  <si>
    <t>/Subscriptions/c6af6ae2-9944-4751-b114-790536486ec8/Providers/Microsoft.Compute/Locations/australiaeast/Publishers/stackato-platform-as-a-service</t>
  </si>
  <si>
    <t>/Subscriptions/c6af6ae2-9944-4751-b114-790536486ec8/Providers/Microsoft.Compute/Locations/australiaeast/Publishers/Stackify.LinuxAgent.Extension</t>
  </si>
  <si>
    <t>/Subscriptions/c6af6ae2-9944-4751-b114-790536486ec8/Providers/Microsoft.Compute/Locations/australiaeast/Publishers/stackstorm</t>
  </si>
  <si>
    <t>/Subscriptions/c6af6ae2-9944-4751-b114-790536486ec8/Providers/Microsoft.Compute/Locations/australiaeast/Publishers/starwind</t>
  </si>
  <si>
    <t>/Subscriptions/c6af6ae2-9944-4751-b114-790536486ec8/Providers/Microsoft.Compute/Locations/australiaeast/Publishers/StatusReport.Diagnostics.Test</t>
  </si>
  <si>
    <t>/Subscriptions/c6af6ae2-9944-4751-b114-790536486ec8/Providers/Microsoft.Compute/Locations/australiaeast/Publishers/stealthbits</t>
  </si>
  <si>
    <t>/Subscriptions/c6af6ae2-9944-4751-b114-790536486ec8/Providers/Microsoft.Compute/Locations/australiaeast/Publishers/steelhive</t>
  </si>
  <si>
    <t>/Subscriptions/c6af6ae2-9944-4751-b114-790536486ec8/Providers/Microsoft.Compute/Locations/australiaeast/Publishers/stonefly</t>
  </si>
  <si>
    <t>/Subscriptions/c6af6ae2-9944-4751-b114-790536486ec8/Providers/Microsoft.Compute/Locations/australiaeast/Publishers/stormshield</t>
  </si>
  <si>
    <t>/Subscriptions/c6af6ae2-9944-4751-b114-790536486ec8/Providers/Microsoft.Compute/Locations/australiaeast/Publishers/storreduce</t>
  </si>
  <si>
    <t>/Subscriptions/c6af6ae2-9944-4751-b114-790536486ec8/Providers/Microsoft.Compute/Locations/australiaeast/Publishers/stratalux</t>
  </si>
  <si>
    <t>/Subscriptions/c6af6ae2-9944-4751-b114-790536486ec8/Providers/Microsoft.Compute/Locations/australiaeast/Publishers/stratis-group-ltd</t>
  </si>
  <si>
    <t>/Subscriptions/c6af6ae2-9944-4751-b114-790536486ec8/Providers/Microsoft.Compute/Locations/australiaeast/Publishers/stratus-id</t>
  </si>
  <si>
    <t>/Subscriptions/c6af6ae2-9944-4751-b114-790536486ec8/Providers/Microsoft.Compute/Locations/australiaeast/Publishers/streamsets</t>
  </si>
  <si>
    <t>/Subscriptions/c6af6ae2-9944-4751-b114-790536486ec8/Providers/Microsoft.Compute/Locations/australiaeast/Publishers/striim</t>
  </si>
  <si>
    <t>/Subscriptions/c6af6ae2-9944-4751-b114-790536486ec8/Providers/Microsoft.Compute/Locations/australiaeast/Publishers/sumologic</t>
  </si>
  <si>
    <t>/Subscriptions/c6af6ae2-9944-4751-b114-790536486ec8/Providers/Microsoft.Compute/Locations/australiaeast/Publishers/SUSE</t>
  </si>
  <si>
    <t>/Subscriptions/c6af6ae2-9944-4751-b114-790536486ec8/Providers/Microsoft.Compute/Locations/australiaeast/Publishers/Symantec</t>
  </si>
  <si>
    <t>/Subscriptions/c6af6ae2-9944-4751-b114-790536486ec8/Providers/Microsoft.Compute/Locations/australiaeast/Publishers/Symantec.CloudWorkloadProtection</t>
  </si>
  <si>
    <t>/Subscriptions/c6af6ae2-9944-4751-b114-790536486ec8/Providers/Microsoft.Compute/Locations/australiaeast/Publishers/Symantec.CloudWorkloadProtection.Test</t>
  </si>
  <si>
    <t>/Subscriptions/c6af6ae2-9944-4751-b114-790536486ec8/Providers/Microsoft.Compute/Locations/australiaeast/Publishers/Symantec.CloudWorkloadProtection.TestOnStage</t>
  </si>
  <si>
    <t>/Subscriptions/c6af6ae2-9944-4751-b114-790536486ec8/Providers/Microsoft.Compute/Locations/australiaeast/Publishers/Symantec.QA</t>
  </si>
  <si>
    <t>/Subscriptions/c6af6ae2-9944-4751-b114-790536486ec8/Providers/Microsoft.Compute/Locations/australiaeast/Publishers/Symantec.staging</t>
  </si>
  <si>
    <t>/Subscriptions/c6af6ae2-9944-4751-b114-790536486ec8/Providers/Microsoft.Compute/Locations/australiaeast/Publishers/Symantec.test</t>
  </si>
  <si>
    <t>/Subscriptions/c6af6ae2-9944-4751-b114-790536486ec8/Providers/Microsoft.Compute/Locations/australiaeast/Publishers/Symantec.test.ru2.latest</t>
  </si>
  <si>
    <t>/Subscriptions/c6af6ae2-9944-4751-b114-790536486ec8/Providers/Microsoft.Compute/Locations/australiaeast/Publishers/Symantec.test.ru2final</t>
  </si>
  <si>
    <t>/Subscriptions/c6af6ae2-9944-4751-b114-790536486ec8/Providers/Microsoft.Compute/Locations/australiaeast/Publishers/Symantec.test.ru2latest1</t>
  </si>
  <si>
    <t>/Subscriptions/c6af6ae2-9944-4751-b114-790536486ec8/Providers/Microsoft.Compute/Locations/australiaeast/Publishers/Symantec.test.ru4mp1</t>
  </si>
  <si>
    <t>/Subscriptions/c6af6ae2-9944-4751-b114-790536486ec8/Providers/Microsoft.Compute/Locations/australiaeast/Publishers/Symantec.test.ru4mp1.latest</t>
  </si>
  <si>
    <t>/Subscriptions/c6af6ae2-9944-4751-b114-790536486ec8/Providers/Microsoft.Compute/Locations/australiaeast/Publishers/Symantec.test.ru4mp1final</t>
  </si>
  <si>
    <t>/Subscriptions/c6af6ae2-9944-4751-b114-790536486ec8/Providers/Microsoft.Compute/Locations/australiaeast/Publishers/symantectest1</t>
  </si>
  <si>
    <t>/Subscriptions/c6af6ae2-9944-4751-b114-790536486ec8/Providers/Microsoft.Compute/Locations/australiaeast/Publishers/synack-inc</t>
  </si>
  <si>
    <t>/Subscriptions/c6af6ae2-9944-4751-b114-790536486ec8/Providers/Microsoft.Compute/Locations/australiaeast/Publishers/syncfusion</t>
  </si>
  <si>
    <t>/Subscriptions/c6af6ae2-9944-4751-b114-790536486ec8/Providers/Microsoft.Compute/Locations/australiaeast/Publishers/syncfusionbigdataplatfor</t>
  </si>
  <si>
    <t>/Subscriptions/c6af6ae2-9944-4751-b114-790536486ec8/Providers/Microsoft.Compute/Locations/australiaeast/Publishers/syncfusiondashboard</t>
  </si>
  <si>
    <t>/Subscriptions/c6af6ae2-9944-4751-b114-790536486ec8/Providers/Microsoft.Compute/Locations/australiaeast/Publishers/synechron-technologies</t>
  </si>
  <si>
    <t>/Subscriptions/c6af6ae2-9944-4751-b114-790536486ec8/Providers/Microsoft.Compute/Locations/australiaeast/Publishers/tableau</t>
  </si>
  <si>
    <t>/Subscriptions/c6af6ae2-9944-4751-b114-790536486ec8/Providers/Microsoft.Compute/Locations/australiaeast/Publishers/tactic</t>
  </si>
  <si>
    <t>/Subscriptions/c6af6ae2-9944-4751-b114-790536486ec8/Providers/Microsoft.Compute/Locations/australiaeast/Publishers/talena-inc</t>
  </si>
  <si>
    <t>/Subscriptions/c6af6ae2-9944-4751-b114-790536486ec8/Providers/Microsoft.Compute/Locations/australiaeast/Publishers/talon</t>
  </si>
  <si>
    <t>/Subscriptions/c6af6ae2-9944-4751-b114-790536486ec8/Providers/Microsoft.Compute/Locations/australiaeast/Publishers/targit</t>
  </si>
  <si>
    <t>/Subscriptions/c6af6ae2-9944-4751-b114-790536486ec8/Providers/Microsoft.Compute/Locations/australiaeast/Publishers/tavendo</t>
  </si>
  <si>
    <t>/Subscriptions/c6af6ae2-9944-4751-b114-790536486ec8/Providers/Microsoft.Compute/Locations/australiaeast/Publishers/te-systems</t>
  </si>
  <si>
    <t>/Subscriptions/c6af6ae2-9944-4751-b114-790536486ec8/Providers/Microsoft.Compute/Locations/australiaeast/Publishers/techdivision</t>
  </si>
  <si>
    <t>/Subscriptions/c6af6ae2-9944-4751-b114-790536486ec8/Providers/Microsoft.Compute/Locations/australiaeast/Publishers/telepat</t>
  </si>
  <si>
    <t>/Subscriptions/c6af6ae2-9944-4751-b114-790536486ec8/Providers/Microsoft.Compute/Locations/australiaeast/Publishers/tenable</t>
  </si>
  <si>
    <t>/Subscriptions/c6af6ae2-9944-4751-b114-790536486ec8/Providers/Microsoft.Compute/Locations/australiaeast/Publishers/teradata</t>
  </si>
  <si>
    <t>/Subscriptions/c6af6ae2-9944-4751-b114-790536486ec8/Providers/Microsoft.Compute/Locations/australiaeast/Publishers/Teradici</t>
  </si>
  <si>
    <t>/Subscriptions/c6af6ae2-9944-4751-b114-790536486ec8/Providers/Microsoft.Compute/Locations/australiaeast/Publishers/Test.Gemalto.SafeNet.ProtectV</t>
  </si>
  <si>
    <t>/Subscriptions/c6af6ae2-9944-4751-b114-790536486ec8/Providers/Microsoft.Compute/Locations/australiaeast/Publishers/Test.HP.AppDefender</t>
  </si>
  <si>
    <t>/Subscriptions/c6af6ae2-9944-4751-b114-790536486ec8/Providers/Microsoft.Compute/Locations/australiaeast/Publishers/Test.Microsoft.VisualStudio.Services</t>
  </si>
  <si>
    <t>/Subscriptions/c6af6ae2-9944-4751-b114-790536486ec8/Providers/Microsoft.Compute/Locations/australiaeast/Publishers/Test.NJHP.AppDefender</t>
  </si>
  <si>
    <t>/Subscriptions/c6af6ae2-9944-4751-b114-790536486ec8/Providers/Microsoft.Compute/Locations/australiaeast/Publishers/Test.TrendMicro.DeepSecurity</t>
  </si>
  <si>
    <t>/Subscriptions/c6af6ae2-9944-4751-b114-790536486ec8/Providers/Microsoft.Compute/Locations/australiaeast/Publishers/Test1.NJHP.AppDefender</t>
  </si>
  <si>
    <t>/Subscriptions/c6af6ae2-9944-4751-b114-790536486ec8/Providers/Microsoft.Compute/Locations/australiaeast/Publishers/Test3.Microsoft.VisualStudio.Services</t>
  </si>
  <si>
    <t>/Subscriptions/c6af6ae2-9944-4751-b114-790536486ec8/Providers/Microsoft.Compute/Locations/australiaeast/Publishers/thales-vormetric</t>
  </si>
  <si>
    <t>/Subscriptions/c6af6ae2-9944-4751-b114-790536486ec8/Providers/Microsoft.Compute/Locations/australiaeast/Publishers/tibco-software</t>
  </si>
  <si>
    <t>/Subscriptions/c6af6ae2-9944-4751-b114-790536486ec8/Providers/Microsoft.Compute/Locations/australiaeast/Publishers/tig</t>
  </si>
  <si>
    <t>/Subscriptions/c6af6ae2-9944-4751-b114-790536486ec8/Providers/Microsoft.Compute/Locations/australiaeast/Publishers/tokyosystemhouse</t>
  </si>
  <si>
    <t>/Subscriptions/c6af6ae2-9944-4751-b114-790536486ec8/Providers/Microsoft.Compute/Locations/australiaeast/Publishers/topdesk</t>
  </si>
  <si>
    <t>/Subscriptions/c6af6ae2-9944-4751-b114-790536486ec8/Providers/Microsoft.Compute/Locations/australiaeast/Publishers/torusware</t>
  </si>
  <si>
    <t>/Subscriptions/c6af6ae2-9944-4751-b114-790536486ec8/Providers/Microsoft.Compute/Locations/australiaeast/Publishers/townsend-security</t>
  </si>
  <si>
    <t>/Subscriptions/c6af6ae2-9944-4751-b114-790536486ec8/Providers/Microsoft.Compute/Locations/australiaeast/Publishers/transvault</t>
  </si>
  <si>
    <t>/Subscriptions/c6af6ae2-9944-4751-b114-790536486ec8/Providers/Microsoft.Compute/Locations/australiaeast/Publishers/trendmicro</t>
  </si>
  <si>
    <t>/Subscriptions/c6af6ae2-9944-4751-b114-790536486ec8/Providers/Microsoft.Compute/Locations/australiaeast/Publishers/TrendMicro.DeepSecurity</t>
  </si>
  <si>
    <t>/Subscriptions/c6af6ae2-9944-4751-b114-790536486ec8/Providers/Microsoft.Compute/Locations/australiaeast/Publishers/TrendMicro.DeepSecurity.Test</t>
  </si>
  <si>
    <t>/Subscriptions/c6af6ae2-9944-4751-b114-790536486ec8/Providers/Microsoft.Compute/Locations/australiaeast/Publishers/TrendMicro.PortalProtect</t>
  </si>
  <si>
    <t>/Subscriptions/c6af6ae2-9944-4751-b114-790536486ec8/Providers/Microsoft.Compute/Locations/australiaeast/Publishers/tresorit</t>
  </si>
  <si>
    <t>/Subscriptions/c6af6ae2-9944-4751-b114-790536486ec8/Providers/Microsoft.Compute/Locations/australiaeast/Publishers/tsa-public-service</t>
  </si>
  <si>
    <t>/Subscriptions/c6af6ae2-9944-4751-b114-790536486ec8/Providers/Microsoft.Compute/Locations/australiaeast/Publishers/tunnelbiz</t>
  </si>
  <si>
    <t>/Subscriptions/c6af6ae2-9944-4751-b114-790536486ec8/Providers/Microsoft.Compute/Locations/australiaeast/Publishers/twistlock</t>
  </si>
  <si>
    <t>/Subscriptions/c6af6ae2-9944-4751-b114-790536486ec8/Providers/Microsoft.Compute/Locations/australiaeast/Publishers/typesafe</t>
  </si>
  <si>
    <t>/Subscriptions/c6af6ae2-9944-4751-b114-790536486ec8/Providers/Microsoft.Compute/Locations/australiaeast/Publishers/ubeeko</t>
  </si>
  <si>
    <t>/Subscriptions/c6af6ae2-9944-4751-b114-790536486ec8/Providers/Microsoft.Compute/Locations/australiaeast/Publishers/ubercloud</t>
  </si>
  <si>
    <t>/Subscriptions/c6af6ae2-9944-4751-b114-790536486ec8/Providers/Microsoft.Compute/Locations/australiaeast/Publishers/ulex</t>
  </si>
  <si>
    <t>/Subscriptions/c6af6ae2-9944-4751-b114-790536486ec8/Providers/Microsoft.Compute/Locations/australiaeast/Publishers/unidesk</t>
  </si>
  <si>
    <t>/Subscriptions/c6af6ae2-9944-4751-b114-790536486ec8/Providers/Microsoft.Compute/Locations/australiaeast/Publishers/unidesk-corp</t>
  </si>
  <si>
    <t>/Subscriptions/c6af6ae2-9944-4751-b114-790536486ec8/Providers/Microsoft.Compute/Locations/australiaeast/Publishers/unify-cloud-llc</t>
  </si>
  <si>
    <t>/Subscriptions/c6af6ae2-9944-4751-b114-790536486ec8/Providers/Microsoft.Compute/Locations/australiaeast/Publishers/uniprint-net</t>
  </si>
  <si>
    <t>/Subscriptions/c6af6ae2-9944-4751-b114-790536486ec8/Providers/Microsoft.Compute/Locations/australiaeast/Publishers/unisys-azuremp-stealth</t>
  </si>
  <si>
    <t>/Subscriptions/c6af6ae2-9944-4751-b114-790536486ec8/Providers/Microsoft.Compute/Locations/australiaeast/Publishers/unitrends</t>
  </si>
  <si>
    <t>/Subscriptions/c6af6ae2-9944-4751-b114-790536486ec8/Providers/Microsoft.Compute/Locations/australiaeast/Publishers/usp</t>
  </si>
  <si>
    <t>/Subscriptions/c6af6ae2-9944-4751-b114-790536486ec8/Providers/Microsoft.Compute/Locations/australiaeast/Publishers/varnish</t>
  </si>
  <si>
    <t>/Subscriptions/c6af6ae2-9944-4751-b114-790536486ec8/Providers/Microsoft.Compute/Locations/australiaeast/Publishers/vaultive-inc</t>
  </si>
  <si>
    <t>/Subscriptions/c6af6ae2-9944-4751-b114-790536486ec8/Providers/Microsoft.Compute/Locations/australiaeast/Publishers/vbot</t>
  </si>
  <si>
    <t>/Subscriptions/c6af6ae2-9944-4751-b114-790536486ec8/Providers/Microsoft.Compute/Locations/australiaeast/Publishers/veeam</t>
  </si>
  <si>
    <t>/Subscriptions/c6af6ae2-9944-4751-b114-790536486ec8/Providers/Microsoft.Compute/Locations/australiaeast/Publishers/velostrata</t>
  </si>
  <si>
    <t>/Subscriptions/c6af6ae2-9944-4751-b114-790536486ec8/Providers/Microsoft.Compute/Locations/australiaeast/Publishers/velostrata-inc</t>
  </si>
  <si>
    <t>/Subscriptions/c6af6ae2-9944-4751-b114-790536486ec8/Providers/Microsoft.Compute/Locations/australiaeast/Publishers/ventify</t>
  </si>
  <si>
    <t>/Subscriptions/c6af6ae2-9944-4751-b114-790536486ec8/Providers/Microsoft.Compute/Locations/australiaeast/Publishers/veritas</t>
  </si>
  <si>
    <t>/Subscriptions/c6af6ae2-9944-4751-b114-790536486ec8/Providers/Microsoft.Compute/Locations/australiaeast/Publishers/versasec</t>
  </si>
  <si>
    <t>/Subscriptions/c6af6ae2-9944-4751-b114-790536486ec8/Providers/Microsoft.Compute/Locations/australiaeast/Publishers/vertabelo</t>
  </si>
  <si>
    <t>/Subscriptions/c6af6ae2-9944-4751-b114-790536486ec8/Providers/Microsoft.Compute/Locations/australiaeast/Publishers/vidispine</t>
  </si>
  <si>
    <t>/Subscriptions/c6af6ae2-9944-4751-b114-790536486ec8/Providers/Microsoft.Compute/Locations/australiaeast/Publishers/vidizmo</t>
  </si>
  <si>
    <t>/Subscriptions/c6af6ae2-9944-4751-b114-790536486ec8/Providers/Microsoft.Compute/Locations/australiaeast/Publishers/vintegris</t>
  </si>
  <si>
    <t>/Subscriptions/c6af6ae2-9944-4751-b114-790536486ec8/Providers/Microsoft.Compute/Locations/australiaeast/Publishers/viptela</t>
  </si>
  <si>
    <t>/Subscriptions/c6af6ae2-9944-4751-b114-790536486ec8/Providers/Microsoft.Compute/Locations/australiaeast/Publishers/vircom</t>
  </si>
  <si>
    <t>/Subscriptions/c6af6ae2-9944-4751-b114-790536486ec8/Providers/Microsoft.Compute/Locations/australiaeast/Publishers/vizixiotplatformretail001</t>
  </si>
  <si>
    <t>/Subscriptions/c6af6ae2-9944-4751-b114-790536486ec8/Providers/Microsoft.Compute/Locations/australiaeast/Publishers/vmturbo</t>
  </si>
  <si>
    <t>/Subscriptions/c6af6ae2-9944-4751-b114-790536486ec8/Providers/Microsoft.Compute/Locations/australiaeast/Publishers/Vormetric</t>
  </si>
  <si>
    <t>/Subscriptions/c6af6ae2-9944-4751-b114-790536486ec8/Providers/Microsoft.Compute/Locations/australiaeast/Publishers/vte</t>
  </si>
  <si>
    <t>/Subscriptions/c6af6ae2-9944-4751-b114-790536486ec8/Providers/Microsoft.Compute/Locations/australiaeast/Publishers/vu-llc</t>
  </si>
  <si>
    <t>/Subscriptions/c6af6ae2-9944-4751-b114-790536486ec8/Providers/Microsoft.Compute/Locations/australiaeast/Publishers/WAD2AI.Diagnostics.Test</t>
  </si>
  <si>
    <t>/Subscriptions/c6af6ae2-9944-4751-b114-790536486ec8/Providers/Microsoft.Compute/Locations/australiaeast/Publishers/WAD2EventHub.Diagnostics.Test</t>
  </si>
  <si>
    <t>/Subscriptions/c6af6ae2-9944-4751-b114-790536486ec8/Providers/Microsoft.Compute/Locations/australiaeast/Publishers/wallix</t>
  </si>
  <si>
    <t>/Subscriptions/c6af6ae2-9944-4751-b114-790536486ec8/Providers/Microsoft.Compute/Locations/australiaeast/Publishers/waratek</t>
  </si>
  <si>
    <t>/Subscriptions/c6af6ae2-9944-4751-b114-790536486ec8/Providers/Microsoft.Compute/Locations/australiaeast/Publishers/wardy-it-solutions</t>
  </si>
  <si>
    <t>/Subscriptions/c6af6ae2-9944-4751-b114-790536486ec8/Providers/Microsoft.Compute/Locations/australiaeast/Publishers/warewolf-esb</t>
  </si>
  <si>
    <t>/Subscriptions/c6af6ae2-9944-4751-b114-790536486ec8/Providers/Microsoft.Compute/Locations/australiaeast/Publishers/waves</t>
  </si>
  <si>
    <t>/Subscriptions/c6af6ae2-9944-4751-b114-790536486ec8/Providers/Microsoft.Compute/Locations/australiaeast/Publishers/websense-apmailpe</t>
  </si>
  <si>
    <t>/Subscriptions/c6af6ae2-9944-4751-b114-790536486ec8/Providers/Microsoft.Compute/Locations/australiaeast/Publishers/winmagic_securedoc_cloudvm</t>
  </si>
  <si>
    <t>/Subscriptions/c6af6ae2-9944-4751-b114-790536486ec8/Providers/Microsoft.Compute/Locations/australiaeast/Publishers/wmspanel</t>
  </si>
  <si>
    <t>/Subscriptions/c6af6ae2-9944-4751-b114-790536486ec8/Providers/Microsoft.Compute/Locations/australiaeast/Publishers/workspot</t>
  </si>
  <si>
    <t>/Subscriptions/c6af6ae2-9944-4751-b114-790536486ec8/Providers/Microsoft.Compute/Locations/australiaeast/Publishers/wowza</t>
  </si>
  <si>
    <t>/Subscriptions/c6af6ae2-9944-4751-b114-790536486ec8/Providers/Microsoft.Compute/Locations/australiaeast/Publishers/xebialabs</t>
  </si>
  <si>
    <t>/Subscriptions/c6af6ae2-9944-4751-b114-790536486ec8/Providers/Microsoft.Compute/Locations/australiaeast/Publishers/xfinityinc</t>
  </si>
  <si>
    <t>/Subscriptions/c6af6ae2-9944-4751-b114-790536486ec8/Providers/Microsoft.Compute/Locations/australiaeast/Publishers/xrm</t>
  </si>
  <si>
    <t>/Subscriptions/c6af6ae2-9944-4751-b114-790536486ec8/Providers/Microsoft.Compute/Locations/australiaeast/Publishers/xtremedata</t>
  </si>
  <si>
    <t>/Subscriptions/c6af6ae2-9944-4751-b114-790536486ec8/Providers/Microsoft.Compute/Locations/australiaeast/Publishers/yellowfin</t>
  </si>
  <si>
    <t>/Subscriptions/c6af6ae2-9944-4751-b114-790536486ec8/Providers/Microsoft.Compute/Locations/australiaeast/Publishers/your-shop-online</t>
  </si>
  <si>
    <t>/Subscriptions/c6af6ae2-9944-4751-b114-790536486ec8/Providers/Microsoft.Compute/Locations/australiaeast/Publishers/zementis</t>
  </si>
  <si>
    <t>/Subscriptions/c6af6ae2-9944-4751-b114-790536486ec8/Providers/Microsoft.Compute/Locations/australiaeast/Publishers/zend</t>
  </si>
  <si>
    <t>/Subscriptions/c6af6ae2-9944-4751-b114-790536486ec8/Providers/Microsoft.Compute/Locations/australiaeast/Publishers/zerodown_software</t>
  </si>
  <si>
    <t>/Subscriptions/c6af6ae2-9944-4751-b114-790536486ec8/Providers/Microsoft.Compute/Locations/australiaeast/Publishers/zerto</t>
  </si>
  <si>
    <t>/Subscriptions/c6af6ae2-9944-4751-b114-790536486ec8/Providers/Microsoft.Compute/Locations/australiaeast/Publishers/zoomdata</t>
  </si>
  <si>
    <t>/Subscriptions/c6af6ae2-9944-4751-b114-790536486ec8/Providers/Microsoft.Compute/Locations/australiaeast/Publishers/zscaler</t>
  </si>
  <si>
    <t>/subscriptions/c6af6ae2-9944-4751-b114-790536486ec8/resourceGroups/Admin-EENONPROD01-rg/providers/Microsoft.Automation/automationAccounts/Admin-EENONPROD01-aa</t>
  </si>
  <si>
    <t>Admin-EENONPROD01-aa</t>
  </si>
  <si>
    <t>/subscriptions/c6af6ae2-9944-4751-b114-790536486ec8/resourceGroups/admin-eenonprod01-rg/providers/Microsoft.Automation/automationAccounts/Admin-NonProd-aa</t>
  </si>
  <si>
    <t>Admin-NonProd-aa</t>
  </si>
  <si>
    <t>/subscriptions/c6af6ae2-9944-4751-b114-790536486ec8/resourceGroups/EENonProdInfraSoutheast/providers/Microsoft.Automation/automationAccounts/EENONPROD01-AUTOMATION</t>
  </si>
  <si>
    <t>EENONPROD01-AUTOMATION</t>
  </si>
  <si>
    <t>/subscriptions/c6af6ae2-9944-4751-b114-790536486ec8/resourceGroups/ess-cst-dev-mgt-rsg-aus/providers/Microsoft.Automation/automationAccounts/ess-cst-dev-aut-mgt-aus</t>
  </si>
  <si>
    <t>ess-cst-dev-aut-mgt-aus</t>
  </si>
  <si>
    <t>/subscriptions/c6af6ae2-9944-4751-b114-790536486ec8/resourceGroups/k2bp-appsvr-stg-rg/providers/Microsoft.Automation/automationAccounts/k2bp-Stage-AutoAcc</t>
  </si>
  <si>
    <t>k2bp-Stage-AutoAcc</t>
  </si>
  <si>
    <t>/subscriptions/c6af6ae2-9944-4751-b114-790536486ec8/resourceGroups/test1-appsvc-x-rg/providers/Microsoft.Automation/automationAccounts/LWTEST-AA</t>
  </si>
  <si>
    <t>LWTEST-AA</t>
  </si>
  <si>
    <t>/subscriptions/c6af6ae2-9944-4751-b114-790536486ec8/resourceGroups/EENonProdInfraEast/providers/Microsoft.Automation/automationAccounts/nonprod-aa</t>
  </si>
  <si>
    <t>nonprod-aa</t>
  </si>
  <si>
    <t>/subscriptions/c6af6ae2-9944-4751-b114-790536486ec8/resourceGroups/oms-loganalytics-x-rg/providers/Microsoft.Automation/automationAccounts/OMSAUTOMATION</t>
  </si>
  <si>
    <t>OMSAUTOMATION</t>
  </si>
  <si>
    <t>/subscriptions/c6af6ae2-9944-4751-b114-790536486ec8/resourceGroups/oms-xx-rg01-test/providers/Microsoft.Automation/automationAccounts/oms-live-aa01</t>
  </si>
  <si>
    <t>oms-live-aa01</t>
  </si>
  <si>
    <t>/subscriptions/c6af6ae2-9944-4751-b114-790536486ec8/resourceGroups/EENonProdInfraEast/providers/Microsoft.Automation/automationAccounts/reporting-nonprod-aa</t>
  </si>
  <si>
    <t>reporting-nonprod-aa</t>
  </si>
  <si>
    <t>/subscriptions/c6af6ae2-9944-4751-b114-790536486ec8/resourceGroups/smwd-appsvc-x-rg/providers/Microsoft.Automation/automationAccounts/smallword-nonprod-aa</t>
  </si>
  <si>
    <t>smallword-nonprod-aa</t>
  </si>
  <si>
    <t>/subscriptions/c6af6ae2-9944-4751-b114-790536486ec8/resourceGroups/test1-appsvc-x-rg/providers/Microsoft.Automation/automationAccounts/test-automations</t>
  </si>
  <si>
    <t>test-automations</t>
  </si>
  <si>
    <t>/subscriptions/c6af6ae2-9944-4751-b114-790536486ec8/resourceGroups/vfir-appsvc-x-rg/providers/Microsoft.Automation/automationAccounts/VFIR-DEV-Auto</t>
  </si>
  <si>
    <t>VFIR-DEV-Auto</t>
  </si>
  <si>
    <t>/subscriptions/c6af6ae2-9944-4751-b114-790536486ec8/resourceGroups/Admin-EENONPROD01-rg/providers/Microsoft.Automation/automationAccounts/Admin-EENONPROD01-aa/agentRegistrationInformation/https://ase-agentservice-prod-1.azure-automation.net/accounts/a70ebbe5-f342-4ba9-89fe-eb92e8535202</t>
  </si>
  <si>
    <t>https://ase-agentservice-prod-1.azure-automation.net/accounts/a70ebbe5-f342-4ba9-89fe-eb92e8535202</t>
  </si>
  <si>
    <t xml:space="preserve">_x000D_
	instance of MSFT_WebDownloadManager as $MSFT_WebDownloadManager1ref_x000D_
	{_x000D_
	ResourceID = "[ConfigurationRepositoryWeb]AzureAutomationDSC";_x000D_
	 SourceInfo = "C:\\OaaS-RegistrationMetaConfig2.ps1::20::9::ConfigurationRepositoryWeb";_x000D_
	 RegistrationKey = "f2CHFMFa2ZFx6Fq++xYnRKj3uD05ntPkkd1UXEH/GzDGsSlS5j/niFz2kXR7prMzfx3vdj7L+njt3aUL72iWrg=="; _x000D_
	 ServerURL = "https://ase-agentservice-prod-1.azure-automation.net/accounts/a70ebbe5-f342-4ba9-89fe-eb92e8535202";_x000D_
	};_x000D_
_x000D_
	instance of MSFT_WebResourceManager as $MSFT_WebResourceManager1ref_x000D_
	{_x000D_
	 SourceInfo = "C:\\OaaS-RegistrationMetaConfig2.ps1::27::9::ResourceRepositoryWeb";_x000D_
	 ServerURL = "https://ase-agentservice-prod-1.azure-automation.net/accounts/a70ebbe5-f342-4ba9-89fe-eb92e8535202";_x000D_
	 ResourceID = "[ResourceRepositoryWeb]AzureAutomationDSC";_x000D_
	 RegistrationKey = "f2CHFMFa2ZFx6Fq++xYnRKj3uD05ntPkkd1UXEH/GzDGsSlS5j/niFz2kXR7prMzfx3vdj7L+njt3aUL72iWrg=="; _x000D_
	};_x000D_
_x000D_
	instance of MSFT_WebReportManager as $MSFT_WebReportManager1ref_x000D_
	{_x000D_
	 SourceInfo = "C:\\OaaS-RegistrationMetaConfig2.ps1::34::9::ReportServerWeb";_x000D_
	 ServerURL = "https://ase-agentservice-prod-1.azure-automation.net/accounts/a70ebbe5-f342-4ba9-89fe-eb92e8535202";_x000D_
	 ResourceID = "[ReportServerWeb]AzureAutomationDSC";_x000D_
	 RegistrationKey = "f2CHFMFa2ZFx6Fq++xYnRKj3uD05ntPkkd1UXEH/GzDGsSlS5j/niFz2kXR7prMzfx3vdj7L+njt3aUL72iWrg=="; _x000D_
	};_x000D_
_x000D_
	instance of MSFT_DSCMetaConfiguration as $MSFT_DSCMetaConfiguration1ref_x000D_
	{_x000D_
	 RefreshMode = "Pull";_x000D_
	 AllowModuleOverwrite = False;_x000D_
	 ActionAfterReboot = "ContinueConfiguration";_x000D_
	 RefreshFrequencyMins = 30;_x000D_
	 RebootNodeIfNeeded = False;_x000D_
	 ConfigurationModeFrequencyMins = 15;_x000D_
	 ConfigurationMode = "ApplyAndMonitor";_x000D_
_x000D_
	  ResourceModuleManagers = {_x000D_
	  $MSFT_WebResourceManager1ref  _x000D_
	};_x000D_
	  ReportManagers = {_x000D_
	  $MSFT_WebReportManager1ref  _x000D_
	 };_x000D_
	  ConfigurationDownloadManagers = {_x000D_
	  $MSFT_WebDownloadManager1ref  _x000D_
	 };_x000D_
	};_x000D_
_x000D_
	instance of OMI_ConfigurationDocument_x000D_
	{_x000D_
	 Version="2.0.0";_x000D_
	 MinimumCompatibleVersion = "2.0.0";_x000D_
	 CompatibleVersionAdditionalProperties= { "MSFT_DSCMetaConfiguration:StatusRetentionTimeInDays" };_x000D_
	 Author="azureautomation";_x000D_
	 GenerationDate="04/17/2015 11:41:09";_x000D_
	 GenerationHost="azureautomation-01";_x000D_
	 Name="RegistrationMetaConfig";_x000D_
	};_x000D_
	</t>
  </si>
  <si>
    <t>f2CHFMFa2ZFx6Fq++xYnRKj3uD05ntPkkd1UXEH/GzDGsSlS5j/niFz2kXR7prMzfx3vdj7L+njt3aUL72iWrg==</t>
  </si>
  <si>
    <t>6OSYzqDzKTULeFPKKlYKAiQTxDQbXmvWpAbF+0lDpJu2aDp4KkdIHMnmLiiSL52OpUJRtA8CWyC2RZCMdcqfAg==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</si>
</sst>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u/>
      <sz val="11"/>
      <color theme="1" tint="0.249977111117893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6"/>
      </patternFill>
    </fill>
    <fill>
      <patternFill patternType="solid">
        <fgColor rgb="FFA5A5A5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4" fillId="4" borderId="19" applyNumberFormat="0" applyAlignment="0" applyProtection="0"/>
    <xf numFmtId="0" fontId="5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Font="1"/>
    <xf numFmtId="0" fontId="2" fillId="2" borderId="0" xfId="1"/>
    <xf numFmtId="0" fontId="0" fillId="0" borderId="0" xfId="0" applyNumberFormat="1"/>
    <xf numFmtId="0" fontId="3" fillId="3" borderId="5" xfId="2" applyFont="1" applyBorder="1" applyAlignment="1">
      <alignment horizontal="center"/>
    </xf>
    <xf numFmtId="0" fontId="5" fillId="0" borderId="0" xfId="4"/>
    <xf numFmtId="0" fontId="6" fillId="0" borderId="0" xfId="0" applyFont="1"/>
    <xf numFmtId="0" fontId="6" fillId="0" borderId="0" xfId="0" applyFont="1" applyAlignment="1">
      <alignment horizontal="center"/>
    </xf>
    <xf numFmtId="0" fontId="7" fillId="3" borderId="11" xfId="2" applyFont="1" applyBorder="1"/>
    <xf numFmtId="0" fontId="8" fillId="3" borderId="12" xfId="2" applyFont="1" applyBorder="1" applyAlignment="1">
      <alignment horizontal="center"/>
    </xf>
    <xf numFmtId="0" fontId="8" fillId="3" borderId="13" xfId="2" applyFont="1" applyBorder="1" applyAlignment="1">
      <alignment horizontal="center"/>
    </xf>
    <xf numFmtId="0" fontId="7" fillId="3" borderId="14" xfId="2" applyFont="1" applyBorder="1"/>
    <xf numFmtId="0" fontId="9" fillId="3" borderId="2" xfId="2" applyFont="1" applyBorder="1" applyAlignment="1">
      <alignment horizontal="center"/>
    </xf>
    <xf numFmtId="0" fontId="8" fillId="3" borderId="3" xfId="2" applyFont="1" applyBorder="1" applyAlignment="1">
      <alignment horizontal="center"/>
    </xf>
    <xf numFmtId="0" fontId="8" fillId="3" borderId="4" xfId="2" applyFont="1" applyBorder="1" applyAlignment="1">
      <alignment horizontal="center"/>
    </xf>
    <xf numFmtId="0" fontId="8" fillId="3" borderId="0" xfId="2" applyFont="1" applyBorder="1" applyAlignment="1">
      <alignment horizontal="center"/>
    </xf>
    <xf numFmtId="0" fontId="8" fillId="3" borderId="15" xfId="2" applyFont="1" applyBorder="1" applyAlignment="1">
      <alignment horizontal="center"/>
    </xf>
    <xf numFmtId="0" fontId="8" fillId="3" borderId="5" xfId="2" applyFont="1" applyBorder="1" applyAlignment="1">
      <alignment horizontal="center"/>
    </xf>
    <xf numFmtId="0" fontId="7" fillId="3" borderId="0" xfId="2" applyFont="1" applyBorder="1" applyAlignment="1">
      <alignment horizontal="center"/>
    </xf>
    <xf numFmtId="0" fontId="8" fillId="3" borderId="6" xfId="2" applyFont="1" applyBorder="1" applyAlignment="1">
      <alignment horizontal="center"/>
    </xf>
    <xf numFmtId="0" fontId="7" fillId="3" borderId="0" xfId="2" applyFont="1" applyBorder="1"/>
    <xf numFmtId="0" fontId="7" fillId="3" borderId="6" xfId="2" applyFont="1" applyBorder="1"/>
    <xf numFmtId="0" fontId="6" fillId="0" borderId="1" xfId="0" applyFont="1" applyBorder="1" applyAlignment="1">
      <alignment horizontal="center"/>
    </xf>
    <xf numFmtId="0" fontId="8" fillId="3" borderId="0" xfId="2" applyFont="1" applyBorder="1"/>
    <xf numFmtId="0" fontId="8" fillId="3" borderId="6" xfId="2" applyFont="1" applyBorder="1"/>
    <xf numFmtId="0" fontId="6" fillId="5" borderId="1" xfId="0" applyFont="1" applyFill="1" applyBorder="1" applyAlignment="1">
      <alignment horizontal="center"/>
    </xf>
    <xf numFmtId="0" fontId="8" fillId="3" borderId="7" xfId="2" applyFont="1" applyBorder="1" applyAlignment="1">
      <alignment horizontal="center"/>
    </xf>
    <xf numFmtId="0" fontId="8" fillId="3" borderId="8" xfId="2" applyFont="1" applyBorder="1" applyAlignment="1">
      <alignment horizontal="center"/>
    </xf>
    <xf numFmtId="0" fontId="8" fillId="3" borderId="9" xfId="2" applyFont="1" applyBorder="1" applyAlignment="1">
      <alignment horizontal="center"/>
    </xf>
    <xf numFmtId="0" fontId="10" fillId="4" borderId="0" xfId="3" applyFont="1" applyBorder="1" applyAlignment="1">
      <alignment horizontal="center"/>
    </xf>
    <xf numFmtId="0" fontId="10" fillId="4" borderId="6" xfId="3" applyFont="1" applyBorder="1"/>
    <xf numFmtId="0" fontId="8" fillId="3" borderId="2" xfId="2" applyFont="1" applyBorder="1" applyAlignment="1">
      <alignment horizontal="center"/>
    </xf>
    <xf numFmtId="0" fontId="10" fillId="4" borderId="5" xfId="3" applyFont="1" applyBorder="1" applyAlignment="1">
      <alignment horizontal="center"/>
    </xf>
    <xf numFmtId="0" fontId="9" fillId="3" borderId="5" xfId="2" applyFont="1" applyBorder="1" applyAlignment="1">
      <alignment horizontal="center"/>
    </xf>
    <xf numFmtId="0" fontId="9" fillId="3" borderId="0" xfId="2" applyFont="1" applyBorder="1" applyAlignment="1">
      <alignment horizontal="right"/>
    </xf>
    <xf numFmtId="0" fontId="10" fillId="4" borderId="8" xfId="3" applyFont="1" applyBorder="1" applyAlignment="1">
      <alignment horizontal="center"/>
    </xf>
    <xf numFmtId="0" fontId="10" fillId="4" borderId="9" xfId="3" applyFont="1" applyBorder="1"/>
    <xf numFmtId="0" fontId="7" fillId="3" borderId="8" xfId="2" applyFont="1" applyBorder="1"/>
    <xf numFmtId="0" fontId="8" fillId="3" borderId="5" xfId="2" applyFont="1" applyBorder="1" applyAlignment="1">
      <alignment horizontal="center" wrapText="1"/>
    </xf>
    <xf numFmtId="0" fontId="8" fillId="3" borderId="10" xfId="2" applyFont="1" applyBorder="1" applyAlignment="1">
      <alignment horizontal="center"/>
    </xf>
    <xf numFmtId="0" fontId="7" fillId="3" borderId="9" xfId="2" applyFont="1" applyBorder="1"/>
    <xf numFmtId="0" fontId="7" fillId="3" borderId="16" xfId="2" applyFont="1" applyBorder="1"/>
    <xf numFmtId="0" fontId="8" fillId="3" borderId="17" xfId="2" applyFont="1" applyBorder="1" applyAlignment="1">
      <alignment horizontal="center"/>
    </xf>
    <xf numFmtId="0" fontId="7" fillId="3" borderId="17" xfId="2" applyFont="1" applyBorder="1"/>
    <xf numFmtId="0" fontId="8" fillId="3" borderId="18" xfId="2" applyFont="1" applyBorder="1" applyAlignment="1">
      <alignment horizontal="center"/>
    </xf>
    <xf numFmtId="0" fontId="8" fillId="3" borderId="0" xfId="2" applyFont="1" applyAlignment="1">
      <alignment horizontal="center"/>
    </xf>
    <xf numFmtId="0" fontId="0" fillId="0" borderId="1" xfId="0" applyFont="1" applyBorder="1" applyAlignment="1">
      <alignment horizontal="center"/>
    </xf>
    <xf numFmtId="0" fontId="3" fillId="3" borderId="0" xfId="2" applyFont="1" applyBorder="1" applyAlignment="1">
      <alignment horizontal="center"/>
    </xf>
    <xf numFmtId="0" fontId="0" fillId="0" borderId="0" xfId="0" applyAlignment="1">
      <alignment wrapText="1"/>
    </xf>
  </cellXfs>
  <cellStyles count="5">
    <cellStyle name="Accent3" xfId="2" builtinId="37"/>
    <cellStyle name="Bad" xfId="1" builtinId="27"/>
    <cellStyle name="Check Cell" xfId="3" builtinId="23"/>
    <cellStyle name="Hyperlink" xfId="4" builtinId="8"/>
    <cellStyle name="Normal" xfId="0" builtinId="0"/>
  </cellStyles>
  <dxfs count="7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29</xdr:row>
          <xdr:rowOff>180975</xdr:rowOff>
        </xdr:from>
        <xdr:to>
          <xdr:col>3</xdr:col>
          <xdr:colOff>0</xdr:colOff>
          <xdr:row>31</xdr:row>
          <xdr:rowOff>85725</xdr:rowOff>
        </xdr:to>
        <xdr:sp macro="" textlink="">
          <xdr:nvSpPr>
            <xdr:cNvPr id="1057" name="CommandButton1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400050</xdr:colOff>
          <xdr:row>17</xdr:row>
          <xdr:rowOff>76200</xdr:rowOff>
        </xdr:from>
        <xdr:to>
          <xdr:col>15</xdr:col>
          <xdr:colOff>1485900</xdr:colOff>
          <xdr:row>30</xdr:row>
          <xdr:rowOff>57150</xdr:rowOff>
        </xdr:to>
        <xdr:sp macro="" textlink="">
          <xdr:nvSpPr>
            <xdr:cNvPr id="1061" name="TextBox1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628650</xdr:colOff>
          <xdr:row>29</xdr:row>
          <xdr:rowOff>171450</xdr:rowOff>
        </xdr:from>
        <xdr:to>
          <xdr:col>3</xdr:col>
          <xdr:colOff>2286000</xdr:colOff>
          <xdr:row>31</xdr:row>
          <xdr:rowOff>95250</xdr:rowOff>
        </xdr:to>
        <xdr:sp macro="" textlink="">
          <xdr:nvSpPr>
            <xdr:cNvPr id="1065" name="CommandButton2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161925</xdr:rowOff>
        </xdr:from>
        <xdr:to>
          <xdr:col>6</xdr:col>
          <xdr:colOff>1057275</xdr:colOff>
          <xdr:row>31</xdr:row>
          <xdr:rowOff>95250</xdr:rowOff>
        </xdr:to>
        <xdr:sp macro="" textlink="">
          <xdr:nvSpPr>
            <xdr:cNvPr id="1069" name="CommandButton3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moveDataOnSave="1" connectionId="6" xr16:uid="{00000000-0016-0000-0300-000000000000}" autoFormatId="16" applyNumberFormats="0" applyBorderFormats="0" applyFontFormats="0" applyPatternFormats="0" applyAlignmentFormats="0" applyWidthHeightFormats="0">
  <queryTableRefresh nextId="4">
    <queryTableFields count="3">
      <queryTableField id="1" name="Column1.location" tableColumnId="1"/>
      <queryTableField id="2" name="Column1.name" tableColumnId="2"/>
      <queryTableField id="3" name="Column1.id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moveDataOnSave="1" connectionId="3" xr16:uid="{00000000-0016-0000-0400-000001000000}" autoFormatId="16" applyNumberFormats="0" applyBorderFormats="0" applyFontFormats="0" applyPatternFormats="0" applyAlignmentFormats="0" applyWidthHeightFormats="0">
  <queryTableRefresh nextId="4">
    <queryTableFields count="3">
      <queryTableField id="1" name="Column1.location" tableColumnId="1"/>
      <queryTableField id="2" name="Column1.name" tableColumnId="2"/>
      <queryTableField id="3" name="Column1.id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moveDataOnSave="1" connectionId="4" xr16:uid="{00000000-0016-0000-0500-000002000000}" autoFormatId="16" applyNumberFormats="0" applyBorderFormats="0" applyFontFormats="0" applyPatternFormats="0" applyAlignmentFormats="0" applyWidthHeightFormats="0">
  <queryTableRefresh nextId="4">
    <queryTableFields count="3">
      <queryTableField id="1" name="Column1.location" tableColumnId="1"/>
      <queryTableField id="2" name="Column1.name" tableColumnId="2"/>
      <queryTableField id="3" name="Column1.id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4" xr16:uid="{00000000-0016-0000-0700-000003000000}" autoFormatId="16" applyNumberFormats="0" applyBorderFormats="0" applyFontFormats="0" applyPatternFormats="0" applyAlignmentFormats="0" applyWidthHeightFormats="0">
  <queryTableRefresh nextId="3">
    <queryTableFields count="2">
      <queryTableField id="1" name="Name" tableColumnId="1"/>
      <queryTableField id="2" name="Value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" xr16:uid="{00000000-0016-0000-0800-000004000000}" autoFormatId="16" applyNumberFormats="0" applyBorderFormats="0" applyFontFormats="0" applyPatternFormats="0" applyAlignmentFormats="0" applyWidthHeightFormats="0">
  <queryTableRefresh nextId="8">
    <queryTableFields count="2">
      <queryTableField id="1" name="Name" tableColumnId="1"/>
      <queryTableField id="7" name="Value" tableColumnId="7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00000000-0016-0000-0900-000005000000}" autoFormatId="16" applyNumberFormats="0" applyBorderFormats="0" applyFontFormats="0" applyPatternFormats="0" applyAlignmentFormats="0" applyWidthHeightFormats="0">
  <queryTableRefresh nextId="10">
    <queryTableFields count="6">
      <queryTableField id="4" name="Name" tableColumnId="4"/>
      <queryTableField id="5" name="Value.id" tableColumnId="5"/>
      <queryTableField id="6" name="Value.location" tableColumnId="6"/>
      <queryTableField id="7" name="Value.name" tableColumnId="7"/>
      <queryTableField id="8" name="Value.type" tableColumnId="8"/>
      <queryTableField id="9" name="Value.properties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00000000-0016-0000-0A00-000006000000}" autoFormatId="16" applyNumberFormats="0" applyBorderFormats="0" applyFontFormats="0" applyPatternFormats="0" applyAlignmentFormats="0" applyWidthHeightFormats="0">
  <queryTableRefresh nextId="8">
    <queryTableFields count="3">
      <queryTableField id="5" name="Column1.location" tableColumnId="5"/>
      <queryTableField id="6" name="Column1.name" tableColumnId="6"/>
      <queryTableField id="7" name="Column1.id" tableColumnId="7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moveDataOnSave="1" connectionId="7" xr16:uid="{00000000-0016-0000-0B00-000007000000}" autoFormatId="16" applyNumberFormats="0" applyBorderFormats="0" applyFontFormats="0" applyPatternFormats="0" applyAlignmentFormats="0" applyWidthHeightFormats="0">
  <queryTableRefresh nextId="8">
    <queryTableFields count="7">
      <queryTableField id="1" name="Name" tableColumnId="1"/>
      <queryTableField id="2" name="Value.name" tableColumnId="2"/>
      <queryTableField id="3" name="Value.numberOfCores" tableColumnId="3"/>
      <queryTableField id="4" name="Value.osDiskSizeInMB" tableColumnId="4"/>
      <queryTableField id="5" name="Value.resourceDiskSizeInMB" tableColumnId="5"/>
      <queryTableField id="6" name="Value.memoryInMB" tableColumnId="6"/>
      <queryTableField id="7" name="Value.maxDataDiskCount" tableColumnId="7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removeDataOnSave="1" connectionId="8" xr16:uid="{00000000-0016-0000-0C00-000008000000}" autoFormatId="16" applyNumberFormats="0" applyBorderFormats="0" applyFontFormats="0" applyPatternFormats="0" applyAlignmentFormats="0" applyWidthHeightFormats="0">
  <queryTableRefresh nextId="8">
    <queryTableFields count="7">
      <queryTableField id="1" name="Name" tableColumnId="1"/>
      <queryTableField id="2" name="Value.name" tableColumnId="2"/>
      <queryTableField id="3" name="Value.id" tableColumnId="3"/>
      <queryTableField id="4" name="Value.etag" tableColumnId="4"/>
      <queryTableField id="5" name="Value.type" tableColumnId="5"/>
      <queryTableField id="6" name="Value.location" tableColumnId="6"/>
      <queryTableField id="7" name="Value.properties" tableColumnId="7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5" xr16:uid="{00000000-0016-0000-0D00-000009000000}" autoFormatId="16" applyNumberFormats="0" applyBorderFormats="0" applyFontFormats="0" applyPatternFormats="0" applyAlignmentFormats="0" applyWidthHeightFormats="0">
  <queryTableRefresh nextId="31">
    <queryTableFields count="17">
      <queryTableField id="1" name="Name" tableColumnId="1"/>
      <queryTableField id="2" name="Value.name" tableColumnId="2"/>
      <queryTableField id="8" name="Value.id.1" tableColumnId="8"/>
      <queryTableField id="9" name="Value.id.2" tableColumnId="9"/>
      <queryTableField id="10" name="Value.id.3" tableColumnId="10"/>
      <queryTableField id="11" name="Value.id.4" tableColumnId="11"/>
      <queryTableField id="12" name="Value.id.5" tableColumnId="12"/>
      <queryTableField id="13" name="Value.id.6" tableColumnId="13"/>
      <queryTableField id="14" name="Value.id.7" tableColumnId="14"/>
      <queryTableField id="15" name="Value.id.8" tableColumnId="15"/>
      <queryTableField id="16" name="Value.id.9" tableColumnId="16"/>
      <queryTableField id="17" name="Value.id.10" tableColumnId="17"/>
      <queryTableField id="18" name="Value.id.11" tableColumnId="18"/>
      <queryTableField id="4" name="Value.etag" tableColumnId="4"/>
      <queryTableField id="5" name="Value.properties.provisioningState" tableColumnId="5"/>
      <queryTableField id="6" name="Value.properties.addressPrefix" tableColumnId="6"/>
      <queryTableField id="19" name="Value.properties.ipConfigurations" tableColumnId="19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moveDataOnSave="1" connectionId="13" xr16:uid="{00000000-0016-0000-0E00-00000A000000}" autoFormatId="16" applyNumberFormats="0" applyBorderFormats="0" applyFontFormats="0" applyPatternFormats="0" applyAlignmentFormats="0" applyWidthHeightFormats="0">
  <queryTableRefresh nextId="16">
    <queryTableFields count="7">
      <queryTableField id="1" name="Name" tableColumnId="1"/>
      <queryTableField id="9" name="Value.name" tableColumnId="2"/>
      <queryTableField id="10" name="Value.id" tableColumnId="3"/>
      <queryTableField id="11" name="Value.etag" tableColumnId="4"/>
      <queryTableField id="12" name="Value.properties.provisioningState" tableColumnId="5"/>
      <queryTableField id="13" name="Value.properties.addressPrefix" tableColumnId="6"/>
      <queryTableField id="15" name="Value.properties.ipConfigurations.id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AzureVMImage" displayName="AzureVMImage" ref="A1:C7" tableType="queryTable" totalsRowShown="0">
  <autoFilter ref="A1:C7" xr:uid="{208AA501-DFC9-4C9D-A127-7EE076EA6C26}"/>
  <tableColumns count="3">
    <tableColumn id="1" xr3:uid="{00000000-0010-0000-0000-000001000000}" uniqueName="1" name="Column1.location" queryTableFieldId="1"/>
    <tableColumn id="2" xr3:uid="{00000000-0010-0000-0000-000002000000}" uniqueName="2" name="Column1.name" queryTableFieldId="2"/>
    <tableColumn id="3" xr3:uid="{00000000-0010-0000-0000-000003000000}" uniqueName="3" name="Column1.id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AzureImageSku" displayName="AzureImageSku" ref="A1:C14" tableType="queryTable" totalsRowShown="0">
  <autoFilter ref="A1:C14" xr:uid="{009F80F4-20AC-4BA2-B106-0E267A4871F1}"/>
  <tableColumns count="3">
    <tableColumn id="1" xr3:uid="{00000000-0010-0000-0100-000001000000}" uniqueName="1" name="Column1.location" queryTableFieldId="1"/>
    <tableColumn id="2" xr3:uid="{00000000-0010-0000-0100-000002000000}" uniqueName="2" name="Column1.name" queryTableFieldId="2"/>
    <tableColumn id="3" xr3:uid="{00000000-0010-0000-0100-000003000000}" uniqueName="3" name="Column1.id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AzurePublisherOffers" displayName="AzurePublisherOffers" ref="A1:C3" tableType="queryTable" totalsRowShown="0">
  <autoFilter ref="A1:C3" xr:uid="{3182FFE3-0848-43B7-828B-B78444AE399D}"/>
  <tableColumns count="3">
    <tableColumn id="1" xr3:uid="{00000000-0010-0000-0200-000001000000}" uniqueName="1" name="Column1.location" queryTableFieldId="1"/>
    <tableColumn id="2" xr3:uid="{00000000-0010-0000-0200-000002000000}" uniqueName="2" name="Column1.name" queryTableFieldId="2"/>
    <tableColumn id="3" xr3:uid="{00000000-0010-0000-0200-000003000000}" uniqueName="3" name="Column1.id" queryTableFieldId="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GetValue" displayName="GetValue" ref="A1:A2" totalsRowShown="0">
  <autoFilter ref="A1:A2" xr:uid="{00000000-0009-0000-0100-000002000000}"/>
  <tableColumns count="1">
    <tableColumn id="1" xr3:uid="{00000000-0010-0000-0300-000001000000}" name="GetValue" dataDxf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BB7C4B7-6287-42B3-A4A8-D908033B499A}" name="Value" displayName="Value" ref="A1:B3" tableType="queryTable" totalsRowShown="0">
  <autoFilter ref="A1:B3" xr:uid="{AD8F3D1D-21B3-43D0-9A1D-0963D1E000A2}"/>
  <tableColumns count="2">
    <tableColumn id="1" xr3:uid="{AA8534F5-99D2-443E-BFA8-1FB823504C2D}" uniqueName="1" name="Name" queryTableFieldId="1"/>
    <tableColumn id="2" xr3:uid="{6A908795-DC5D-4D04-A7FD-7CAC088EC350}" uniqueName="2" name="Value" queryTableFieldId="2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63ED96A-58A3-488D-925A-D2C9FD4E3E5A}" name="AzureAutomationKeys" displayName="AzureAutomationKeys" ref="A1:B5" tableType="queryTable" totalsRowShown="0">
  <autoFilter ref="A1:B5" xr:uid="{0AD8476C-F793-4A10-AA2D-B1D8B9344649}"/>
  <tableColumns count="2">
    <tableColumn id="1" xr3:uid="{4A2D1CE1-A066-4BDC-9EBB-814CEBF6D074}" uniqueName="1" name="Name" queryTableFieldId="1" dataDxfId="0"/>
    <tableColumn id="7" xr3:uid="{67A01595-B3A4-4F34-924F-D34BB6BFA8ED}" uniqueName="7" name="Value" queryTableFieldId="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9BFBD16-C5EC-4BB7-9073-818EB9811EBD}" name="AutoamtionAccounts" displayName="AutoamtionAccounts" ref="A1:F14" tableType="queryTable" totalsRowShown="0">
  <autoFilter ref="A1:F14" xr:uid="{86ABC837-8AF6-4063-B436-1524AA566025}"/>
  <tableColumns count="6">
    <tableColumn id="4" xr3:uid="{D3344EA1-62A8-4D12-9A3D-979AA2E15A84}" uniqueName="4" name="Name" queryTableFieldId="4" dataDxfId="1"/>
    <tableColumn id="5" xr3:uid="{0516371D-11FB-429A-AACA-4F0541D1CA01}" uniqueName="5" name="Value.id" queryTableFieldId="5"/>
    <tableColumn id="6" xr3:uid="{0C4ABC5B-E02F-437C-8A0B-03803F7C401A}" uniqueName="6" name="Value.location" queryTableFieldId="6"/>
    <tableColumn id="7" xr3:uid="{F05D2C2E-8133-4683-AB3E-49CD18FC3EFD}" uniqueName="7" name="Value.name" queryTableFieldId="7"/>
    <tableColumn id="8" xr3:uid="{219534B9-FE20-4908-A69B-07A61DAF43B3}" uniqueName="8" name="Value.type" queryTableFieldId="8"/>
    <tableColumn id="9" xr3:uid="{62EC68BF-D83A-44D0-8B79-94485498D211}" uniqueName="9" name="Value.properties" queryTableFieldId="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AzurePublishers" displayName="AzurePublishers" ref="A1:C657" tableType="queryTable" totalsRowShown="0">
  <autoFilter ref="A1:C657" xr:uid="{B934524C-654C-494A-B436-E41484F28D4D}"/>
  <tableColumns count="3">
    <tableColumn id="5" xr3:uid="{00000000-0010-0000-0400-000005000000}" uniqueName="5" name="Column1.location" queryTableFieldId="5"/>
    <tableColumn id="6" xr3:uid="{00000000-0010-0000-0400-000006000000}" uniqueName="6" name="Column1.name" queryTableFieldId="6"/>
    <tableColumn id="7" xr3:uid="{00000000-0010-0000-0400-000007000000}" uniqueName="7" name="Column1.id" queryTableFieldId="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AzureVMSize" displayName="AzureVMSize" ref="A1:G133" tableType="queryTable" totalsRowShown="0">
  <autoFilter ref="A1:G133" xr:uid="{76D589B1-4F83-4682-A268-2D0188A082D3}"/>
  <tableColumns count="7">
    <tableColumn id="1" xr3:uid="{00000000-0010-0000-0500-000001000000}" uniqueName="1" name="Name" queryTableFieldId="1" dataDxfId="5"/>
    <tableColumn id="2" xr3:uid="{00000000-0010-0000-0500-000002000000}" uniqueName="2" name="Value.name" queryTableFieldId="2"/>
    <tableColumn id="3" xr3:uid="{00000000-0010-0000-0500-000003000000}" uniqueName="3" name="Value.numberOfCores" queryTableFieldId="3"/>
    <tableColumn id="4" xr3:uid="{00000000-0010-0000-0500-000004000000}" uniqueName="4" name="Value.osDiskSizeInMB" queryTableFieldId="4"/>
    <tableColumn id="5" xr3:uid="{00000000-0010-0000-0500-000005000000}" uniqueName="5" name="Value.resourceDiskSizeInMB" queryTableFieldId="5"/>
    <tableColumn id="6" xr3:uid="{00000000-0010-0000-0500-000006000000}" uniqueName="6" name="Value.memoryInMB" queryTableFieldId="6"/>
    <tableColumn id="7" xr3:uid="{00000000-0010-0000-0500-000007000000}" uniqueName="7" name="Value.maxDataDiskCount" queryTableFieldId="7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AzureVNets" displayName="AzureVNets" ref="A1:G6" tableType="queryTable" totalsRowShown="0">
  <autoFilter ref="A1:G6" xr:uid="{D19C74F4-6ABE-439F-B0CF-CEE2E7255B04}"/>
  <tableColumns count="7">
    <tableColumn id="1" xr3:uid="{00000000-0010-0000-0600-000001000000}" uniqueName="1" name="Name" queryTableFieldId="1" dataDxfId="2"/>
    <tableColumn id="2" xr3:uid="{00000000-0010-0000-0600-000002000000}" uniqueName="2" name="Value.name" queryTableFieldId="2"/>
    <tableColumn id="3" xr3:uid="{00000000-0010-0000-0600-000003000000}" uniqueName="3" name="Value.id" queryTableFieldId="3"/>
    <tableColumn id="4" xr3:uid="{00000000-0010-0000-0600-000004000000}" uniqueName="4" name="Value.etag" queryTableFieldId="4"/>
    <tableColumn id="5" xr3:uid="{00000000-0010-0000-0600-000005000000}" uniqueName="5" name="Value.type" queryTableFieldId="5"/>
    <tableColumn id="6" xr3:uid="{00000000-0010-0000-0600-000006000000}" uniqueName="6" name="Value.location" queryTableFieldId="6"/>
    <tableColumn id="7" xr3:uid="{00000000-0010-0000-0600-000007000000}" uniqueName="7" name="Value.properties" queryTableFieldId="7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AC49D28-FF31-4EC3-91C4-146E693ED6FE}" name="vNetRGLookup" displayName="vNetRGLookup" ref="A1:Q5" tableType="queryTable" totalsRowShown="0">
  <autoFilter ref="A1:Q5" xr:uid="{08DF69FA-20D7-4B5E-B5D4-1BD152DE3F29}"/>
  <tableColumns count="17">
    <tableColumn id="1" xr3:uid="{CA71AD4B-E164-4BE4-85A4-860525042CE5}" uniqueName="1" name="Name" queryTableFieldId="1" dataDxfId="4"/>
    <tableColumn id="2" xr3:uid="{ED7005B4-717E-4219-A779-A3304F2CB5A4}" uniqueName="2" name="Value.name" queryTableFieldId="2"/>
    <tableColumn id="8" xr3:uid="{6C86CABD-BDA1-4786-8A0E-FBA126DFEF09}" uniqueName="8" name="Value.id.1" queryTableFieldId="8"/>
    <tableColumn id="9" xr3:uid="{02748556-BD0B-43AB-B153-EF9EBDFC5CEE}" uniqueName="9" name="Value.id.2" queryTableFieldId="9"/>
    <tableColumn id="10" xr3:uid="{037BC4F6-D09D-4D7F-88DA-8373A8E0D94B}" uniqueName="10" name="Value.id.3" queryTableFieldId="10"/>
    <tableColumn id="11" xr3:uid="{25B84F42-A632-4EFE-8477-43B41E6A589D}" uniqueName="11" name="Value.id.4" queryTableFieldId="11"/>
    <tableColumn id="12" xr3:uid="{E60520F6-8CBF-4EA6-855E-607661F22EBA}" uniqueName="12" name="Value.id.5" queryTableFieldId="12"/>
    <tableColumn id="13" xr3:uid="{87897E69-AB32-4B82-9492-93565D90ADC3}" uniqueName="13" name="Value.id.6" queryTableFieldId="13"/>
    <tableColumn id="14" xr3:uid="{AAFF5609-1374-4A88-AA81-5ADBF122C0AF}" uniqueName="14" name="Value.id.7" queryTableFieldId="14"/>
    <tableColumn id="15" xr3:uid="{7A8F5D61-29B8-4426-80CF-90CFA31F4642}" uniqueName="15" name="Value.id.8" queryTableFieldId="15"/>
    <tableColumn id="16" xr3:uid="{45CCD5D3-6F8C-4211-A6CF-36246578A214}" uniqueName="16" name="Value.id.9" queryTableFieldId="16"/>
    <tableColumn id="17" xr3:uid="{C25D2459-A6E8-4D12-A5F8-7B5F8641F096}" uniqueName="17" name="Value.id.10" queryTableFieldId="17"/>
    <tableColumn id="18" xr3:uid="{BBBA39E0-B070-4001-8F67-4A22ACD58332}" uniqueName="18" name="Value.id.11" queryTableFieldId="18"/>
    <tableColumn id="4" xr3:uid="{C448FFBF-25B7-413E-97DA-2612BC54D016}" uniqueName="4" name="Value.etag" queryTableFieldId="4"/>
    <tableColumn id="5" xr3:uid="{E863BFC3-4066-44E4-BCC4-2617B7FBCDF6}" uniqueName="5" name="Value.properties.provisioningState" queryTableFieldId="5"/>
    <tableColumn id="6" xr3:uid="{0548D9B7-DF96-4564-BA14-E09A0A18B832}" uniqueName="6" name="Value.properties.addressPrefix" queryTableFieldId="6"/>
    <tableColumn id="19" xr3:uid="{1B68BF71-AD2A-4180-AEF3-008E7C67DAD7}" uniqueName="19" name="Value.properties.ipConfigurations" queryTableFieldId="1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SubnetIDLookup" displayName="SubnetIDLookup" ref="A1:G6" tableType="queryTable" totalsRowShown="0">
  <autoFilter ref="A1:G6" xr:uid="{D66BE7ED-99E9-4A30-82F0-34BB93604E50}"/>
  <tableColumns count="7">
    <tableColumn id="1" xr3:uid="{00000000-0010-0000-0700-000001000000}" uniqueName="1" name="Name" queryTableFieldId="1" dataDxfId="3"/>
    <tableColumn id="2" xr3:uid="{00000000-0010-0000-0700-000002000000}" uniqueName="2" name="Value.name" queryTableFieldId="9"/>
    <tableColumn id="3" xr3:uid="{00000000-0010-0000-0700-000003000000}" uniqueName="3" name="Value.id" queryTableFieldId="10"/>
    <tableColumn id="4" xr3:uid="{00000000-0010-0000-0700-000004000000}" uniqueName="4" name="Value.etag" queryTableFieldId="11"/>
    <tableColumn id="5" xr3:uid="{00000000-0010-0000-0700-000005000000}" uniqueName="5" name="Value.properties.provisioningState" queryTableFieldId="12"/>
    <tableColumn id="6" xr3:uid="{00000000-0010-0000-0700-000006000000}" uniqueName="6" name="Value.properties.addressPrefix" queryTableFieldId="13"/>
    <tableColumn id="8" xr3:uid="{00000000-0010-0000-0700-000008000000}" uniqueName="8" name="Value.properties.ipConfigurations.id" queryTableFieldId="1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BrettJewell@1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Q12532"/>
  <sheetViews>
    <sheetView topLeftCell="B1" workbookViewId="0">
      <pane ySplit="1" topLeftCell="A2" activePane="bottomLeft" state="frozen"/>
      <selection pane="bottomLeft" activeCell="D11" sqref="D11"/>
    </sheetView>
  </sheetViews>
  <sheetFormatPr defaultRowHeight="15" x14ac:dyDescent="0.25"/>
  <cols>
    <col min="1" max="1" width="2.28515625" style="6" customWidth="1"/>
    <col min="2" max="2" width="4" style="6" customWidth="1"/>
    <col min="3" max="3" width="24.7109375" style="45" customWidth="1"/>
    <col min="4" max="4" width="37.85546875" style="7" customWidth="1"/>
    <col min="5" max="5" width="3.5703125" style="6" customWidth="1"/>
    <col min="6" max="6" width="2.85546875" style="6" customWidth="1"/>
    <col min="7" max="7" width="22.140625" style="45" customWidth="1"/>
    <col min="8" max="8" width="33.7109375" style="7" customWidth="1"/>
    <col min="9" max="9" width="2.85546875" style="6" customWidth="1"/>
    <col min="10" max="10" width="3.140625" style="6" customWidth="1"/>
    <col min="11" max="11" width="26.28515625" style="45" customWidth="1"/>
    <col min="12" max="12" width="35.28515625" style="7" customWidth="1"/>
    <col min="13" max="13" width="3.7109375" style="6" customWidth="1"/>
    <col min="14" max="14" width="4.28515625" style="6" customWidth="1"/>
    <col min="15" max="15" width="21.140625" style="6" customWidth="1"/>
    <col min="16" max="16" width="25.85546875" style="6" customWidth="1"/>
    <col min="17" max="17" width="4" style="6" customWidth="1"/>
    <col min="18" max="16384" width="9.140625" style="6"/>
  </cols>
  <sheetData>
    <row r="1" spans="2:17" ht="15.75" thickBot="1" x14ac:dyDescent="0.3">
      <c r="C1" s="6"/>
      <c r="G1" s="6"/>
      <c r="K1" s="6"/>
    </row>
    <row r="2" spans="2:17" ht="16.5" customHeight="1" x14ac:dyDescent="0.25"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10"/>
    </row>
    <row r="3" spans="2:17" ht="26.25" customHeight="1" x14ac:dyDescent="0.25">
      <c r="B3" s="11"/>
      <c r="C3" s="12" t="s">
        <v>756</v>
      </c>
      <c r="D3" s="13"/>
      <c r="E3" s="14"/>
      <c r="F3" s="15"/>
      <c r="G3" s="12" t="s">
        <v>2</v>
      </c>
      <c r="H3" s="13"/>
      <c r="I3" s="14"/>
      <c r="J3" s="15"/>
      <c r="K3" s="12" t="s">
        <v>746</v>
      </c>
      <c r="L3" s="13"/>
      <c r="M3" s="14"/>
      <c r="N3" s="15"/>
      <c r="O3" s="15"/>
      <c r="P3" s="15"/>
      <c r="Q3" s="16"/>
    </row>
    <row r="4" spans="2:17" x14ac:dyDescent="0.25">
      <c r="B4" s="11"/>
      <c r="C4" s="17"/>
      <c r="D4" s="18"/>
      <c r="E4" s="19"/>
      <c r="F4" s="20"/>
      <c r="G4" s="17"/>
      <c r="H4" s="15"/>
      <c r="I4" s="19"/>
      <c r="J4" s="20"/>
      <c r="K4" s="17"/>
      <c r="L4" s="15"/>
      <c r="M4" s="21"/>
      <c r="N4" s="15"/>
      <c r="O4" s="15"/>
      <c r="P4" s="15"/>
      <c r="Q4" s="16"/>
    </row>
    <row r="5" spans="2:17" x14ac:dyDescent="0.25">
      <c r="B5" s="11"/>
      <c r="C5" s="17" t="s">
        <v>745</v>
      </c>
      <c r="D5" s="22" t="s">
        <v>765</v>
      </c>
      <c r="E5" s="19"/>
      <c r="F5" s="20"/>
      <c r="G5" s="17" t="s">
        <v>825</v>
      </c>
      <c r="H5" s="22" t="s">
        <v>773</v>
      </c>
      <c r="I5" s="19"/>
      <c r="J5" s="20"/>
      <c r="K5" s="17" t="s">
        <v>5</v>
      </c>
      <c r="L5" s="22" t="s">
        <v>833</v>
      </c>
      <c r="M5" s="21"/>
      <c r="N5" s="15"/>
      <c r="O5" s="15" t="s">
        <v>6</v>
      </c>
      <c r="P5" s="22" t="s">
        <v>773</v>
      </c>
      <c r="Q5" s="16"/>
    </row>
    <row r="6" spans="2:17" x14ac:dyDescent="0.25">
      <c r="B6" s="11"/>
      <c r="C6" s="17"/>
      <c r="D6" s="18"/>
      <c r="E6" s="19"/>
      <c r="F6" s="20"/>
      <c r="G6" s="17"/>
      <c r="H6" s="15"/>
      <c r="I6" s="19"/>
      <c r="J6" s="23"/>
      <c r="K6" s="17"/>
      <c r="L6" s="15"/>
      <c r="M6" s="24"/>
      <c r="N6" s="15"/>
      <c r="O6" s="15"/>
      <c r="P6" s="15"/>
      <c r="Q6" s="16"/>
    </row>
    <row r="7" spans="2:17" x14ac:dyDescent="0.25">
      <c r="B7" s="11"/>
      <c r="C7" s="17" t="s">
        <v>830</v>
      </c>
      <c r="D7" s="22" t="s">
        <v>773</v>
      </c>
      <c r="E7" s="19"/>
      <c r="F7" s="20"/>
      <c r="G7" s="17" t="s">
        <v>7</v>
      </c>
      <c r="H7" s="22" t="s">
        <v>10</v>
      </c>
      <c r="I7" s="19"/>
      <c r="J7" s="20"/>
      <c r="K7" s="17" t="s">
        <v>747</v>
      </c>
      <c r="L7" s="46" t="s">
        <v>984</v>
      </c>
      <c r="M7" s="21"/>
      <c r="N7" s="15"/>
      <c r="O7" s="15" t="s">
        <v>956</v>
      </c>
      <c r="P7" s="25" t="str">
        <f>(LOWER(CONCATENATE("ee",D5,"-PubIP")))</f>
        <v>eevmtest-pubip</v>
      </c>
      <c r="Q7" s="16"/>
    </row>
    <row r="8" spans="2:17" x14ac:dyDescent="0.25">
      <c r="B8" s="11"/>
      <c r="C8" s="17"/>
      <c r="D8" s="15"/>
      <c r="E8" s="19"/>
      <c r="F8" s="20"/>
      <c r="G8" s="17"/>
      <c r="H8" s="15"/>
      <c r="I8" s="19"/>
      <c r="J8" s="20"/>
      <c r="K8" s="17"/>
      <c r="L8" s="15"/>
      <c r="M8" s="21"/>
      <c r="N8" s="15"/>
      <c r="O8" s="15"/>
      <c r="P8" s="15"/>
      <c r="Q8" s="16"/>
    </row>
    <row r="9" spans="2:17" x14ac:dyDescent="0.25">
      <c r="B9" s="11"/>
      <c r="C9" s="17" t="s">
        <v>831</v>
      </c>
      <c r="D9" s="22" t="s">
        <v>848</v>
      </c>
      <c r="E9" s="19"/>
      <c r="F9" s="20"/>
      <c r="G9" s="17" t="s">
        <v>8</v>
      </c>
      <c r="H9" s="22" t="s">
        <v>774</v>
      </c>
      <c r="I9" s="19"/>
      <c r="J9" s="20"/>
      <c r="K9" s="17" t="s">
        <v>748</v>
      </c>
      <c r="L9" s="22" t="s">
        <v>1001</v>
      </c>
      <c r="M9" s="21"/>
      <c r="N9" s="15"/>
      <c r="O9" s="15" t="s">
        <v>957</v>
      </c>
      <c r="P9" s="22" t="s">
        <v>773</v>
      </c>
      <c r="Q9" s="16"/>
    </row>
    <row r="10" spans="2:17" x14ac:dyDescent="0.25">
      <c r="B10" s="11"/>
      <c r="C10" s="17"/>
      <c r="D10" s="18"/>
      <c r="E10" s="19"/>
      <c r="F10" s="20"/>
      <c r="G10" s="17"/>
      <c r="H10" s="15"/>
      <c r="I10" s="19"/>
      <c r="J10" s="20"/>
      <c r="K10" s="17"/>
      <c r="L10" s="15"/>
      <c r="M10" s="21"/>
      <c r="N10" s="15"/>
      <c r="O10" s="15"/>
      <c r="P10" s="15"/>
      <c r="Q10" s="16"/>
    </row>
    <row r="11" spans="2:17" x14ac:dyDescent="0.25">
      <c r="B11" s="11"/>
      <c r="C11" s="17" t="s">
        <v>1</v>
      </c>
      <c r="D11" s="22" t="s">
        <v>951</v>
      </c>
      <c r="E11" s="19"/>
      <c r="F11" s="20"/>
      <c r="G11" s="17" t="s">
        <v>836</v>
      </c>
      <c r="H11" s="22" t="str">
        <f>(LOWER(CONCATENATE($D5,"st","s01")))</f>
        <v>vmteststs01</v>
      </c>
      <c r="I11" s="19"/>
      <c r="J11" s="15"/>
      <c r="K11" s="17" t="s">
        <v>846</v>
      </c>
      <c r="L11" s="22" t="str">
        <f>(LOWER(CONCATENATE("ee",$D5,"-nsg")))</f>
        <v>eevmtest-nsg</v>
      </c>
      <c r="M11" s="21"/>
      <c r="N11" s="15"/>
      <c r="O11" s="15" t="s">
        <v>964</v>
      </c>
      <c r="P11" s="25" t="str">
        <f>(LOWER(CONCATENATE("ee",D5,"-diagsa")))</f>
        <v>eevmtest-diagsa</v>
      </c>
      <c r="Q11" s="16"/>
    </row>
    <row r="12" spans="2:17" x14ac:dyDescent="0.25">
      <c r="B12" s="11"/>
      <c r="C12" s="17"/>
      <c r="D12" s="18"/>
      <c r="E12" s="19"/>
      <c r="F12" s="20"/>
      <c r="G12" s="26"/>
      <c r="H12" s="27"/>
      <c r="I12" s="28"/>
      <c r="J12" s="20"/>
      <c r="K12" s="17"/>
      <c r="L12" s="29"/>
      <c r="M12" s="30"/>
      <c r="N12" s="15"/>
      <c r="O12" s="15"/>
      <c r="P12" s="15"/>
      <c r="Q12" s="16"/>
    </row>
    <row r="13" spans="2:17" x14ac:dyDescent="0.25">
      <c r="B13" s="11"/>
      <c r="C13" s="17" t="s">
        <v>753</v>
      </c>
      <c r="D13" s="22" t="s">
        <v>833</v>
      </c>
      <c r="E13" s="19"/>
      <c r="F13" s="20"/>
      <c r="G13" s="15"/>
      <c r="H13" s="15"/>
      <c r="I13" s="15"/>
      <c r="J13" s="20"/>
      <c r="K13" s="17" t="s">
        <v>20</v>
      </c>
      <c r="L13" s="22" t="s">
        <v>934</v>
      </c>
      <c r="M13" s="30"/>
      <c r="N13" s="15"/>
      <c r="O13" s="47" t="s">
        <v>1016</v>
      </c>
      <c r="P13" s="25" t="s">
        <v>774</v>
      </c>
      <c r="Q13" s="16"/>
    </row>
    <row r="14" spans="2:17" x14ac:dyDescent="0.25">
      <c r="B14" s="11"/>
      <c r="C14" s="17"/>
      <c r="D14" s="18"/>
      <c r="E14" s="19"/>
      <c r="F14" s="20"/>
      <c r="G14" s="31"/>
      <c r="H14" s="13"/>
      <c r="I14" s="14"/>
      <c r="J14" s="20"/>
      <c r="K14" s="32"/>
      <c r="L14" s="29"/>
      <c r="M14" s="30"/>
      <c r="N14" s="15"/>
      <c r="O14" s="15"/>
      <c r="P14" s="15"/>
      <c r="Q14" s="16"/>
    </row>
    <row r="15" spans="2:17" x14ac:dyDescent="0.25">
      <c r="B15" s="11"/>
      <c r="C15" s="17" t="s">
        <v>835</v>
      </c>
      <c r="D15" s="22" t="str">
        <f>(LOWER(CONCATENATE("ee",$D5,"-rg")))</f>
        <v>eevmtest-rg</v>
      </c>
      <c r="E15" s="19"/>
      <c r="F15" s="20"/>
      <c r="G15" s="33" t="s">
        <v>3</v>
      </c>
      <c r="H15" s="15"/>
      <c r="I15" s="19"/>
      <c r="J15" s="20"/>
      <c r="K15" s="17" t="s">
        <v>841</v>
      </c>
      <c r="L15" s="22" t="str">
        <f>(LOWER(CONCATENATE("ee",$D5,"-nic")))</f>
        <v>eevmtest-nic</v>
      </c>
      <c r="M15" s="30"/>
      <c r="N15" s="15"/>
      <c r="O15" s="15" t="s">
        <v>965</v>
      </c>
      <c r="P15" s="15"/>
      <c r="Q15" s="16"/>
    </row>
    <row r="16" spans="2:17" x14ac:dyDescent="0.25">
      <c r="B16" s="11"/>
      <c r="C16" s="17"/>
      <c r="D16" s="18"/>
      <c r="E16" s="19"/>
      <c r="F16" s="20"/>
      <c r="G16" s="17"/>
      <c r="H16" s="15"/>
      <c r="I16" s="19"/>
      <c r="J16" s="20"/>
      <c r="K16" s="32"/>
      <c r="L16" s="29"/>
      <c r="M16" s="30"/>
      <c r="N16" s="15"/>
      <c r="O16" s="15"/>
      <c r="P16" s="15"/>
      <c r="Q16" s="16"/>
    </row>
    <row r="17" spans="2:17" x14ac:dyDescent="0.25">
      <c r="B17" s="11"/>
      <c r="C17" s="17" t="s">
        <v>750</v>
      </c>
      <c r="D17" s="22" t="s">
        <v>468</v>
      </c>
      <c r="E17" s="19"/>
      <c r="F17" s="20"/>
      <c r="G17" s="17" t="s">
        <v>837</v>
      </c>
      <c r="H17" s="22" t="s">
        <v>774</v>
      </c>
      <c r="I17" s="19"/>
      <c r="J17" s="20"/>
      <c r="K17" s="17" t="s">
        <v>842</v>
      </c>
      <c r="L17" s="46" t="s">
        <v>987</v>
      </c>
      <c r="M17" s="30"/>
      <c r="N17" s="15"/>
      <c r="O17" s="34" t="s">
        <v>757</v>
      </c>
      <c r="P17" s="15"/>
      <c r="Q17" s="16"/>
    </row>
    <row r="18" spans="2:17" x14ac:dyDescent="0.25">
      <c r="B18" s="11"/>
      <c r="C18" s="17"/>
      <c r="D18" s="18"/>
      <c r="E18" s="19"/>
      <c r="F18" s="20"/>
      <c r="G18" s="17"/>
      <c r="H18" s="15"/>
      <c r="I18" s="19"/>
      <c r="J18" s="20"/>
      <c r="K18" s="26"/>
      <c r="L18" s="35"/>
      <c r="M18" s="36"/>
      <c r="N18" s="15"/>
      <c r="O18" s="15"/>
      <c r="P18" s="15"/>
      <c r="Q18" s="16"/>
    </row>
    <row r="19" spans="2:17" x14ac:dyDescent="0.25">
      <c r="B19" s="11"/>
      <c r="C19" s="17" t="s">
        <v>725</v>
      </c>
      <c r="D19" s="22" t="s">
        <v>724</v>
      </c>
      <c r="E19" s="19"/>
      <c r="F19" s="20"/>
      <c r="G19" s="17" t="s">
        <v>838</v>
      </c>
      <c r="H19" s="22" t="str">
        <f>(LOWER(CONCATENATE($D5,"-AVSet","-s01")))</f>
        <v>vmtest-avset-s01</v>
      </c>
      <c r="I19" s="19"/>
      <c r="J19" s="20"/>
      <c r="K19" s="27"/>
      <c r="L19" s="27"/>
      <c r="M19" s="37"/>
      <c r="N19" s="15"/>
      <c r="O19" s="15"/>
      <c r="P19" s="15"/>
      <c r="Q19" s="16"/>
    </row>
    <row r="20" spans="2:17" x14ac:dyDescent="0.25">
      <c r="B20" s="11"/>
      <c r="C20" s="17"/>
      <c r="D20" s="18"/>
      <c r="E20" s="19"/>
      <c r="F20" s="20"/>
      <c r="G20" s="17"/>
      <c r="H20" s="15"/>
      <c r="I20" s="19"/>
      <c r="J20" s="20"/>
      <c r="K20" s="33" t="s">
        <v>754</v>
      </c>
      <c r="L20" s="15"/>
      <c r="M20" s="21"/>
      <c r="N20" s="15"/>
      <c r="O20" s="15"/>
      <c r="P20" s="15"/>
      <c r="Q20" s="16"/>
    </row>
    <row r="21" spans="2:17" x14ac:dyDescent="0.25">
      <c r="B21" s="11"/>
      <c r="C21" s="17" t="s">
        <v>738</v>
      </c>
      <c r="D21" s="22" t="s">
        <v>732</v>
      </c>
      <c r="E21" s="19"/>
      <c r="F21" s="20"/>
      <c r="G21" s="17" t="s">
        <v>856</v>
      </c>
      <c r="H21" s="22">
        <v>2</v>
      </c>
      <c r="I21" s="19"/>
      <c r="J21" s="20"/>
      <c r="K21" s="17"/>
      <c r="L21" s="15"/>
      <c r="M21" s="21"/>
      <c r="N21" s="15"/>
      <c r="O21" s="15"/>
      <c r="P21" s="15"/>
      <c r="Q21" s="16"/>
    </row>
    <row r="22" spans="2:17" x14ac:dyDescent="0.25">
      <c r="B22" s="11"/>
      <c r="C22" s="17"/>
      <c r="D22" s="15"/>
      <c r="E22" s="19"/>
      <c r="F22" s="20"/>
      <c r="G22" s="17"/>
      <c r="H22" s="15"/>
      <c r="I22" s="19"/>
      <c r="J22" s="20"/>
      <c r="K22" s="38" t="s">
        <v>843</v>
      </c>
      <c r="L22" s="22" t="s">
        <v>773</v>
      </c>
      <c r="M22" s="21"/>
      <c r="N22" s="15"/>
      <c r="O22" s="15"/>
      <c r="P22" s="15"/>
      <c r="Q22" s="16"/>
    </row>
    <row r="23" spans="2:17" x14ac:dyDescent="0.25">
      <c r="B23" s="11"/>
      <c r="C23" s="17" t="s">
        <v>739</v>
      </c>
      <c r="D23" s="22" t="s">
        <v>741</v>
      </c>
      <c r="E23" s="19"/>
      <c r="F23" s="20"/>
      <c r="G23" s="17" t="s">
        <v>857</v>
      </c>
      <c r="H23" s="22">
        <v>2</v>
      </c>
      <c r="I23" s="19"/>
      <c r="J23" s="20"/>
      <c r="K23" s="17"/>
      <c r="L23" s="15"/>
      <c r="M23" s="21"/>
      <c r="N23" s="15"/>
      <c r="O23" s="15"/>
      <c r="P23" s="15"/>
      <c r="Q23" s="16"/>
    </row>
    <row r="24" spans="2:17" x14ac:dyDescent="0.25">
      <c r="B24" s="11"/>
      <c r="C24" s="17"/>
      <c r="D24" s="15"/>
      <c r="E24" s="19"/>
      <c r="F24" s="20"/>
      <c r="G24" s="17"/>
      <c r="H24" s="15"/>
      <c r="I24" s="19"/>
      <c r="J24" s="20"/>
      <c r="K24" s="17" t="s">
        <v>749</v>
      </c>
      <c r="L24" s="22" t="s">
        <v>773</v>
      </c>
      <c r="M24" s="21"/>
      <c r="N24" s="15"/>
      <c r="O24" s="15"/>
      <c r="P24" s="15"/>
      <c r="Q24" s="16"/>
    </row>
    <row r="25" spans="2:17" x14ac:dyDescent="0.25">
      <c r="B25" s="11"/>
      <c r="C25" s="17" t="s">
        <v>752</v>
      </c>
      <c r="D25" s="22" t="s">
        <v>83</v>
      </c>
      <c r="E25" s="19"/>
      <c r="F25" s="20"/>
      <c r="G25" s="17" t="s">
        <v>775</v>
      </c>
      <c r="H25" s="22" t="s">
        <v>779</v>
      </c>
      <c r="I25" s="19"/>
      <c r="J25" s="20"/>
      <c r="K25" s="17"/>
      <c r="L25" s="15"/>
      <c r="M25" s="21"/>
      <c r="N25" s="15"/>
      <c r="O25" s="15"/>
      <c r="P25" s="15"/>
      <c r="Q25" s="16"/>
    </row>
    <row r="26" spans="2:17" x14ac:dyDescent="0.25">
      <c r="B26" s="11"/>
      <c r="C26" s="17"/>
      <c r="D26" s="13"/>
      <c r="E26" s="19"/>
      <c r="F26" s="20"/>
      <c r="G26" s="26"/>
      <c r="H26" s="39"/>
      <c r="I26" s="28"/>
      <c r="J26" s="20"/>
      <c r="K26" s="4" t="s">
        <v>992</v>
      </c>
      <c r="L26" s="22" t="s">
        <v>991</v>
      </c>
      <c r="M26" s="21"/>
      <c r="N26" s="15"/>
      <c r="O26" s="15"/>
      <c r="P26" s="15"/>
      <c r="Q26" s="16"/>
    </row>
    <row r="27" spans="2:17" x14ac:dyDescent="0.25">
      <c r="B27" s="11"/>
      <c r="C27" s="17" t="s">
        <v>0</v>
      </c>
      <c r="D27" s="22" t="s">
        <v>766</v>
      </c>
      <c r="E27" s="19"/>
      <c r="F27" s="20"/>
      <c r="G27" s="15"/>
      <c r="H27" s="15"/>
      <c r="I27" s="15"/>
      <c r="J27" s="20"/>
      <c r="K27" s="17"/>
      <c r="L27" s="15"/>
      <c r="M27" s="21"/>
      <c r="N27" s="15"/>
      <c r="O27" s="15"/>
      <c r="P27" s="15"/>
      <c r="Q27" s="16"/>
    </row>
    <row r="28" spans="2:17" x14ac:dyDescent="0.25">
      <c r="B28" s="11"/>
      <c r="C28" s="26"/>
      <c r="D28" s="27"/>
      <c r="E28" s="28"/>
      <c r="F28" s="20"/>
      <c r="G28" s="15"/>
      <c r="H28" s="15"/>
      <c r="I28" s="15"/>
      <c r="J28" s="20"/>
      <c r="K28" s="17" t="s">
        <v>21</v>
      </c>
      <c r="L28" s="22" t="s">
        <v>771</v>
      </c>
      <c r="M28" s="21"/>
      <c r="N28" s="15"/>
      <c r="O28" s="15"/>
      <c r="P28" s="15"/>
      <c r="Q28" s="16"/>
    </row>
    <row r="29" spans="2:17" x14ac:dyDescent="0.25">
      <c r="B29" s="11"/>
      <c r="C29" s="15"/>
      <c r="D29" s="15"/>
      <c r="E29" s="15"/>
      <c r="F29" s="20"/>
      <c r="G29" s="15"/>
      <c r="H29" s="15"/>
      <c r="I29" s="15"/>
      <c r="J29" s="20"/>
      <c r="K29" s="17"/>
      <c r="L29" s="15"/>
      <c r="M29" s="21"/>
      <c r="N29" s="15"/>
      <c r="O29" s="15"/>
      <c r="P29" s="15"/>
      <c r="Q29" s="16"/>
    </row>
    <row r="30" spans="2:17" x14ac:dyDescent="0.25">
      <c r="B30" s="11"/>
      <c r="C30" s="15"/>
      <c r="D30" s="15"/>
      <c r="E30" s="15"/>
      <c r="F30" s="20"/>
      <c r="G30" s="15"/>
      <c r="H30" s="15"/>
      <c r="I30" s="15"/>
      <c r="J30" s="20"/>
      <c r="K30" s="17" t="s">
        <v>751</v>
      </c>
      <c r="L30" s="22" t="s">
        <v>774</v>
      </c>
      <c r="M30" s="21"/>
      <c r="N30" s="15"/>
      <c r="O30" s="15"/>
      <c r="P30" s="15"/>
      <c r="Q30" s="16"/>
    </row>
    <row r="31" spans="2:17" x14ac:dyDescent="0.25">
      <c r="B31" s="11"/>
      <c r="C31" s="15"/>
      <c r="D31" s="15"/>
      <c r="E31" s="15"/>
      <c r="F31" s="20"/>
      <c r="G31" s="15"/>
      <c r="H31" s="15"/>
      <c r="I31" s="15"/>
      <c r="J31" s="20"/>
      <c r="K31" s="26"/>
      <c r="L31" s="27"/>
      <c r="M31" s="40"/>
      <c r="N31" s="15"/>
      <c r="O31" s="15"/>
      <c r="P31" s="15"/>
      <c r="Q31" s="16"/>
    </row>
    <row r="32" spans="2:17" x14ac:dyDescent="0.25">
      <c r="B32" s="11"/>
      <c r="C32" s="15"/>
      <c r="D32" s="15"/>
      <c r="E32" s="15"/>
      <c r="F32" s="20"/>
      <c r="G32" s="15"/>
      <c r="H32" s="15"/>
      <c r="I32" s="15"/>
      <c r="J32" s="20"/>
      <c r="K32" s="15"/>
      <c r="L32" s="15"/>
      <c r="M32" s="20"/>
      <c r="N32" s="15"/>
      <c r="O32" s="15"/>
      <c r="P32" s="15"/>
      <c r="Q32" s="16"/>
    </row>
    <row r="33" spans="2:17" ht="15.75" thickBot="1" x14ac:dyDescent="0.3">
      <c r="B33" s="41"/>
      <c r="C33" s="42"/>
      <c r="D33" s="42"/>
      <c r="E33" s="42"/>
      <c r="F33" s="43"/>
      <c r="G33" s="42"/>
      <c r="H33" s="42"/>
      <c r="I33" s="42"/>
      <c r="J33" s="43"/>
      <c r="K33" s="42"/>
      <c r="L33" s="42"/>
      <c r="M33" s="43"/>
      <c r="N33" s="42"/>
      <c r="O33" s="42"/>
      <c r="P33" s="42"/>
      <c r="Q33" s="44"/>
    </row>
    <row r="34" spans="2:17" x14ac:dyDescent="0.25">
      <c r="C34" s="6"/>
      <c r="G34" s="6"/>
      <c r="K34" s="6"/>
    </row>
    <row r="35" spans="2:17" x14ac:dyDescent="0.25">
      <c r="C35" s="6"/>
      <c r="G35" s="6"/>
      <c r="K35" s="6"/>
    </row>
    <row r="36" spans="2:17" x14ac:dyDescent="0.25">
      <c r="C36" s="6"/>
      <c r="G36" s="6"/>
      <c r="K36" s="6"/>
    </row>
    <row r="37" spans="2:17" x14ac:dyDescent="0.25">
      <c r="C37" s="6"/>
      <c r="G37" s="6"/>
      <c r="K37" s="6"/>
    </row>
    <row r="38" spans="2:17" x14ac:dyDescent="0.25">
      <c r="C38" s="6"/>
      <c r="G38" s="6"/>
      <c r="K38" s="6"/>
    </row>
    <row r="39" spans="2:17" x14ac:dyDescent="0.25">
      <c r="C39" s="6"/>
      <c r="G39" s="6"/>
      <c r="K39" s="6"/>
    </row>
    <row r="40" spans="2:17" x14ac:dyDescent="0.25">
      <c r="C40" s="6"/>
      <c r="G40" s="6"/>
      <c r="K40" s="6"/>
    </row>
    <row r="41" spans="2:17" x14ac:dyDescent="0.25">
      <c r="C41" s="6"/>
      <c r="G41" s="6"/>
      <c r="K41" s="6"/>
    </row>
    <row r="42" spans="2:17" x14ac:dyDescent="0.25">
      <c r="C42" s="6"/>
      <c r="G42" s="6"/>
      <c r="K42" s="6"/>
    </row>
    <row r="43" spans="2:17" x14ac:dyDescent="0.25">
      <c r="C43" s="6"/>
      <c r="G43" s="6"/>
      <c r="K43" s="6"/>
    </row>
    <row r="44" spans="2:17" x14ac:dyDescent="0.25">
      <c r="C44" s="6"/>
      <c r="G44" s="6"/>
      <c r="K44" s="6"/>
    </row>
    <row r="45" spans="2:17" x14ac:dyDescent="0.25">
      <c r="C45" s="6"/>
      <c r="G45" s="6"/>
      <c r="K45" s="6"/>
    </row>
    <row r="46" spans="2:17" x14ac:dyDescent="0.25">
      <c r="C46" s="6"/>
      <c r="G46" s="6"/>
      <c r="K46" s="6"/>
    </row>
    <row r="47" spans="2:17" x14ac:dyDescent="0.25">
      <c r="C47" s="6"/>
      <c r="G47" s="6"/>
      <c r="K47" s="6"/>
    </row>
    <row r="48" spans="2:17" x14ac:dyDescent="0.25">
      <c r="C48" s="6"/>
      <c r="G48" s="6"/>
      <c r="K48" s="6"/>
    </row>
    <row r="49" spans="3:11" x14ac:dyDescent="0.25">
      <c r="C49" s="6"/>
      <c r="G49" s="6"/>
      <c r="K49" s="6"/>
    </row>
    <row r="50" spans="3:11" x14ac:dyDescent="0.25">
      <c r="C50" s="6"/>
      <c r="G50" s="6"/>
      <c r="K50" s="6"/>
    </row>
    <row r="51" spans="3:11" x14ac:dyDescent="0.25">
      <c r="C51" s="6"/>
      <c r="G51" s="6"/>
      <c r="K51" s="6"/>
    </row>
    <row r="52" spans="3:11" x14ac:dyDescent="0.25">
      <c r="C52" s="6"/>
      <c r="G52" s="6"/>
      <c r="K52" s="6"/>
    </row>
    <row r="53" spans="3:11" x14ac:dyDescent="0.25">
      <c r="C53" s="6"/>
      <c r="G53" s="6"/>
      <c r="K53" s="6"/>
    </row>
    <row r="54" spans="3:11" x14ac:dyDescent="0.25">
      <c r="C54" s="6"/>
      <c r="G54" s="6"/>
      <c r="K54" s="6"/>
    </row>
    <row r="55" spans="3:11" x14ac:dyDescent="0.25">
      <c r="C55" s="6"/>
      <c r="G55" s="6"/>
      <c r="K55" s="6"/>
    </row>
    <row r="56" spans="3:11" x14ac:dyDescent="0.25">
      <c r="C56" s="6"/>
      <c r="G56" s="6"/>
      <c r="K56" s="6"/>
    </row>
    <row r="57" spans="3:11" x14ac:dyDescent="0.25">
      <c r="C57" s="6"/>
      <c r="G57" s="6"/>
      <c r="K57" s="6"/>
    </row>
    <row r="58" spans="3:11" x14ac:dyDescent="0.25">
      <c r="C58" s="6"/>
      <c r="G58" s="6"/>
      <c r="K58" s="6"/>
    </row>
    <row r="59" spans="3:11" x14ac:dyDescent="0.25">
      <c r="C59" s="6"/>
      <c r="G59" s="6"/>
      <c r="K59" s="6"/>
    </row>
    <row r="60" spans="3:11" x14ac:dyDescent="0.25">
      <c r="C60" s="6"/>
      <c r="G60" s="6"/>
      <c r="K60" s="6"/>
    </row>
    <row r="61" spans="3:11" x14ac:dyDescent="0.25">
      <c r="C61" s="6"/>
      <c r="G61" s="6"/>
      <c r="K61" s="6"/>
    </row>
    <row r="62" spans="3:11" x14ac:dyDescent="0.25">
      <c r="C62" s="6"/>
      <c r="G62" s="6"/>
      <c r="K62" s="6"/>
    </row>
    <row r="63" spans="3:11" x14ac:dyDescent="0.25">
      <c r="C63" s="6"/>
      <c r="G63" s="6"/>
      <c r="K63" s="6"/>
    </row>
    <row r="64" spans="3:11" x14ac:dyDescent="0.25">
      <c r="C64" s="6"/>
      <c r="G64" s="6"/>
      <c r="K64" s="6"/>
    </row>
    <row r="65" spans="3:11" x14ac:dyDescent="0.25">
      <c r="C65" s="6"/>
      <c r="G65" s="6"/>
      <c r="K65" s="6"/>
    </row>
    <row r="66" spans="3:11" x14ac:dyDescent="0.25">
      <c r="C66" s="6"/>
      <c r="G66" s="6"/>
      <c r="K66" s="6"/>
    </row>
    <row r="67" spans="3:11" x14ac:dyDescent="0.25">
      <c r="C67" s="6"/>
      <c r="G67" s="6"/>
      <c r="K67" s="6"/>
    </row>
    <row r="68" spans="3:11" x14ac:dyDescent="0.25">
      <c r="C68" s="6"/>
      <c r="G68" s="6"/>
      <c r="K68" s="6"/>
    </row>
    <row r="69" spans="3:11" x14ac:dyDescent="0.25">
      <c r="C69" s="6"/>
      <c r="G69" s="6"/>
      <c r="K69" s="6"/>
    </row>
    <row r="70" spans="3:11" x14ac:dyDescent="0.25">
      <c r="C70" s="6"/>
      <c r="G70" s="6"/>
      <c r="K70" s="6"/>
    </row>
    <row r="71" spans="3:11" x14ac:dyDescent="0.25">
      <c r="C71" s="6"/>
      <c r="G71" s="6"/>
      <c r="K71" s="6"/>
    </row>
    <row r="72" spans="3:11" x14ac:dyDescent="0.25">
      <c r="C72" s="6"/>
      <c r="G72" s="6"/>
      <c r="K72" s="6"/>
    </row>
    <row r="73" spans="3:11" x14ac:dyDescent="0.25">
      <c r="C73" s="6"/>
      <c r="G73" s="6"/>
      <c r="K73" s="6"/>
    </row>
    <row r="74" spans="3:11" x14ac:dyDescent="0.25">
      <c r="C74" s="6"/>
      <c r="G74" s="6"/>
      <c r="K74" s="6"/>
    </row>
    <row r="75" spans="3:11" x14ac:dyDescent="0.25">
      <c r="C75" s="6"/>
      <c r="G75" s="6"/>
      <c r="K75" s="6"/>
    </row>
    <row r="76" spans="3:11" x14ac:dyDescent="0.25">
      <c r="C76" s="6"/>
      <c r="G76" s="6"/>
      <c r="K76" s="6"/>
    </row>
    <row r="77" spans="3:11" x14ac:dyDescent="0.25">
      <c r="C77" s="6"/>
      <c r="G77" s="6"/>
      <c r="K77" s="6"/>
    </row>
    <row r="78" spans="3:11" x14ac:dyDescent="0.25">
      <c r="C78" s="6"/>
      <c r="G78" s="6"/>
      <c r="K78" s="6"/>
    </row>
    <row r="79" spans="3:11" x14ac:dyDescent="0.25">
      <c r="C79" s="6"/>
      <c r="G79" s="6"/>
      <c r="K79" s="6"/>
    </row>
    <row r="80" spans="3:11" x14ac:dyDescent="0.25">
      <c r="C80" s="6"/>
      <c r="G80" s="6"/>
      <c r="K80" s="6"/>
    </row>
    <row r="81" spans="3:11" x14ac:dyDescent="0.25">
      <c r="C81" s="6"/>
      <c r="G81" s="6"/>
      <c r="K81" s="6"/>
    </row>
    <row r="82" spans="3:11" x14ac:dyDescent="0.25">
      <c r="C82" s="6"/>
      <c r="G82" s="6"/>
      <c r="K82" s="6"/>
    </row>
    <row r="83" spans="3:11" x14ac:dyDescent="0.25">
      <c r="C83" s="6"/>
      <c r="G83" s="6"/>
      <c r="K83" s="6"/>
    </row>
    <row r="84" spans="3:11" x14ac:dyDescent="0.25">
      <c r="C84" s="6"/>
      <c r="G84" s="6"/>
      <c r="K84" s="6"/>
    </row>
    <row r="85" spans="3:11" x14ac:dyDescent="0.25">
      <c r="C85" s="6"/>
      <c r="G85" s="6"/>
      <c r="K85" s="6"/>
    </row>
    <row r="86" spans="3:11" x14ac:dyDescent="0.25">
      <c r="C86" s="6"/>
      <c r="G86" s="6"/>
      <c r="K86" s="6"/>
    </row>
    <row r="87" spans="3:11" x14ac:dyDescent="0.25">
      <c r="C87" s="6"/>
      <c r="G87" s="6"/>
      <c r="K87" s="6"/>
    </row>
    <row r="88" spans="3:11" x14ac:dyDescent="0.25">
      <c r="C88" s="6"/>
      <c r="G88" s="6"/>
      <c r="K88" s="6"/>
    </row>
    <row r="89" spans="3:11" x14ac:dyDescent="0.25">
      <c r="C89" s="6"/>
      <c r="G89" s="6"/>
      <c r="K89" s="6"/>
    </row>
    <row r="90" spans="3:11" x14ac:dyDescent="0.25">
      <c r="C90" s="6"/>
      <c r="G90" s="6"/>
      <c r="K90" s="6"/>
    </row>
    <row r="91" spans="3:11" x14ac:dyDescent="0.25">
      <c r="C91" s="6"/>
      <c r="G91" s="6"/>
      <c r="K91" s="6"/>
    </row>
    <row r="92" spans="3:11" x14ac:dyDescent="0.25">
      <c r="C92" s="6"/>
      <c r="G92" s="6"/>
      <c r="K92" s="6"/>
    </row>
    <row r="93" spans="3:11" x14ac:dyDescent="0.25">
      <c r="C93" s="6"/>
      <c r="G93" s="6"/>
      <c r="K93" s="6"/>
    </row>
    <row r="94" spans="3:11" x14ac:dyDescent="0.25">
      <c r="C94" s="6"/>
      <c r="G94" s="6"/>
      <c r="K94" s="6"/>
    </row>
    <row r="95" spans="3:11" x14ac:dyDescent="0.25">
      <c r="C95" s="6"/>
      <c r="G95" s="6"/>
      <c r="K95" s="6"/>
    </row>
    <row r="96" spans="3:11" x14ac:dyDescent="0.25">
      <c r="C96" s="6"/>
      <c r="G96" s="6"/>
      <c r="K96" s="6"/>
    </row>
    <row r="97" spans="3:11" x14ac:dyDescent="0.25">
      <c r="C97" s="6"/>
      <c r="G97" s="6"/>
      <c r="K97" s="6"/>
    </row>
    <row r="98" spans="3:11" x14ac:dyDescent="0.25">
      <c r="C98" s="6"/>
      <c r="G98" s="6"/>
      <c r="K98" s="6"/>
    </row>
    <row r="99" spans="3:11" x14ac:dyDescent="0.25">
      <c r="C99" s="6"/>
      <c r="G99" s="6"/>
      <c r="K99" s="6"/>
    </row>
    <row r="100" spans="3:11" x14ac:dyDescent="0.25">
      <c r="C100" s="6"/>
      <c r="G100" s="6"/>
      <c r="K100" s="6"/>
    </row>
    <row r="101" spans="3:11" x14ac:dyDescent="0.25">
      <c r="C101" s="6"/>
      <c r="G101" s="6"/>
      <c r="K101" s="6"/>
    </row>
    <row r="102" spans="3:11" x14ac:dyDescent="0.25">
      <c r="C102" s="6"/>
      <c r="G102" s="6"/>
      <c r="K102" s="6"/>
    </row>
    <row r="103" spans="3:11" x14ac:dyDescent="0.25">
      <c r="C103" s="6"/>
      <c r="G103" s="6"/>
      <c r="K103" s="6"/>
    </row>
    <row r="104" spans="3:11" x14ac:dyDescent="0.25">
      <c r="C104" s="6"/>
      <c r="G104" s="6"/>
      <c r="K104" s="6"/>
    </row>
    <row r="105" spans="3:11" x14ac:dyDescent="0.25">
      <c r="C105" s="6"/>
      <c r="G105" s="6"/>
      <c r="K105" s="6"/>
    </row>
    <row r="106" spans="3:11" x14ac:dyDescent="0.25">
      <c r="C106" s="6"/>
      <c r="G106" s="6"/>
      <c r="K106" s="6"/>
    </row>
    <row r="107" spans="3:11" x14ac:dyDescent="0.25">
      <c r="C107" s="6"/>
      <c r="G107" s="6"/>
      <c r="K107" s="6"/>
    </row>
    <row r="108" spans="3:11" x14ac:dyDescent="0.25">
      <c r="C108" s="6"/>
      <c r="G108" s="6"/>
      <c r="K108" s="6"/>
    </row>
    <row r="109" spans="3:11" x14ac:dyDescent="0.25">
      <c r="C109" s="6"/>
      <c r="G109" s="6"/>
      <c r="K109" s="6"/>
    </row>
    <row r="110" spans="3:11" x14ac:dyDescent="0.25">
      <c r="C110" s="6"/>
      <c r="G110" s="6"/>
      <c r="K110" s="6"/>
    </row>
    <row r="111" spans="3:11" x14ac:dyDescent="0.25">
      <c r="C111" s="6"/>
      <c r="G111" s="6"/>
      <c r="K111" s="6"/>
    </row>
    <row r="112" spans="3:11" x14ac:dyDescent="0.25">
      <c r="C112" s="6"/>
      <c r="G112" s="6"/>
      <c r="K112" s="6"/>
    </row>
    <row r="113" spans="3:11" x14ac:dyDescent="0.25">
      <c r="C113" s="6"/>
      <c r="G113" s="6"/>
      <c r="K113" s="6"/>
    </row>
    <row r="114" spans="3:11" x14ac:dyDescent="0.25">
      <c r="C114" s="6"/>
      <c r="G114" s="6"/>
      <c r="K114" s="6"/>
    </row>
    <row r="115" spans="3:11" x14ac:dyDescent="0.25">
      <c r="C115" s="6"/>
      <c r="G115" s="6"/>
      <c r="K115" s="6"/>
    </row>
    <row r="116" spans="3:11" x14ac:dyDescent="0.25">
      <c r="C116" s="6"/>
      <c r="G116" s="6"/>
      <c r="K116" s="6"/>
    </row>
    <row r="117" spans="3:11" x14ac:dyDescent="0.25">
      <c r="C117" s="6"/>
      <c r="G117" s="6"/>
      <c r="K117" s="6"/>
    </row>
    <row r="118" spans="3:11" x14ac:dyDescent="0.25">
      <c r="C118" s="6"/>
      <c r="G118" s="6"/>
      <c r="K118" s="6"/>
    </row>
    <row r="119" spans="3:11" x14ac:dyDescent="0.25">
      <c r="C119" s="6"/>
      <c r="G119" s="6"/>
      <c r="K119" s="6"/>
    </row>
    <row r="120" spans="3:11" x14ac:dyDescent="0.25">
      <c r="C120" s="6"/>
      <c r="G120" s="6"/>
      <c r="K120" s="6"/>
    </row>
    <row r="121" spans="3:11" x14ac:dyDescent="0.25">
      <c r="C121" s="6"/>
      <c r="G121" s="6"/>
      <c r="K121" s="6"/>
    </row>
    <row r="122" spans="3:11" x14ac:dyDescent="0.25">
      <c r="C122" s="6"/>
      <c r="G122" s="6"/>
      <c r="K122" s="6"/>
    </row>
    <row r="123" spans="3:11" x14ac:dyDescent="0.25">
      <c r="C123" s="6"/>
      <c r="G123" s="6"/>
      <c r="K123" s="6"/>
    </row>
    <row r="124" spans="3:11" x14ac:dyDescent="0.25">
      <c r="C124" s="6"/>
      <c r="G124" s="6"/>
      <c r="K124" s="6"/>
    </row>
    <row r="125" spans="3:11" x14ac:dyDescent="0.25">
      <c r="C125" s="6"/>
      <c r="G125" s="6"/>
      <c r="K125" s="6"/>
    </row>
    <row r="126" spans="3:11" x14ac:dyDescent="0.25">
      <c r="C126" s="6"/>
      <c r="G126" s="6"/>
      <c r="K126" s="6"/>
    </row>
    <row r="127" spans="3:11" x14ac:dyDescent="0.25">
      <c r="C127" s="6"/>
      <c r="G127" s="6"/>
      <c r="K127" s="6"/>
    </row>
    <row r="128" spans="3:11" x14ac:dyDescent="0.25">
      <c r="C128" s="6"/>
      <c r="G128" s="6"/>
      <c r="K128" s="6"/>
    </row>
    <row r="129" spans="3:11" x14ac:dyDescent="0.25">
      <c r="C129" s="6"/>
      <c r="G129" s="6"/>
      <c r="K129" s="6"/>
    </row>
    <row r="130" spans="3:11" x14ac:dyDescent="0.25">
      <c r="C130" s="6"/>
      <c r="G130" s="6"/>
      <c r="K130" s="6"/>
    </row>
    <row r="131" spans="3:11" x14ac:dyDescent="0.25">
      <c r="C131" s="6"/>
      <c r="G131" s="6"/>
      <c r="K131" s="6"/>
    </row>
    <row r="132" spans="3:11" x14ac:dyDescent="0.25">
      <c r="C132" s="6"/>
      <c r="G132" s="6"/>
      <c r="K132" s="6"/>
    </row>
    <row r="133" spans="3:11" x14ac:dyDescent="0.25">
      <c r="C133" s="6"/>
      <c r="G133" s="6"/>
      <c r="K133" s="6"/>
    </row>
    <row r="134" spans="3:11" x14ac:dyDescent="0.25">
      <c r="C134" s="6"/>
      <c r="G134" s="6"/>
      <c r="K134" s="6"/>
    </row>
    <row r="135" spans="3:11" x14ac:dyDescent="0.25">
      <c r="C135" s="6"/>
      <c r="G135" s="6"/>
      <c r="K135" s="6"/>
    </row>
    <row r="136" spans="3:11" x14ac:dyDescent="0.25">
      <c r="C136" s="6"/>
      <c r="G136" s="6"/>
      <c r="K136" s="6"/>
    </row>
    <row r="137" spans="3:11" x14ac:dyDescent="0.25">
      <c r="C137" s="6"/>
      <c r="G137" s="6"/>
      <c r="K137" s="6"/>
    </row>
    <row r="138" spans="3:11" x14ac:dyDescent="0.25">
      <c r="C138" s="6"/>
      <c r="G138" s="6"/>
      <c r="K138" s="6"/>
    </row>
    <row r="139" spans="3:11" x14ac:dyDescent="0.25">
      <c r="C139" s="6"/>
      <c r="G139" s="6"/>
      <c r="K139" s="6"/>
    </row>
    <row r="140" spans="3:11" x14ac:dyDescent="0.25">
      <c r="C140" s="6"/>
      <c r="G140" s="6"/>
      <c r="K140" s="6"/>
    </row>
    <row r="141" spans="3:11" x14ac:dyDescent="0.25">
      <c r="C141" s="6"/>
      <c r="G141" s="6"/>
      <c r="K141" s="6"/>
    </row>
    <row r="142" spans="3:11" x14ac:dyDescent="0.25">
      <c r="C142" s="6"/>
      <c r="G142" s="6"/>
      <c r="K142" s="6"/>
    </row>
    <row r="143" spans="3:11" x14ac:dyDescent="0.25">
      <c r="C143" s="6"/>
      <c r="G143" s="6"/>
      <c r="K143" s="6"/>
    </row>
    <row r="144" spans="3:11" x14ac:dyDescent="0.25">
      <c r="C144" s="6"/>
      <c r="G144" s="6"/>
      <c r="K144" s="6"/>
    </row>
    <row r="145" spans="3:11" x14ac:dyDescent="0.25">
      <c r="C145" s="6"/>
      <c r="G145" s="6"/>
      <c r="K145" s="6"/>
    </row>
    <row r="146" spans="3:11" x14ac:dyDescent="0.25">
      <c r="C146" s="6"/>
      <c r="G146" s="6"/>
      <c r="K146" s="6"/>
    </row>
    <row r="147" spans="3:11" x14ac:dyDescent="0.25">
      <c r="C147" s="6"/>
      <c r="G147" s="6"/>
      <c r="K147" s="6"/>
    </row>
    <row r="148" spans="3:11" x14ac:dyDescent="0.25">
      <c r="C148" s="6"/>
      <c r="G148" s="6"/>
      <c r="K148" s="6"/>
    </row>
    <row r="149" spans="3:11" x14ac:dyDescent="0.25">
      <c r="C149" s="6"/>
      <c r="G149" s="6"/>
      <c r="K149" s="6"/>
    </row>
    <row r="150" spans="3:11" x14ac:dyDescent="0.25">
      <c r="C150" s="6"/>
      <c r="G150" s="6"/>
      <c r="K150" s="6"/>
    </row>
    <row r="151" spans="3:11" x14ac:dyDescent="0.25">
      <c r="C151" s="6"/>
      <c r="G151" s="6"/>
      <c r="K151" s="6"/>
    </row>
    <row r="152" spans="3:11" x14ac:dyDescent="0.25">
      <c r="C152" s="6"/>
      <c r="G152" s="6"/>
      <c r="K152" s="6"/>
    </row>
    <row r="153" spans="3:11" x14ac:dyDescent="0.25">
      <c r="C153" s="6"/>
      <c r="G153" s="6"/>
      <c r="K153" s="6"/>
    </row>
    <row r="154" spans="3:11" x14ac:dyDescent="0.25">
      <c r="C154" s="6"/>
      <c r="G154" s="6"/>
      <c r="K154" s="6"/>
    </row>
    <row r="155" spans="3:11" x14ac:dyDescent="0.25">
      <c r="C155" s="6"/>
      <c r="G155" s="6"/>
      <c r="K155" s="6"/>
    </row>
    <row r="156" spans="3:11" x14ac:dyDescent="0.25">
      <c r="C156" s="6"/>
      <c r="G156" s="6"/>
      <c r="K156" s="6"/>
    </row>
    <row r="157" spans="3:11" x14ac:dyDescent="0.25">
      <c r="C157" s="6"/>
      <c r="G157" s="6"/>
      <c r="K157" s="6"/>
    </row>
    <row r="158" spans="3:11" x14ac:dyDescent="0.25">
      <c r="C158" s="6"/>
      <c r="G158" s="6"/>
      <c r="K158" s="6"/>
    </row>
    <row r="159" spans="3:11" x14ac:dyDescent="0.25">
      <c r="C159" s="6"/>
      <c r="G159" s="6"/>
      <c r="K159" s="6"/>
    </row>
    <row r="160" spans="3:11" x14ac:dyDescent="0.25">
      <c r="C160" s="6"/>
      <c r="G160" s="6"/>
      <c r="K160" s="6"/>
    </row>
    <row r="161" spans="3:11" x14ac:dyDescent="0.25">
      <c r="C161" s="6"/>
      <c r="G161" s="6"/>
      <c r="K161" s="6"/>
    </row>
    <row r="162" spans="3:11" x14ac:dyDescent="0.25">
      <c r="C162" s="6"/>
      <c r="G162" s="6"/>
      <c r="K162" s="6"/>
    </row>
    <row r="163" spans="3:11" x14ac:dyDescent="0.25">
      <c r="C163" s="6"/>
      <c r="G163" s="6"/>
      <c r="K163" s="6"/>
    </row>
    <row r="164" spans="3:11" x14ac:dyDescent="0.25">
      <c r="C164" s="6"/>
      <c r="G164" s="6"/>
      <c r="K164" s="6"/>
    </row>
    <row r="165" spans="3:11" x14ac:dyDescent="0.25">
      <c r="C165" s="6"/>
      <c r="G165" s="6"/>
      <c r="K165" s="6"/>
    </row>
    <row r="166" spans="3:11" x14ac:dyDescent="0.25">
      <c r="C166" s="6"/>
      <c r="G166" s="6"/>
      <c r="K166" s="6"/>
    </row>
    <row r="167" spans="3:11" x14ac:dyDescent="0.25">
      <c r="C167" s="6"/>
      <c r="G167" s="6"/>
      <c r="K167" s="6"/>
    </row>
    <row r="168" spans="3:11" x14ac:dyDescent="0.25">
      <c r="C168" s="6"/>
      <c r="G168" s="6"/>
      <c r="K168" s="6"/>
    </row>
    <row r="169" spans="3:11" x14ac:dyDescent="0.25">
      <c r="C169" s="6"/>
      <c r="G169" s="6"/>
      <c r="K169" s="6"/>
    </row>
    <row r="170" spans="3:11" x14ac:dyDescent="0.25">
      <c r="C170" s="6"/>
      <c r="G170" s="6"/>
      <c r="K170" s="6"/>
    </row>
    <row r="171" spans="3:11" x14ac:dyDescent="0.25">
      <c r="C171" s="6"/>
      <c r="G171" s="6"/>
      <c r="K171" s="6"/>
    </row>
    <row r="172" spans="3:11" x14ac:dyDescent="0.25">
      <c r="C172" s="6"/>
      <c r="G172" s="6"/>
      <c r="K172" s="6"/>
    </row>
    <row r="173" spans="3:11" x14ac:dyDescent="0.25">
      <c r="C173" s="6"/>
      <c r="G173" s="6"/>
      <c r="K173" s="6"/>
    </row>
    <row r="174" spans="3:11" x14ac:dyDescent="0.25">
      <c r="C174" s="6"/>
      <c r="G174" s="6"/>
      <c r="K174" s="6"/>
    </row>
    <row r="175" spans="3:11" x14ac:dyDescent="0.25">
      <c r="C175" s="6"/>
      <c r="G175" s="6"/>
      <c r="K175" s="6"/>
    </row>
    <row r="176" spans="3:11" x14ac:dyDescent="0.25">
      <c r="C176" s="6"/>
      <c r="G176" s="6"/>
      <c r="K176" s="6"/>
    </row>
    <row r="177" spans="3:11" x14ac:dyDescent="0.25">
      <c r="C177" s="6"/>
      <c r="G177" s="6"/>
      <c r="K177" s="6"/>
    </row>
    <row r="178" spans="3:11" x14ac:dyDescent="0.25">
      <c r="C178" s="6"/>
      <c r="G178" s="6"/>
      <c r="K178" s="6"/>
    </row>
    <row r="179" spans="3:11" x14ac:dyDescent="0.25">
      <c r="C179" s="6"/>
      <c r="G179" s="6"/>
      <c r="K179" s="6"/>
    </row>
    <row r="180" spans="3:11" x14ac:dyDescent="0.25">
      <c r="C180" s="6"/>
      <c r="G180" s="6"/>
      <c r="K180" s="6"/>
    </row>
    <row r="181" spans="3:11" x14ac:dyDescent="0.25">
      <c r="C181" s="6"/>
      <c r="G181" s="6"/>
      <c r="K181" s="6"/>
    </row>
    <row r="182" spans="3:11" x14ac:dyDescent="0.25">
      <c r="C182" s="6"/>
      <c r="G182" s="6"/>
      <c r="K182" s="6"/>
    </row>
    <row r="183" spans="3:11" x14ac:dyDescent="0.25">
      <c r="C183" s="6"/>
      <c r="G183" s="6"/>
      <c r="K183" s="6"/>
    </row>
    <row r="184" spans="3:11" x14ac:dyDescent="0.25">
      <c r="C184" s="6"/>
      <c r="G184" s="6"/>
      <c r="K184" s="6"/>
    </row>
    <row r="185" spans="3:11" x14ac:dyDescent="0.25">
      <c r="C185" s="6"/>
      <c r="G185" s="6"/>
      <c r="K185" s="6"/>
    </row>
    <row r="186" spans="3:11" x14ac:dyDescent="0.25">
      <c r="C186" s="6"/>
      <c r="G186" s="6"/>
      <c r="K186" s="6"/>
    </row>
    <row r="187" spans="3:11" x14ac:dyDescent="0.25">
      <c r="C187" s="6"/>
      <c r="G187" s="6"/>
      <c r="K187" s="6"/>
    </row>
    <row r="188" spans="3:11" x14ac:dyDescent="0.25">
      <c r="C188" s="6"/>
      <c r="G188" s="6"/>
      <c r="K188" s="6"/>
    </row>
    <row r="189" spans="3:11" x14ac:dyDescent="0.25">
      <c r="C189" s="6"/>
      <c r="G189" s="6"/>
      <c r="K189" s="6"/>
    </row>
    <row r="190" spans="3:11" x14ac:dyDescent="0.25">
      <c r="C190" s="6"/>
      <c r="G190" s="6"/>
      <c r="K190" s="6"/>
    </row>
    <row r="191" spans="3:11" x14ac:dyDescent="0.25">
      <c r="C191" s="6"/>
      <c r="G191" s="6"/>
      <c r="K191" s="6"/>
    </row>
    <row r="192" spans="3:11" x14ac:dyDescent="0.25">
      <c r="C192" s="6"/>
      <c r="G192" s="6"/>
      <c r="K192" s="6"/>
    </row>
    <row r="193" spans="3:11" x14ac:dyDescent="0.25">
      <c r="C193" s="6"/>
      <c r="G193" s="6"/>
      <c r="K193" s="6"/>
    </row>
    <row r="194" spans="3:11" x14ac:dyDescent="0.25">
      <c r="C194" s="6"/>
      <c r="G194" s="6"/>
      <c r="K194" s="6"/>
    </row>
    <row r="195" spans="3:11" x14ac:dyDescent="0.25">
      <c r="C195" s="6"/>
      <c r="G195" s="6"/>
      <c r="K195" s="6"/>
    </row>
    <row r="196" spans="3:11" x14ac:dyDescent="0.25">
      <c r="C196" s="6"/>
      <c r="G196" s="6"/>
      <c r="K196" s="6"/>
    </row>
    <row r="197" spans="3:11" x14ac:dyDescent="0.25">
      <c r="C197" s="6"/>
      <c r="G197" s="6"/>
      <c r="K197" s="6"/>
    </row>
    <row r="198" spans="3:11" x14ac:dyDescent="0.25">
      <c r="C198" s="6"/>
      <c r="G198" s="6"/>
      <c r="K198" s="6"/>
    </row>
    <row r="199" spans="3:11" x14ac:dyDescent="0.25">
      <c r="C199" s="6"/>
      <c r="G199" s="6"/>
      <c r="K199" s="6"/>
    </row>
    <row r="200" spans="3:11" x14ac:dyDescent="0.25">
      <c r="C200" s="6"/>
      <c r="G200" s="6"/>
      <c r="K200" s="6"/>
    </row>
    <row r="201" spans="3:11" x14ac:dyDescent="0.25">
      <c r="C201" s="6"/>
      <c r="G201" s="6"/>
      <c r="K201" s="6"/>
    </row>
    <row r="202" spans="3:11" x14ac:dyDescent="0.25">
      <c r="C202" s="6"/>
      <c r="G202" s="6"/>
      <c r="K202" s="6"/>
    </row>
    <row r="203" spans="3:11" x14ac:dyDescent="0.25">
      <c r="C203" s="6"/>
      <c r="G203" s="6"/>
      <c r="K203" s="6"/>
    </row>
    <row r="204" spans="3:11" x14ac:dyDescent="0.25">
      <c r="C204" s="6"/>
      <c r="G204" s="6"/>
      <c r="K204" s="6"/>
    </row>
    <row r="205" spans="3:11" x14ac:dyDescent="0.25">
      <c r="C205" s="6"/>
      <c r="G205" s="6"/>
      <c r="K205" s="6"/>
    </row>
    <row r="206" spans="3:11" x14ac:dyDescent="0.25">
      <c r="C206" s="6"/>
      <c r="G206" s="6"/>
      <c r="K206" s="6"/>
    </row>
    <row r="207" spans="3:11" x14ac:dyDescent="0.25">
      <c r="C207" s="6"/>
      <c r="G207" s="6"/>
      <c r="K207" s="6"/>
    </row>
    <row r="208" spans="3:11" x14ac:dyDescent="0.25">
      <c r="C208" s="6"/>
      <c r="G208" s="6"/>
      <c r="K208" s="6"/>
    </row>
    <row r="209" spans="3:11" x14ac:dyDescent="0.25">
      <c r="C209" s="6"/>
      <c r="G209" s="6"/>
      <c r="K209" s="6"/>
    </row>
    <row r="210" spans="3:11" x14ac:dyDescent="0.25">
      <c r="C210" s="6"/>
      <c r="G210" s="6"/>
      <c r="K210" s="6"/>
    </row>
    <row r="211" spans="3:11" x14ac:dyDescent="0.25">
      <c r="C211" s="6"/>
      <c r="G211" s="6"/>
      <c r="K211" s="6"/>
    </row>
    <row r="212" spans="3:11" x14ac:dyDescent="0.25">
      <c r="C212" s="6"/>
      <c r="G212" s="6"/>
      <c r="K212" s="6"/>
    </row>
    <row r="213" spans="3:11" x14ac:dyDescent="0.25">
      <c r="C213" s="6"/>
      <c r="G213" s="6"/>
      <c r="K213" s="6"/>
    </row>
    <row r="214" spans="3:11" x14ac:dyDescent="0.25">
      <c r="C214" s="6"/>
      <c r="G214" s="6"/>
      <c r="K214" s="6"/>
    </row>
    <row r="215" spans="3:11" x14ac:dyDescent="0.25">
      <c r="C215" s="6"/>
      <c r="G215" s="6"/>
      <c r="K215" s="6"/>
    </row>
    <row r="216" spans="3:11" x14ac:dyDescent="0.25">
      <c r="C216" s="6"/>
      <c r="G216" s="6"/>
      <c r="K216" s="6"/>
    </row>
    <row r="217" spans="3:11" x14ac:dyDescent="0.25">
      <c r="C217" s="6"/>
      <c r="G217" s="6"/>
      <c r="K217" s="6"/>
    </row>
    <row r="218" spans="3:11" x14ac:dyDescent="0.25">
      <c r="C218" s="6"/>
      <c r="G218" s="6"/>
      <c r="K218" s="6"/>
    </row>
    <row r="219" spans="3:11" x14ac:dyDescent="0.25">
      <c r="C219" s="6"/>
      <c r="G219" s="6"/>
      <c r="K219" s="6"/>
    </row>
    <row r="220" spans="3:11" x14ac:dyDescent="0.25">
      <c r="C220" s="6"/>
      <c r="G220" s="6"/>
      <c r="K220" s="6"/>
    </row>
    <row r="221" spans="3:11" x14ac:dyDescent="0.25">
      <c r="C221" s="6"/>
      <c r="G221" s="6"/>
      <c r="K221" s="6"/>
    </row>
    <row r="222" spans="3:11" x14ac:dyDescent="0.25">
      <c r="C222" s="6"/>
      <c r="G222" s="6"/>
      <c r="K222" s="6"/>
    </row>
    <row r="223" spans="3:11" x14ac:dyDescent="0.25">
      <c r="C223" s="6"/>
      <c r="G223" s="6"/>
      <c r="K223" s="6"/>
    </row>
    <row r="224" spans="3:11" x14ac:dyDescent="0.25">
      <c r="C224" s="6"/>
      <c r="G224" s="6"/>
      <c r="K224" s="6"/>
    </row>
    <row r="225" spans="3:11" x14ac:dyDescent="0.25">
      <c r="C225" s="6"/>
      <c r="G225" s="6"/>
      <c r="K225" s="6"/>
    </row>
    <row r="226" spans="3:11" x14ac:dyDescent="0.25">
      <c r="C226" s="6"/>
      <c r="G226" s="6"/>
      <c r="K226" s="6"/>
    </row>
    <row r="227" spans="3:11" x14ac:dyDescent="0.25">
      <c r="C227" s="6"/>
      <c r="G227" s="6"/>
      <c r="K227" s="6"/>
    </row>
    <row r="228" spans="3:11" x14ac:dyDescent="0.25">
      <c r="C228" s="6"/>
      <c r="G228" s="6"/>
      <c r="K228" s="6"/>
    </row>
    <row r="229" spans="3:11" x14ac:dyDescent="0.25">
      <c r="C229" s="6"/>
      <c r="G229" s="6"/>
      <c r="K229" s="6"/>
    </row>
    <row r="230" spans="3:11" x14ac:dyDescent="0.25">
      <c r="C230" s="6"/>
      <c r="G230" s="6"/>
      <c r="K230" s="6"/>
    </row>
    <row r="231" spans="3:11" x14ac:dyDescent="0.25">
      <c r="C231" s="6"/>
      <c r="G231" s="6"/>
      <c r="K231" s="6"/>
    </row>
    <row r="232" spans="3:11" x14ac:dyDescent="0.25">
      <c r="C232" s="6"/>
      <c r="G232" s="6"/>
      <c r="K232" s="6"/>
    </row>
    <row r="233" spans="3:11" x14ac:dyDescent="0.25">
      <c r="C233" s="6"/>
      <c r="G233" s="6"/>
      <c r="K233" s="6"/>
    </row>
    <row r="234" spans="3:11" x14ac:dyDescent="0.25">
      <c r="C234" s="6"/>
      <c r="G234" s="6"/>
      <c r="K234" s="6"/>
    </row>
    <row r="235" spans="3:11" x14ac:dyDescent="0.25">
      <c r="C235" s="6"/>
      <c r="G235" s="6"/>
      <c r="K235" s="6"/>
    </row>
    <row r="236" spans="3:11" x14ac:dyDescent="0.25">
      <c r="C236" s="6"/>
      <c r="G236" s="6"/>
      <c r="K236" s="6"/>
    </row>
    <row r="237" spans="3:11" x14ac:dyDescent="0.25">
      <c r="C237" s="6"/>
      <c r="G237" s="6"/>
      <c r="K237" s="6"/>
    </row>
    <row r="238" spans="3:11" x14ac:dyDescent="0.25">
      <c r="C238" s="6"/>
      <c r="G238" s="6"/>
      <c r="K238" s="6"/>
    </row>
    <row r="239" spans="3:11" x14ac:dyDescent="0.25">
      <c r="C239" s="6"/>
      <c r="G239" s="6"/>
      <c r="K239" s="6"/>
    </row>
    <row r="240" spans="3:11" x14ac:dyDescent="0.25">
      <c r="C240" s="6"/>
      <c r="G240" s="6"/>
      <c r="K240" s="6"/>
    </row>
    <row r="241" spans="3:11" x14ac:dyDescent="0.25">
      <c r="C241" s="6"/>
      <c r="G241" s="6"/>
      <c r="K241" s="6"/>
    </row>
    <row r="242" spans="3:11" x14ac:dyDescent="0.25">
      <c r="C242" s="6"/>
      <c r="G242" s="6"/>
      <c r="K242" s="6"/>
    </row>
    <row r="243" spans="3:11" x14ac:dyDescent="0.25">
      <c r="C243" s="6"/>
      <c r="G243" s="6"/>
      <c r="K243" s="6"/>
    </row>
    <row r="244" spans="3:11" x14ac:dyDescent="0.25">
      <c r="C244" s="6"/>
      <c r="G244" s="6"/>
      <c r="K244" s="6"/>
    </row>
    <row r="245" spans="3:11" x14ac:dyDescent="0.25">
      <c r="C245" s="6"/>
      <c r="G245" s="6"/>
      <c r="K245" s="6"/>
    </row>
    <row r="246" spans="3:11" x14ac:dyDescent="0.25">
      <c r="C246" s="6"/>
      <c r="G246" s="6"/>
      <c r="K246" s="6"/>
    </row>
    <row r="247" spans="3:11" x14ac:dyDescent="0.25">
      <c r="C247" s="6"/>
      <c r="G247" s="6"/>
      <c r="K247" s="6"/>
    </row>
    <row r="248" spans="3:11" x14ac:dyDescent="0.25">
      <c r="C248" s="6"/>
      <c r="G248" s="6"/>
      <c r="K248" s="6"/>
    </row>
    <row r="249" spans="3:11" x14ac:dyDescent="0.25">
      <c r="C249" s="6"/>
      <c r="G249" s="6"/>
      <c r="K249" s="6"/>
    </row>
    <row r="250" spans="3:11" x14ac:dyDescent="0.25">
      <c r="C250" s="6"/>
      <c r="G250" s="6"/>
      <c r="K250" s="6"/>
    </row>
    <row r="251" spans="3:11" x14ac:dyDescent="0.25">
      <c r="C251" s="6"/>
      <c r="G251" s="6"/>
      <c r="K251" s="6"/>
    </row>
    <row r="252" spans="3:11" x14ac:dyDescent="0.25">
      <c r="C252" s="6"/>
      <c r="G252" s="6"/>
      <c r="K252" s="6"/>
    </row>
    <row r="253" spans="3:11" x14ac:dyDescent="0.25">
      <c r="C253" s="6"/>
      <c r="G253" s="6"/>
      <c r="K253" s="6"/>
    </row>
    <row r="254" spans="3:11" x14ac:dyDescent="0.25">
      <c r="C254" s="6"/>
      <c r="G254" s="6"/>
      <c r="K254" s="6"/>
    </row>
    <row r="255" spans="3:11" x14ac:dyDescent="0.25">
      <c r="C255" s="6"/>
      <c r="G255" s="6"/>
      <c r="K255" s="6"/>
    </row>
    <row r="256" spans="3:11" x14ac:dyDescent="0.25">
      <c r="C256" s="6"/>
      <c r="G256" s="6"/>
      <c r="K256" s="6"/>
    </row>
    <row r="257" spans="3:11" x14ac:dyDescent="0.25">
      <c r="C257" s="6"/>
      <c r="G257" s="6"/>
      <c r="K257" s="6"/>
    </row>
    <row r="258" spans="3:11" x14ac:dyDescent="0.25">
      <c r="C258" s="6"/>
      <c r="G258" s="6"/>
      <c r="K258" s="6"/>
    </row>
    <row r="259" spans="3:11" x14ac:dyDescent="0.25">
      <c r="C259" s="6"/>
      <c r="G259" s="6"/>
      <c r="K259" s="6"/>
    </row>
    <row r="260" spans="3:11" x14ac:dyDescent="0.25">
      <c r="C260" s="6"/>
      <c r="G260" s="6"/>
      <c r="K260" s="6"/>
    </row>
    <row r="261" spans="3:11" x14ac:dyDescent="0.25">
      <c r="C261" s="6"/>
      <c r="G261" s="6"/>
      <c r="K261" s="6"/>
    </row>
    <row r="262" spans="3:11" x14ac:dyDescent="0.25">
      <c r="C262" s="6"/>
      <c r="G262" s="6"/>
      <c r="K262" s="6"/>
    </row>
    <row r="263" spans="3:11" x14ac:dyDescent="0.25">
      <c r="C263" s="6"/>
      <c r="G263" s="6"/>
      <c r="K263" s="6"/>
    </row>
    <row r="264" spans="3:11" x14ac:dyDescent="0.25">
      <c r="C264" s="6"/>
      <c r="G264" s="6"/>
      <c r="K264" s="6"/>
    </row>
    <row r="265" spans="3:11" x14ac:dyDescent="0.25">
      <c r="C265" s="6"/>
      <c r="G265" s="6"/>
      <c r="K265" s="6"/>
    </row>
    <row r="266" spans="3:11" x14ac:dyDescent="0.25">
      <c r="C266" s="6"/>
      <c r="G266" s="6"/>
      <c r="K266" s="6"/>
    </row>
    <row r="267" spans="3:11" x14ac:dyDescent="0.25">
      <c r="C267" s="6"/>
      <c r="G267" s="6"/>
      <c r="K267" s="6"/>
    </row>
    <row r="268" spans="3:11" x14ac:dyDescent="0.25">
      <c r="C268" s="6"/>
      <c r="G268" s="6"/>
      <c r="K268" s="6"/>
    </row>
    <row r="269" spans="3:11" x14ac:dyDescent="0.25">
      <c r="C269" s="6"/>
      <c r="G269" s="6"/>
      <c r="K269" s="6"/>
    </row>
    <row r="270" spans="3:11" x14ac:dyDescent="0.25">
      <c r="C270" s="6"/>
      <c r="G270" s="6"/>
      <c r="K270" s="6"/>
    </row>
    <row r="271" spans="3:11" x14ac:dyDescent="0.25">
      <c r="C271" s="6"/>
      <c r="G271" s="6"/>
      <c r="K271" s="6"/>
    </row>
    <row r="272" spans="3:11" x14ac:dyDescent="0.25">
      <c r="C272" s="6"/>
      <c r="G272" s="6"/>
      <c r="K272" s="6"/>
    </row>
    <row r="273" spans="3:11" x14ac:dyDescent="0.25">
      <c r="C273" s="6"/>
      <c r="G273" s="6"/>
      <c r="K273" s="6"/>
    </row>
    <row r="274" spans="3:11" x14ac:dyDescent="0.25">
      <c r="C274" s="6"/>
      <c r="G274" s="6"/>
      <c r="K274" s="6"/>
    </row>
    <row r="275" spans="3:11" x14ac:dyDescent="0.25">
      <c r="C275" s="6"/>
      <c r="G275" s="6"/>
      <c r="K275" s="6"/>
    </row>
    <row r="276" spans="3:11" x14ac:dyDescent="0.25">
      <c r="C276" s="6"/>
      <c r="G276" s="6"/>
      <c r="K276" s="6"/>
    </row>
    <row r="277" spans="3:11" x14ac:dyDescent="0.25">
      <c r="C277" s="6"/>
      <c r="G277" s="6"/>
      <c r="K277" s="6"/>
    </row>
    <row r="278" spans="3:11" x14ac:dyDescent="0.25">
      <c r="C278" s="6"/>
      <c r="G278" s="6"/>
      <c r="K278" s="6"/>
    </row>
    <row r="279" spans="3:11" x14ac:dyDescent="0.25">
      <c r="C279" s="6"/>
      <c r="G279" s="6"/>
      <c r="K279" s="6"/>
    </row>
    <row r="280" spans="3:11" x14ac:dyDescent="0.25">
      <c r="C280" s="6"/>
      <c r="G280" s="6"/>
      <c r="K280" s="6"/>
    </row>
    <row r="281" spans="3:11" x14ac:dyDescent="0.25">
      <c r="C281" s="6"/>
      <c r="G281" s="6"/>
      <c r="K281" s="6"/>
    </row>
    <row r="282" spans="3:11" x14ac:dyDescent="0.25">
      <c r="C282" s="6"/>
      <c r="G282" s="6"/>
      <c r="K282" s="6"/>
    </row>
    <row r="283" spans="3:11" x14ac:dyDescent="0.25">
      <c r="C283" s="6"/>
      <c r="G283" s="6"/>
      <c r="K283" s="6"/>
    </row>
    <row r="284" spans="3:11" x14ac:dyDescent="0.25">
      <c r="C284" s="6"/>
      <c r="G284" s="6"/>
      <c r="K284" s="6"/>
    </row>
    <row r="285" spans="3:11" x14ac:dyDescent="0.25">
      <c r="C285" s="6"/>
      <c r="G285" s="6"/>
      <c r="K285" s="6"/>
    </row>
    <row r="286" spans="3:11" x14ac:dyDescent="0.25">
      <c r="C286" s="6"/>
      <c r="G286" s="6"/>
      <c r="K286" s="6"/>
    </row>
    <row r="287" spans="3:11" x14ac:dyDescent="0.25">
      <c r="C287" s="6"/>
      <c r="G287" s="6"/>
      <c r="K287" s="6"/>
    </row>
    <row r="288" spans="3:11" x14ac:dyDescent="0.25">
      <c r="C288" s="6"/>
      <c r="G288" s="6"/>
      <c r="K288" s="6"/>
    </row>
    <row r="289" spans="3:11" x14ac:dyDescent="0.25">
      <c r="C289" s="6"/>
      <c r="G289" s="6"/>
      <c r="K289" s="6"/>
    </row>
    <row r="290" spans="3:11" x14ac:dyDescent="0.25">
      <c r="C290" s="6"/>
      <c r="G290" s="6"/>
      <c r="K290" s="6"/>
    </row>
    <row r="291" spans="3:11" x14ac:dyDescent="0.25">
      <c r="C291" s="6"/>
      <c r="G291" s="6"/>
      <c r="K291" s="6"/>
    </row>
    <row r="292" spans="3:11" x14ac:dyDescent="0.25">
      <c r="C292" s="6"/>
      <c r="G292" s="6"/>
      <c r="K292" s="6"/>
    </row>
    <row r="293" spans="3:11" x14ac:dyDescent="0.25">
      <c r="C293" s="6"/>
      <c r="G293" s="6"/>
      <c r="K293" s="6"/>
    </row>
    <row r="294" spans="3:11" x14ac:dyDescent="0.25">
      <c r="C294" s="6"/>
      <c r="G294" s="6"/>
      <c r="K294" s="6"/>
    </row>
    <row r="295" spans="3:11" x14ac:dyDescent="0.25">
      <c r="C295" s="6"/>
      <c r="G295" s="6"/>
      <c r="K295" s="6"/>
    </row>
    <row r="296" spans="3:11" x14ac:dyDescent="0.25">
      <c r="C296" s="6"/>
      <c r="G296" s="6"/>
      <c r="K296" s="6"/>
    </row>
    <row r="297" spans="3:11" x14ac:dyDescent="0.25">
      <c r="C297" s="6"/>
      <c r="G297" s="6"/>
      <c r="K297" s="6"/>
    </row>
    <row r="298" spans="3:11" x14ac:dyDescent="0.25">
      <c r="C298" s="6"/>
      <c r="G298" s="6"/>
      <c r="K298" s="6"/>
    </row>
    <row r="299" spans="3:11" x14ac:dyDescent="0.25">
      <c r="C299" s="6"/>
      <c r="G299" s="6"/>
      <c r="K299" s="6"/>
    </row>
    <row r="300" spans="3:11" x14ac:dyDescent="0.25">
      <c r="C300" s="6"/>
      <c r="G300" s="6"/>
      <c r="K300" s="6"/>
    </row>
    <row r="301" spans="3:11" x14ac:dyDescent="0.25">
      <c r="C301" s="6"/>
      <c r="G301" s="6"/>
      <c r="K301" s="6"/>
    </row>
    <row r="302" spans="3:11" x14ac:dyDescent="0.25">
      <c r="C302" s="6"/>
      <c r="G302" s="6"/>
      <c r="K302" s="6"/>
    </row>
    <row r="303" spans="3:11" x14ac:dyDescent="0.25">
      <c r="C303" s="6"/>
      <c r="G303" s="6"/>
      <c r="K303" s="6"/>
    </row>
    <row r="304" spans="3:11" x14ac:dyDescent="0.25">
      <c r="C304" s="6"/>
      <c r="G304" s="6"/>
      <c r="K304" s="6"/>
    </row>
    <row r="305" spans="3:11" x14ac:dyDescent="0.25">
      <c r="C305" s="6"/>
      <c r="G305" s="6"/>
      <c r="K305" s="6"/>
    </row>
    <row r="306" spans="3:11" x14ac:dyDescent="0.25">
      <c r="C306" s="6"/>
      <c r="G306" s="6"/>
      <c r="K306" s="6"/>
    </row>
    <row r="307" spans="3:11" x14ac:dyDescent="0.25">
      <c r="C307" s="6"/>
      <c r="G307" s="6"/>
      <c r="K307" s="6"/>
    </row>
    <row r="308" spans="3:11" x14ac:dyDescent="0.25">
      <c r="C308" s="6"/>
      <c r="G308" s="6"/>
      <c r="K308" s="6"/>
    </row>
    <row r="309" spans="3:11" x14ac:dyDescent="0.25">
      <c r="C309" s="6"/>
      <c r="G309" s="6"/>
      <c r="K309" s="6"/>
    </row>
    <row r="310" spans="3:11" x14ac:dyDescent="0.25">
      <c r="C310" s="6"/>
      <c r="G310" s="6"/>
      <c r="K310" s="6"/>
    </row>
    <row r="311" spans="3:11" x14ac:dyDescent="0.25">
      <c r="C311" s="6"/>
      <c r="G311" s="6"/>
      <c r="K311" s="6"/>
    </row>
    <row r="312" spans="3:11" x14ac:dyDescent="0.25">
      <c r="C312" s="6"/>
      <c r="G312" s="6"/>
      <c r="K312" s="6"/>
    </row>
    <row r="313" spans="3:11" x14ac:dyDescent="0.25">
      <c r="C313" s="6"/>
      <c r="G313" s="6"/>
      <c r="K313" s="6"/>
    </row>
    <row r="314" spans="3:11" x14ac:dyDescent="0.25">
      <c r="C314" s="6"/>
      <c r="G314" s="6"/>
      <c r="K314" s="6"/>
    </row>
    <row r="315" spans="3:11" x14ac:dyDescent="0.25">
      <c r="C315" s="6"/>
      <c r="G315" s="6"/>
      <c r="K315" s="6"/>
    </row>
    <row r="316" spans="3:11" x14ac:dyDescent="0.25">
      <c r="C316" s="6"/>
      <c r="G316" s="6"/>
      <c r="K316" s="6"/>
    </row>
    <row r="317" spans="3:11" x14ac:dyDescent="0.25">
      <c r="C317" s="6"/>
      <c r="G317" s="6"/>
      <c r="K317" s="6"/>
    </row>
    <row r="318" spans="3:11" x14ac:dyDescent="0.25">
      <c r="C318" s="6"/>
      <c r="G318" s="6"/>
      <c r="K318" s="6"/>
    </row>
    <row r="319" spans="3:11" x14ac:dyDescent="0.25">
      <c r="C319" s="6"/>
      <c r="G319" s="6"/>
      <c r="K319" s="6"/>
    </row>
    <row r="320" spans="3:11" x14ac:dyDescent="0.25">
      <c r="C320" s="6"/>
      <c r="G320" s="6"/>
      <c r="K320" s="6"/>
    </row>
    <row r="321" spans="3:11" x14ac:dyDescent="0.25">
      <c r="C321" s="6"/>
      <c r="G321" s="6"/>
      <c r="K321" s="6"/>
    </row>
    <row r="322" spans="3:11" x14ac:dyDescent="0.25">
      <c r="C322" s="6"/>
      <c r="G322" s="6"/>
      <c r="K322" s="6"/>
    </row>
    <row r="323" spans="3:11" x14ac:dyDescent="0.25">
      <c r="C323" s="6"/>
      <c r="G323" s="6"/>
      <c r="K323" s="6"/>
    </row>
    <row r="324" spans="3:11" x14ac:dyDescent="0.25">
      <c r="C324" s="6"/>
      <c r="G324" s="6"/>
      <c r="K324" s="6"/>
    </row>
    <row r="325" spans="3:11" x14ac:dyDescent="0.25">
      <c r="C325" s="6"/>
      <c r="G325" s="6"/>
      <c r="K325" s="6"/>
    </row>
    <row r="326" spans="3:11" x14ac:dyDescent="0.25">
      <c r="C326" s="6"/>
      <c r="G326" s="6"/>
      <c r="K326" s="6"/>
    </row>
    <row r="327" spans="3:11" x14ac:dyDescent="0.25">
      <c r="C327" s="6"/>
      <c r="G327" s="6"/>
      <c r="K327" s="6"/>
    </row>
    <row r="328" spans="3:11" x14ac:dyDescent="0.25">
      <c r="C328" s="6"/>
      <c r="G328" s="6"/>
      <c r="K328" s="6"/>
    </row>
    <row r="329" spans="3:11" x14ac:dyDescent="0.25">
      <c r="C329" s="6"/>
      <c r="G329" s="6"/>
      <c r="K329" s="6"/>
    </row>
    <row r="330" spans="3:11" x14ac:dyDescent="0.25">
      <c r="C330" s="6"/>
      <c r="G330" s="6"/>
      <c r="K330" s="6"/>
    </row>
    <row r="331" spans="3:11" x14ac:dyDescent="0.25">
      <c r="C331" s="6"/>
      <c r="G331" s="6"/>
      <c r="K331" s="6"/>
    </row>
    <row r="332" spans="3:11" x14ac:dyDescent="0.25">
      <c r="C332" s="6"/>
      <c r="G332" s="6"/>
      <c r="K332" s="6"/>
    </row>
    <row r="333" spans="3:11" x14ac:dyDescent="0.25">
      <c r="C333" s="6"/>
      <c r="G333" s="6"/>
      <c r="K333" s="6"/>
    </row>
    <row r="334" spans="3:11" x14ac:dyDescent="0.25">
      <c r="C334" s="6"/>
      <c r="G334" s="6"/>
      <c r="K334" s="6"/>
    </row>
    <row r="335" spans="3:11" x14ac:dyDescent="0.25">
      <c r="C335" s="6"/>
      <c r="G335" s="6"/>
      <c r="K335" s="6"/>
    </row>
    <row r="336" spans="3:11" x14ac:dyDescent="0.25">
      <c r="C336" s="6"/>
      <c r="G336" s="6"/>
      <c r="K336" s="6"/>
    </row>
    <row r="337" spans="3:11" x14ac:dyDescent="0.25">
      <c r="C337" s="6"/>
      <c r="G337" s="6"/>
      <c r="K337" s="6"/>
    </row>
    <row r="338" spans="3:11" x14ac:dyDescent="0.25">
      <c r="C338" s="6"/>
      <c r="G338" s="6"/>
      <c r="K338" s="6"/>
    </row>
    <row r="339" spans="3:11" x14ac:dyDescent="0.25">
      <c r="C339" s="6"/>
      <c r="G339" s="6"/>
      <c r="K339" s="6"/>
    </row>
    <row r="340" spans="3:11" x14ac:dyDescent="0.25">
      <c r="C340" s="6"/>
      <c r="G340" s="6"/>
      <c r="K340" s="6"/>
    </row>
    <row r="341" spans="3:11" x14ac:dyDescent="0.25">
      <c r="C341" s="6"/>
      <c r="G341" s="6"/>
      <c r="K341" s="6"/>
    </row>
    <row r="342" spans="3:11" x14ac:dyDescent="0.25">
      <c r="C342" s="6"/>
      <c r="G342" s="6"/>
      <c r="K342" s="6"/>
    </row>
    <row r="343" spans="3:11" x14ac:dyDescent="0.25">
      <c r="C343" s="6"/>
      <c r="G343" s="6"/>
      <c r="K343" s="6"/>
    </row>
    <row r="344" spans="3:11" x14ac:dyDescent="0.25">
      <c r="C344" s="6"/>
      <c r="G344" s="6"/>
      <c r="K344" s="6"/>
    </row>
    <row r="345" spans="3:11" x14ac:dyDescent="0.25">
      <c r="C345" s="6"/>
      <c r="G345" s="6"/>
      <c r="K345" s="6"/>
    </row>
    <row r="346" spans="3:11" x14ac:dyDescent="0.25">
      <c r="C346" s="6"/>
      <c r="G346" s="6"/>
      <c r="K346" s="6"/>
    </row>
    <row r="347" spans="3:11" x14ac:dyDescent="0.25">
      <c r="C347" s="6"/>
      <c r="G347" s="6"/>
      <c r="K347" s="6"/>
    </row>
    <row r="348" spans="3:11" x14ac:dyDescent="0.25">
      <c r="C348" s="6"/>
      <c r="G348" s="6"/>
      <c r="K348" s="6"/>
    </row>
    <row r="349" spans="3:11" x14ac:dyDescent="0.25">
      <c r="C349" s="6"/>
      <c r="G349" s="6"/>
      <c r="K349" s="6"/>
    </row>
    <row r="350" spans="3:11" x14ac:dyDescent="0.25">
      <c r="C350" s="6"/>
      <c r="G350" s="6"/>
      <c r="K350" s="6"/>
    </row>
    <row r="351" spans="3:11" x14ac:dyDescent="0.25">
      <c r="C351" s="6"/>
      <c r="G351" s="6"/>
      <c r="K351" s="6"/>
    </row>
    <row r="352" spans="3:11" x14ac:dyDescent="0.25">
      <c r="C352" s="6"/>
      <c r="G352" s="6"/>
      <c r="K352" s="6"/>
    </row>
    <row r="353" spans="3:11" x14ac:dyDescent="0.25">
      <c r="C353" s="6"/>
      <c r="G353" s="6"/>
      <c r="K353" s="6"/>
    </row>
    <row r="354" spans="3:11" x14ac:dyDescent="0.25">
      <c r="C354" s="6"/>
      <c r="G354" s="6"/>
      <c r="K354" s="6"/>
    </row>
    <row r="355" spans="3:11" x14ac:dyDescent="0.25">
      <c r="C355" s="6"/>
      <c r="G355" s="6"/>
      <c r="K355" s="6"/>
    </row>
    <row r="356" spans="3:11" x14ac:dyDescent="0.25">
      <c r="C356" s="6"/>
      <c r="G356" s="6"/>
      <c r="K356" s="6"/>
    </row>
    <row r="357" spans="3:11" x14ac:dyDescent="0.25">
      <c r="C357" s="6"/>
      <c r="G357" s="6"/>
      <c r="K357" s="6"/>
    </row>
    <row r="358" spans="3:11" x14ac:dyDescent="0.25">
      <c r="C358" s="6"/>
      <c r="G358" s="6"/>
      <c r="K358" s="6"/>
    </row>
    <row r="359" spans="3:11" x14ac:dyDescent="0.25">
      <c r="C359" s="6"/>
      <c r="G359" s="6"/>
      <c r="K359" s="6"/>
    </row>
    <row r="360" spans="3:11" x14ac:dyDescent="0.25">
      <c r="C360" s="6"/>
      <c r="G360" s="6"/>
      <c r="K360" s="6"/>
    </row>
    <row r="361" spans="3:11" x14ac:dyDescent="0.25">
      <c r="C361" s="6"/>
      <c r="G361" s="6"/>
      <c r="K361" s="6"/>
    </row>
    <row r="362" spans="3:11" x14ac:dyDescent="0.25">
      <c r="C362" s="6"/>
      <c r="G362" s="6"/>
      <c r="K362" s="6"/>
    </row>
    <row r="363" spans="3:11" x14ac:dyDescent="0.25">
      <c r="C363" s="6"/>
      <c r="G363" s="6"/>
      <c r="K363" s="6"/>
    </row>
    <row r="364" spans="3:11" x14ac:dyDescent="0.25">
      <c r="C364" s="6"/>
      <c r="G364" s="6"/>
      <c r="K364" s="6"/>
    </row>
    <row r="365" spans="3:11" x14ac:dyDescent="0.25">
      <c r="C365" s="6"/>
      <c r="G365" s="6"/>
      <c r="K365" s="6"/>
    </row>
    <row r="366" spans="3:11" x14ac:dyDescent="0.25">
      <c r="C366" s="6"/>
      <c r="G366" s="6"/>
      <c r="K366" s="6"/>
    </row>
    <row r="367" spans="3:11" x14ac:dyDescent="0.25">
      <c r="C367" s="6"/>
      <c r="G367" s="6"/>
      <c r="K367" s="6"/>
    </row>
    <row r="368" spans="3:11" x14ac:dyDescent="0.25">
      <c r="C368" s="6"/>
      <c r="G368" s="6"/>
      <c r="K368" s="6"/>
    </row>
    <row r="369" spans="3:11" x14ac:dyDescent="0.25">
      <c r="C369" s="6"/>
      <c r="G369" s="6"/>
      <c r="K369" s="6"/>
    </row>
    <row r="370" spans="3:11" x14ac:dyDescent="0.25">
      <c r="C370" s="6"/>
      <c r="G370" s="6"/>
      <c r="K370" s="6"/>
    </row>
    <row r="371" spans="3:11" x14ac:dyDescent="0.25">
      <c r="C371" s="6"/>
      <c r="G371" s="6"/>
      <c r="K371" s="6"/>
    </row>
    <row r="372" spans="3:11" x14ac:dyDescent="0.25">
      <c r="C372" s="6"/>
      <c r="G372" s="6"/>
      <c r="K372" s="6"/>
    </row>
    <row r="373" spans="3:11" x14ac:dyDescent="0.25">
      <c r="C373" s="6"/>
      <c r="G373" s="6"/>
      <c r="K373" s="6"/>
    </row>
    <row r="374" spans="3:11" x14ac:dyDescent="0.25">
      <c r="C374" s="6"/>
      <c r="G374" s="6"/>
      <c r="K374" s="6"/>
    </row>
    <row r="375" spans="3:11" x14ac:dyDescent="0.25">
      <c r="C375" s="6"/>
      <c r="G375" s="6"/>
      <c r="K375" s="6"/>
    </row>
    <row r="376" spans="3:11" x14ac:dyDescent="0.25">
      <c r="C376" s="6"/>
      <c r="G376" s="6"/>
      <c r="K376" s="6"/>
    </row>
    <row r="377" spans="3:11" x14ac:dyDescent="0.25">
      <c r="C377" s="6"/>
      <c r="G377" s="6"/>
      <c r="K377" s="6"/>
    </row>
    <row r="378" spans="3:11" x14ac:dyDescent="0.25">
      <c r="C378" s="6"/>
      <c r="G378" s="6"/>
      <c r="K378" s="6"/>
    </row>
    <row r="379" spans="3:11" x14ac:dyDescent="0.25">
      <c r="C379" s="6"/>
      <c r="G379" s="6"/>
      <c r="K379" s="6"/>
    </row>
    <row r="380" spans="3:11" x14ac:dyDescent="0.25">
      <c r="C380" s="6"/>
      <c r="G380" s="6"/>
      <c r="K380" s="6"/>
    </row>
    <row r="381" spans="3:11" x14ac:dyDescent="0.25">
      <c r="C381" s="6"/>
      <c r="G381" s="6"/>
      <c r="K381" s="6"/>
    </row>
    <row r="382" spans="3:11" x14ac:dyDescent="0.25">
      <c r="C382" s="6"/>
      <c r="G382" s="6"/>
      <c r="K382" s="6"/>
    </row>
    <row r="383" spans="3:11" x14ac:dyDescent="0.25">
      <c r="C383" s="6"/>
      <c r="G383" s="6"/>
      <c r="K383" s="6"/>
    </row>
    <row r="384" spans="3:11" x14ac:dyDescent="0.25">
      <c r="C384" s="6"/>
      <c r="G384" s="6"/>
      <c r="K384" s="6"/>
    </row>
    <row r="385" spans="3:11" x14ac:dyDescent="0.25">
      <c r="C385" s="6"/>
      <c r="G385" s="6"/>
      <c r="K385" s="6"/>
    </row>
    <row r="386" spans="3:11" x14ac:dyDescent="0.25">
      <c r="C386" s="6"/>
      <c r="G386" s="6"/>
      <c r="K386" s="6"/>
    </row>
    <row r="387" spans="3:11" x14ac:dyDescent="0.25">
      <c r="C387" s="6"/>
      <c r="G387" s="6"/>
      <c r="K387" s="6"/>
    </row>
    <row r="388" spans="3:11" x14ac:dyDescent="0.25">
      <c r="C388" s="6"/>
      <c r="G388" s="6"/>
      <c r="K388" s="6"/>
    </row>
    <row r="389" spans="3:11" x14ac:dyDescent="0.25">
      <c r="C389" s="6"/>
      <c r="G389" s="6"/>
      <c r="K389" s="6"/>
    </row>
    <row r="390" spans="3:11" x14ac:dyDescent="0.25">
      <c r="C390" s="6"/>
      <c r="G390" s="6"/>
      <c r="K390" s="6"/>
    </row>
    <row r="391" spans="3:11" x14ac:dyDescent="0.25">
      <c r="C391" s="6"/>
      <c r="G391" s="6"/>
      <c r="K391" s="6"/>
    </row>
    <row r="392" spans="3:11" x14ac:dyDescent="0.25">
      <c r="C392" s="6"/>
      <c r="G392" s="6"/>
      <c r="K392" s="6"/>
    </row>
    <row r="393" spans="3:11" x14ac:dyDescent="0.25">
      <c r="C393" s="6"/>
      <c r="G393" s="6"/>
      <c r="K393" s="6"/>
    </row>
    <row r="394" spans="3:11" x14ac:dyDescent="0.25">
      <c r="C394" s="6"/>
      <c r="G394" s="6"/>
      <c r="K394" s="6"/>
    </row>
    <row r="395" spans="3:11" x14ac:dyDescent="0.25">
      <c r="C395" s="6"/>
      <c r="G395" s="6"/>
      <c r="K395" s="6"/>
    </row>
    <row r="396" spans="3:11" x14ac:dyDescent="0.25">
      <c r="C396" s="6"/>
      <c r="G396" s="6"/>
      <c r="K396" s="6"/>
    </row>
    <row r="397" spans="3:11" x14ac:dyDescent="0.25">
      <c r="C397" s="6"/>
      <c r="G397" s="6"/>
      <c r="K397" s="6"/>
    </row>
    <row r="398" spans="3:11" x14ac:dyDescent="0.25">
      <c r="C398" s="6"/>
      <c r="G398" s="6"/>
      <c r="K398" s="6"/>
    </row>
    <row r="399" spans="3:11" x14ac:dyDescent="0.25">
      <c r="C399" s="6"/>
      <c r="G399" s="6"/>
      <c r="K399" s="6"/>
    </row>
    <row r="400" spans="3:11" x14ac:dyDescent="0.25">
      <c r="C400" s="6"/>
      <c r="G400" s="6"/>
      <c r="K400" s="6"/>
    </row>
    <row r="401" spans="3:11" x14ac:dyDescent="0.25">
      <c r="C401" s="6"/>
      <c r="G401" s="6"/>
      <c r="K401" s="6"/>
    </row>
    <row r="402" spans="3:11" x14ac:dyDescent="0.25">
      <c r="C402" s="6"/>
      <c r="G402" s="6"/>
      <c r="K402" s="6"/>
    </row>
    <row r="403" spans="3:11" x14ac:dyDescent="0.25">
      <c r="C403" s="6"/>
      <c r="G403" s="6"/>
      <c r="K403" s="6"/>
    </row>
    <row r="404" spans="3:11" x14ac:dyDescent="0.25">
      <c r="C404" s="6"/>
      <c r="G404" s="6"/>
      <c r="K404" s="6"/>
    </row>
    <row r="405" spans="3:11" x14ac:dyDescent="0.25">
      <c r="C405" s="6"/>
      <c r="G405" s="6"/>
      <c r="K405" s="6"/>
    </row>
    <row r="406" spans="3:11" x14ac:dyDescent="0.25">
      <c r="C406" s="6"/>
      <c r="G406" s="6"/>
      <c r="K406" s="6"/>
    </row>
    <row r="407" spans="3:11" x14ac:dyDescent="0.25">
      <c r="C407" s="6"/>
      <c r="G407" s="6"/>
      <c r="K407" s="6"/>
    </row>
    <row r="408" spans="3:11" x14ac:dyDescent="0.25">
      <c r="C408" s="6"/>
      <c r="G408" s="6"/>
      <c r="K408" s="6"/>
    </row>
    <row r="409" spans="3:11" x14ac:dyDescent="0.25">
      <c r="C409" s="6"/>
      <c r="G409" s="6"/>
      <c r="K409" s="6"/>
    </row>
    <row r="410" spans="3:11" x14ac:dyDescent="0.25">
      <c r="C410" s="6"/>
      <c r="G410" s="6"/>
      <c r="K410" s="6"/>
    </row>
    <row r="411" spans="3:11" x14ac:dyDescent="0.25">
      <c r="C411" s="6"/>
      <c r="G411" s="6"/>
      <c r="K411" s="6"/>
    </row>
    <row r="412" spans="3:11" x14ac:dyDescent="0.25">
      <c r="C412" s="6"/>
      <c r="G412" s="6"/>
      <c r="K412" s="6"/>
    </row>
    <row r="413" spans="3:11" x14ac:dyDescent="0.25">
      <c r="C413" s="6"/>
      <c r="G413" s="6"/>
      <c r="K413" s="6"/>
    </row>
    <row r="414" spans="3:11" x14ac:dyDescent="0.25">
      <c r="C414" s="6"/>
      <c r="G414" s="6"/>
      <c r="K414" s="6"/>
    </row>
    <row r="415" spans="3:11" x14ac:dyDescent="0.25">
      <c r="C415" s="6"/>
      <c r="G415" s="6"/>
      <c r="K415" s="6"/>
    </row>
    <row r="416" spans="3:11" x14ac:dyDescent="0.25">
      <c r="C416" s="6"/>
      <c r="G416" s="6"/>
      <c r="K416" s="6"/>
    </row>
    <row r="417" spans="3:11" x14ac:dyDescent="0.25">
      <c r="C417" s="6"/>
      <c r="G417" s="6"/>
      <c r="K417" s="6"/>
    </row>
    <row r="418" spans="3:11" x14ac:dyDescent="0.25">
      <c r="C418" s="6"/>
      <c r="G418" s="6"/>
      <c r="K418" s="6"/>
    </row>
    <row r="419" spans="3:11" x14ac:dyDescent="0.25">
      <c r="C419" s="6"/>
      <c r="G419" s="6"/>
      <c r="K419" s="6"/>
    </row>
    <row r="420" spans="3:11" x14ac:dyDescent="0.25">
      <c r="C420" s="6"/>
      <c r="G420" s="6"/>
      <c r="K420" s="6"/>
    </row>
    <row r="421" spans="3:11" x14ac:dyDescent="0.25">
      <c r="C421" s="6"/>
      <c r="G421" s="6"/>
      <c r="K421" s="6"/>
    </row>
    <row r="422" spans="3:11" x14ac:dyDescent="0.25">
      <c r="C422" s="6"/>
      <c r="G422" s="6"/>
      <c r="K422" s="6"/>
    </row>
    <row r="423" spans="3:11" x14ac:dyDescent="0.25">
      <c r="C423" s="6"/>
      <c r="G423" s="6"/>
      <c r="K423" s="6"/>
    </row>
    <row r="424" spans="3:11" x14ac:dyDescent="0.25">
      <c r="C424" s="6"/>
      <c r="G424" s="6"/>
      <c r="K424" s="6"/>
    </row>
    <row r="425" spans="3:11" x14ac:dyDescent="0.25">
      <c r="C425" s="6"/>
      <c r="G425" s="6"/>
      <c r="K425" s="6"/>
    </row>
    <row r="426" spans="3:11" x14ac:dyDescent="0.25">
      <c r="C426" s="6"/>
      <c r="G426" s="6"/>
      <c r="K426" s="6"/>
    </row>
    <row r="427" spans="3:11" x14ac:dyDescent="0.25">
      <c r="C427" s="6"/>
      <c r="G427" s="6"/>
      <c r="K427" s="6"/>
    </row>
    <row r="428" spans="3:11" x14ac:dyDescent="0.25">
      <c r="C428" s="6"/>
      <c r="G428" s="6"/>
      <c r="K428" s="6"/>
    </row>
    <row r="429" spans="3:11" x14ac:dyDescent="0.25">
      <c r="C429" s="6"/>
      <c r="G429" s="6"/>
      <c r="K429" s="6"/>
    </row>
    <row r="430" spans="3:11" x14ac:dyDescent="0.25">
      <c r="C430" s="6"/>
      <c r="G430" s="6"/>
      <c r="K430" s="6"/>
    </row>
    <row r="431" spans="3:11" x14ac:dyDescent="0.25">
      <c r="C431" s="6"/>
      <c r="G431" s="6"/>
      <c r="K431" s="6"/>
    </row>
    <row r="432" spans="3:11" x14ac:dyDescent="0.25">
      <c r="C432" s="6"/>
      <c r="G432" s="6"/>
      <c r="K432" s="6"/>
    </row>
    <row r="433" spans="3:11" x14ac:dyDescent="0.25">
      <c r="C433" s="6"/>
      <c r="G433" s="6"/>
      <c r="K433" s="6"/>
    </row>
    <row r="434" spans="3:11" x14ac:dyDescent="0.25">
      <c r="C434" s="6"/>
      <c r="G434" s="6"/>
      <c r="K434" s="6"/>
    </row>
    <row r="435" spans="3:11" x14ac:dyDescent="0.25">
      <c r="C435" s="6"/>
      <c r="G435" s="6"/>
      <c r="K435" s="6"/>
    </row>
    <row r="436" spans="3:11" x14ac:dyDescent="0.25">
      <c r="C436" s="6"/>
      <c r="G436" s="6"/>
      <c r="K436" s="6"/>
    </row>
    <row r="437" spans="3:11" x14ac:dyDescent="0.25">
      <c r="C437" s="6"/>
      <c r="G437" s="6"/>
      <c r="K437" s="6"/>
    </row>
    <row r="438" spans="3:11" x14ac:dyDescent="0.25">
      <c r="C438" s="6"/>
      <c r="G438" s="6"/>
      <c r="K438" s="6"/>
    </row>
    <row r="439" spans="3:11" x14ac:dyDescent="0.25">
      <c r="C439" s="6"/>
      <c r="G439" s="6"/>
      <c r="K439" s="6"/>
    </row>
    <row r="440" spans="3:11" x14ac:dyDescent="0.25">
      <c r="C440" s="6"/>
      <c r="G440" s="6"/>
      <c r="K440" s="6"/>
    </row>
    <row r="441" spans="3:11" x14ac:dyDescent="0.25">
      <c r="C441" s="6"/>
      <c r="G441" s="6"/>
      <c r="K441" s="6"/>
    </row>
    <row r="442" spans="3:11" x14ac:dyDescent="0.25">
      <c r="C442" s="6"/>
      <c r="G442" s="6"/>
      <c r="K442" s="6"/>
    </row>
    <row r="443" spans="3:11" x14ac:dyDescent="0.25">
      <c r="C443" s="6"/>
      <c r="G443" s="6"/>
      <c r="K443" s="6"/>
    </row>
    <row r="444" spans="3:11" x14ac:dyDescent="0.25">
      <c r="C444" s="6"/>
      <c r="G444" s="6"/>
      <c r="K444" s="6"/>
    </row>
    <row r="445" spans="3:11" x14ac:dyDescent="0.25">
      <c r="C445" s="6"/>
      <c r="G445" s="6"/>
      <c r="K445" s="6"/>
    </row>
    <row r="446" spans="3:11" x14ac:dyDescent="0.25">
      <c r="C446" s="6"/>
      <c r="G446" s="6"/>
      <c r="K446" s="6"/>
    </row>
    <row r="447" spans="3:11" x14ac:dyDescent="0.25">
      <c r="C447" s="6"/>
      <c r="G447" s="6"/>
      <c r="K447" s="6"/>
    </row>
    <row r="448" spans="3:11" x14ac:dyDescent="0.25">
      <c r="C448" s="6"/>
      <c r="G448" s="6"/>
      <c r="K448" s="6"/>
    </row>
    <row r="449" spans="3:11" x14ac:dyDescent="0.25">
      <c r="C449" s="6"/>
      <c r="G449" s="6"/>
      <c r="K449" s="6"/>
    </row>
    <row r="450" spans="3:11" x14ac:dyDescent="0.25">
      <c r="C450" s="6"/>
      <c r="G450" s="6"/>
      <c r="K450" s="6"/>
    </row>
    <row r="451" spans="3:11" x14ac:dyDescent="0.25">
      <c r="C451" s="6"/>
      <c r="G451" s="6"/>
      <c r="K451" s="6"/>
    </row>
    <row r="452" spans="3:11" x14ac:dyDescent="0.25">
      <c r="C452" s="6"/>
      <c r="G452" s="6"/>
      <c r="K452" s="6"/>
    </row>
    <row r="453" spans="3:11" x14ac:dyDescent="0.25">
      <c r="C453" s="6"/>
      <c r="G453" s="6"/>
      <c r="K453" s="6"/>
    </row>
    <row r="454" spans="3:11" x14ac:dyDescent="0.25">
      <c r="C454" s="6"/>
      <c r="G454" s="6"/>
      <c r="K454" s="6"/>
    </row>
    <row r="455" spans="3:11" x14ac:dyDescent="0.25">
      <c r="C455" s="6"/>
      <c r="G455" s="6"/>
      <c r="K455" s="6"/>
    </row>
    <row r="456" spans="3:11" x14ac:dyDescent="0.25">
      <c r="C456" s="6"/>
      <c r="G456" s="6"/>
      <c r="K456" s="6"/>
    </row>
    <row r="457" spans="3:11" x14ac:dyDescent="0.25">
      <c r="C457" s="6"/>
      <c r="G457" s="6"/>
      <c r="K457" s="6"/>
    </row>
    <row r="458" spans="3:11" x14ac:dyDescent="0.25">
      <c r="C458" s="6"/>
      <c r="G458" s="6"/>
      <c r="K458" s="6"/>
    </row>
    <row r="459" spans="3:11" x14ac:dyDescent="0.25">
      <c r="C459" s="6"/>
      <c r="G459" s="6"/>
      <c r="K459" s="6"/>
    </row>
    <row r="460" spans="3:11" x14ac:dyDescent="0.25">
      <c r="C460" s="6"/>
      <c r="G460" s="6"/>
      <c r="K460" s="6"/>
    </row>
    <row r="461" spans="3:11" x14ac:dyDescent="0.25">
      <c r="C461" s="6"/>
      <c r="G461" s="6"/>
      <c r="K461" s="6"/>
    </row>
    <row r="462" spans="3:11" x14ac:dyDescent="0.25">
      <c r="C462" s="6"/>
      <c r="G462" s="6"/>
      <c r="K462" s="6"/>
    </row>
    <row r="463" spans="3:11" x14ac:dyDescent="0.25">
      <c r="C463" s="6"/>
      <c r="G463" s="6"/>
      <c r="K463" s="6"/>
    </row>
    <row r="464" spans="3:11" x14ac:dyDescent="0.25">
      <c r="C464" s="6"/>
      <c r="G464" s="6"/>
      <c r="K464" s="6"/>
    </row>
    <row r="465" spans="3:11" x14ac:dyDescent="0.25">
      <c r="C465" s="6"/>
      <c r="G465" s="6"/>
      <c r="K465" s="6"/>
    </row>
    <row r="466" spans="3:11" x14ac:dyDescent="0.25">
      <c r="C466" s="6"/>
      <c r="G466" s="6"/>
      <c r="K466" s="6"/>
    </row>
    <row r="467" spans="3:11" x14ac:dyDescent="0.25">
      <c r="C467" s="6"/>
      <c r="G467" s="6"/>
      <c r="K467" s="6"/>
    </row>
    <row r="468" spans="3:11" x14ac:dyDescent="0.25">
      <c r="C468" s="6"/>
      <c r="G468" s="6"/>
      <c r="K468" s="6"/>
    </row>
    <row r="469" spans="3:11" x14ac:dyDescent="0.25">
      <c r="C469" s="6"/>
      <c r="G469" s="6"/>
      <c r="K469" s="6"/>
    </row>
    <row r="470" spans="3:11" x14ac:dyDescent="0.25">
      <c r="C470" s="6"/>
      <c r="G470" s="6"/>
      <c r="K470" s="6"/>
    </row>
    <row r="471" spans="3:11" x14ac:dyDescent="0.25">
      <c r="C471" s="6"/>
      <c r="G471" s="6"/>
      <c r="K471" s="6"/>
    </row>
    <row r="472" spans="3:11" x14ac:dyDescent="0.25">
      <c r="C472" s="6"/>
      <c r="G472" s="6"/>
      <c r="K472" s="6"/>
    </row>
    <row r="473" spans="3:11" x14ac:dyDescent="0.25">
      <c r="C473" s="6"/>
      <c r="G473" s="6"/>
      <c r="K473" s="6"/>
    </row>
    <row r="474" spans="3:11" x14ac:dyDescent="0.25">
      <c r="C474" s="6"/>
      <c r="G474" s="6"/>
      <c r="K474" s="6"/>
    </row>
    <row r="475" spans="3:11" x14ac:dyDescent="0.25">
      <c r="C475" s="6"/>
      <c r="G475" s="6"/>
      <c r="K475" s="6"/>
    </row>
    <row r="476" spans="3:11" x14ac:dyDescent="0.25">
      <c r="C476" s="6"/>
      <c r="G476" s="6"/>
      <c r="K476" s="6"/>
    </row>
    <row r="477" spans="3:11" x14ac:dyDescent="0.25">
      <c r="C477" s="6"/>
      <c r="G477" s="6"/>
      <c r="K477" s="6"/>
    </row>
    <row r="478" spans="3:11" x14ac:dyDescent="0.25">
      <c r="C478" s="6"/>
      <c r="G478" s="6"/>
      <c r="K478" s="6"/>
    </row>
    <row r="479" spans="3:11" x14ac:dyDescent="0.25">
      <c r="C479" s="6"/>
      <c r="G479" s="6"/>
      <c r="K479" s="6"/>
    </row>
    <row r="480" spans="3:11" x14ac:dyDescent="0.25">
      <c r="C480" s="6"/>
      <c r="G480" s="6"/>
      <c r="K480" s="6"/>
    </row>
    <row r="481" spans="3:11" x14ac:dyDescent="0.25">
      <c r="C481" s="6"/>
      <c r="G481" s="6"/>
      <c r="K481" s="6"/>
    </row>
    <row r="482" spans="3:11" x14ac:dyDescent="0.25">
      <c r="C482" s="6"/>
      <c r="G482" s="6"/>
      <c r="K482" s="6"/>
    </row>
    <row r="483" spans="3:11" x14ac:dyDescent="0.25">
      <c r="C483" s="6"/>
      <c r="G483" s="6"/>
      <c r="K483" s="6"/>
    </row>
    <row r="484" spans="3:11" x14ac:dyDescent="0.25">
      <c r="C484" s="6"/>
      <c r="G484" s="6"/>
      <c r="K484" s="6"/>
    </row>
    <row r="485" spans="3:11" x14ac:dyDescent="0.25">
      <c r="C485" s="6"/>
      <c r="G485" s="6"/>
      <c r="K485" s="6"/>
    </row>
    <row r="486" spans="3:11" x14ac:dyDescent="0.25">
      <c r="C486" s="6"/>
      <c r="G486" s="6"/>
      <c r="K486" s="6"/>
    </row>
    <row r="487" spans="3:11" x14ac:dyDescent="0.25">
      <c r="C487" s="6"/>
      <c r="G487" s="6"/>
      <c r="K487" s="6"/>
    </row>
    <row r="488" spans="3:11" x14ac:dyDescent="0.25">
      <c r="C488" s="6"/>
      <c r="G488" s="6"/>
      <c r="K488" s="6"/>
    </row>
    <row r="489" spans="3:11" x14ac:dyDescent="0.25">
      <c r="C489" s="6"/>
      <c r="G489" s="6"/>
      <c r="K489" s="6"/>
    </row>
    <row r="490" spans="3:11" x14ac:dyDescent="0.25">
      <c r="C490" s="6"/>
      <c r="G490" s="6"/>
      <c r="K490" s="6"/>
    </row>
    <row r="491" spans="3:11" x14ac:dyDescent="0.25">
      <c r="C491" s="6"/>
      <c r="G491" s="6"/>
      <c r="K491" s="6"/>
    </row>
    <row r="492" spans="3:11" x14ac:dyDescent="0.25">
      <c r="C492" s="6"/>
      <c r="G492" s="6"/>
      <c r="K492" s="6"/>
    </row>
    <row r="493" spans="3:11" x14ac:dyDescent="0.25">
      <c r="C493" s="6"/>
      <c r="G493" s="6"/>
      <c r="K493" s="6"/>
    </row>
    <row r="494" spans="3:11" x14ac:dyDescent="0.25">
      <c r="C494" s="6"/>
      <c r="G494" s="6"/>
      <c r="K494" s="6"/>
    </row>
    <row r="495" spans="3:11" x14ac:dyDescent="0.25">
      <c r="C495" s="6"/>
      <c r="G495" s="6"/>
      <c r="K495" s="6"/>
    </row>
    <row r="496" spans="3:11" x14ac:dyDescent="0.25">
      <c r="C496" s="6"/>
      <c r="G496" s="6"/>
      <c r="K496" s="6"/>
    </row>
    <row r="497" spans="3:11" x14ac:dyDescent="0.25">
      <c r="C497" s="6"/>
      <c r="G497" s="6"/>
      <c r="K497" s="6"/>
    </row>
    <row r="498" spans="3:11" x14ac:dyDescent="0.25">
      <c r="C498" s="6"/>
      <c r="G498" s="6"/>
      <c r="K498" s="6"/>
    </row>
    <row r="499" spans="3:11" x14ac:dyDescent="0.25">
      <c r="C499" s="6"/>
      <c r="G499" s="6"/>
      <c r="K499" s="6"/>
    </row>
    <row r="500" spans="3:11" x14ac:dyDescent="0.25">
      <c r="C500" s="6"/>
      <c r="G500" s="6"/>
      <c r="K500" s="6"/>
    </row>
    <row r="501" spans="3:11" x14ac:dyDescent="0.25">
      <c r="C501" s="6"/>
      <c r="G501" s="6"/>
      <c r="K501" s="6"/>
    </row>
    <row r="502" spans="3:11" x14ac:dyDescent="0.25">
      <c r="C502" s="6"/>
      <c r="G502" s="6"/>
      <c r="K502" s="6"/>
    </row>
    <row r="503" spans="3:11" x14ac:dyDescent="0.25">
      <c r="C503" s="6"/>
      <c r="G503" s="6"/>
      <c r="K503" s="6"/>
    </row>
    <row r="504" spans="3:11" x14ac:dyDescent="0.25">
      <c r="C504" s="6"/>
      <c r="G504" s="6"/>
      <c r="K504" s="6"/>
    </row>
    <row r="505" spans="3:11" x14ac:dyDescent="0.25">
      <c r="C505" s="6"/>
      <c r="G505" s="6"/>
      <c r="K505" s="6"/>
    </row>
    <row r="506" spans="3:11" x14ac:dyDescent="0.25">
      <c r="C506" s="6"/>
      <c r="G506" s="6"/>
      <c r="K506" s="6"/>
    </row>
    <row r="507" spans="3:11" x14ac:dyDescent="0.25">
      <c r="C507" s="6"/>
      <c r="G507" s="6"/>
      <c r="K507" s="6"/>
    </row>
    <row r="508" spans="3:11" x14ac:dyDescent="0.25">
      <c r="C508" s="6"/>
      <c r="G508" s="6"/>
      <c r="K508" s="6"/>
    </row>
    <row r="509" spans="3:11" x14ac:dyDescent="0.25">
      <c r="C509" s="6"/>
      <c r="G509" s="6"/>
      <c r="K509" s="6"/>
    </row>
    <row r="510" spans="3:11" x14ac:dyDescent="0.25">
      <c r="C510" s="6"/>
      <c r="G510" s="6"/>
      <c r="K510" s="6"/>
    </row>
    <row r="511" spans="3:11" x14ac:dyDescent="0.25">
      <c r="C511" s="6"/>
      <c r="G511" s="6"/>
      <c r="K511" s="6"/>
    </row>
    <row r="512" spans="3:11" x14ac:dyDescent="0.25">
      <c r="C512" s="6"/>
      <c r="G512" s="6"/>
      <c r="K512" s="6"/>
    </row>
    <row r="513" spans="3:11" x14ac:dyDescent="0.25">
      <c r="C513" s="6"/>
      <c r="G513" s="6"/>
      <c r="K513" s="6"/>
    </row>
    <row r="514" spans="3:11" x14ac:dyDescent="0.25">
      <c r="C514" s="6"/>
      <c r="G514" s="6"/>
      <c r="K514" s="6"/>
    </row>
    <row r="515" spans="3:11" x14ac:dyDescent="0.25">
      <c r="C515" s="6"/>
      <c r="G515" s="6"/>
      <c r="K515" s="6"/>
    </row>
    <row r="516" spans="3:11" x14ac:dyDescent="0.25">
      <c r="C516" s="6"/>
      <c r="G516" s="6"/>
      <c r="K516" s="6"/>
    </row>
    <row r="517" spans="3:11" x14ac:dyDescent="0.25">
      <c r="C517" s="6"/>
      <c r="G517" s="6"/>
      <c r="K517" s="6"/>
    </row>
    <row r="518" spans="3:11" x14ac:dyDescent="0.25">
      <c r="C518" s="6"/>
      <c r="G518" s="6"/>
      <c r="K518" s="6"/>
    </row>
    <row r="519" spans="3:11" x14ac:dyDescent="0.25">
      <c r="C519" s="6"/>
      <c r="G519" s="6"/>
      <c r="K519" s="6"/>
    </row>
    <row r="520" spans="3:11" x14ac:dyDescent="0.25">
      <c r="C520" s="6"/>
      <c r="G520" s="6"/>
      <c r="K520" s="6"/>
    </row>
    <row r="521" spans="3:11" x14ac:dyDescent="0.25">
      <c r="C521" s="6"/>
      <c r="G521" s="6"/>
      <c r="K521" s="6"/>
    </row>
    <row r="522" spans="3:11" x14ac:dyDescent="0.25">
      <c r="C522" s="6"/>
      <c r="G522" s="6"/>
      <c r="K522" s="6"/>
    </row>
    <row r="523" spans="3:11" x14ac:dyDescent="0.25">
      <c r="C523" s="6"/>
      <c r="G523" s="6"/>
      <c r="K523" s="6"/>
    </row>
    <row r="524" spans="3:11" x14ac:dyDescent="0.25">
      <c r="C524" s="6"/>
      <c r="G524" s="6"/>
      <c r="K524" s="6"/>
    </row>
    <row r="525" spans="3:11" x14ac:dyDescent="0.25">
      <c r="C525" s="6"/>
      <c r="G525" s="6"/>
      <c r="K525" s="6"/>
    </row>
    <row r="526" spans="3:11" x14ac:dyDescent="0.25">
      <c r="C526" s="6"/>
      <c r="G526" s="6"/>
      <c r="K526" s="6"/>
    </row>
    <row r="527" spans="3:11" x14ac:dyDescent="0.25">
      <c r="C527" s="6"/>
      <c r="G527" s="6"/>
      <c r="K527" s="6"/>
    </row>
    <row r="528" spans="3:11" x14ac:dyDescent="0.25">
      <c r="C528" s="6"/>
      <c r="G528" s="6"/>
      <c r="K528" s="6"/>
    </row>
    <row r="529" spans="3:11" x14ac:dyDescent="0.25">
      <c r="C529" s="6"/>
      <c r="G529" s="6"/>
      <c r="K529" s="6"/>
    </row>
    <row r="530" spans="3:11" x14ac:dyDescent="0.25">
      <c r="C530" s="6"/>
      <c r="G530" s="6"/>
      <c r="K530" s="6"/>
    </row>
    <row r="531" spans="3:11" x14ac:dyDescent="0.25">
      <c r="C531" s="6"/>
      <c r="G531" s="6"/>
      <c r="K531" s="6"/>
    </row>
    <row r="532" spans="3:11" x14ac:dyDescent="0.25">
      <c r="C532" s="6"/>
      <c r="G532" s="6"/>
      <c r="K532" s="6"/>
    </row>
    <row r="533" spans="3:11" x14ac:dyDescent="0.25">
      <c r="C533" s="6"/>
      <c r="G533" s="6"/>
      <c r="K533" s="6"/>
    </row>
    <row r="534" spans="3:11" x14ac:dyDescent="0.25">
      <c r="C534" s="6"/>
      <c r="G534" s="6"/>
      <c r="K534" s="6"/>
    </row>
    <row r="535" spans="3:11" x14ac:dyDescent="0.25">
      <c r="C535" s="6"/>
      <c r="G535" s="6"/>
      <c r="K535" s="6"/>
    </row>
    <row r="536" spans="3:11" x14ac:dyDescent="0.25">
      <c r="C536" s="6"/>
      <c r="G536" s="6"/>
      <c r="K536" s="6"/>
    </row>
    <row r="537" spans="3:11" x14ac:dyDescent="0.25">
      <c r="C537" s="6"/>
      <c r="G537" s="6"/>
      <c r="K537" s="6"/>
    </row>
    <row r="538" spans="3:11" x14ac:dyDescent="0.25">
      <c r="C538" s="6"/>
      <c r="G538" s="6"/>
      <c r="K538" s="6"/>
    </row>
    <row r="539" spans="3:11" x14ac:dyDescent="0.25">
      <c r="C539" s="6"/>
      <c r="G539" s="6"/>
      <c r="K539" s="6"/>
    </row>
    <row r="540" spans="3:11" x14ac:dyDescent="0.25">
      <c r="C540" s="6"/>
      <c r="G540" s="6"/>
      <c r="K540" s="6"/>
    </row>
    <row r="541" spans="3:11" x14ac:dyDescent="0.25">
      <c r="C541" s="6"/>
      <c r="G541" s="6"/>
      <c r="K541" s="6"/>
    </row>
    <row r="542" spans="3:11" x14ac:dyDescent="0.25">
      <c r="C542" s="6"/>
      <c r="G542" s="6"/>
      <c r="K542" s="6"/>
    </row>
    <row r="543" spans="3:11" x14ac:dyDescent="0.25">
      <c r="C543" s="6"/>
      <c r="G543" s="6"/>
      <c r="K543" s="6"/>
    </row>
    <row r="544" spans="3:11" x14ac:dyDescent="0.25">
      <c r="C544" s="6"/>
      <c r="G544" s="6"/>
      <c r="K544" s="6"/>
    </row>
    <row r="545" spans="3:11" x14ac:dyDescent="0.25">
      <c r="C545" s="6"/>
      <c r="G545" s="6"/>
      <c r="K545" s="6"/>
    </row>
    <row r="546" spans="3:11" x14ac:dyDescent="0.25">
      <c r="C546" s="6"/>
      <c r="G546" s="6"/>
      <c r="K546" s="6"/>
    </row>
    <row r="547" spans="3:11" x14ac:dyDescent="0.25">
      <c r="C547" s="6"/>
      <c r="G547" s="6"/>
      <c r="K547" s="6"/>
    </row>
    <row r="548" spans="3:11" x14ac:dyDescent="0.25">
      <c r="C548" s="6"/>
      <c r="G548" s="6"/>
      <c r="K548" s="6"/>
    </row>
    <row r="549" spans="3:11" x14ac:dyDescent="0.25">
      <c r="C549" s="6"/>
      <c r="G549" s="6"/>
      <c r="K549" s="6"/>
    </row>
    <row r="550" spans="3:11" x14ac:dyDescent="0.25">
      <c r="C550" s="6"/>
      <c r="G550" s="6"/>
      <c r="K550" s="6"/>
    </row>
    <row r="551" spans="3:11" x14ac:dyDescent="0.25">
      <c r="C551" s="6"/>
      <c r="G551" s="6"/>
      <c r="K551" s="6"/>
    </row>
    <row r="552" spans="3:11" x14ac:dyDescent="0.25">
      <c r="C552" s="6"/>
      <c r="G552" s="6"/>
      <c r="K552" s="6"/>
    </row>
    <row r="553" spans="3:11" x14ac:dyDescent="0.25">
      <c r="C553" s="6"/>
      <c r="G553" s="6"/>
      <c r="K553" s="6"/>
    </row>
    <row r="554" spans="3:11" x14ac:dyDescent="0.25">
      <c r="C554" s="6"/>
      <c r="G554" s="6"/>
      <c r="K554" s="6"/>
    </row>
    <row r="555" spans="3:11" x14ac:dyDescent="0.25">
      <c r="C555" s="6"/>
      <c r="G555" s="6"/>
      <c r="K555" s="6"/>
    </row>
    <row r="556" spans="3:11" x14ac:dyDescent="0.25">
      <c r="C556" s="6"/>
      <c r="G556" s="6"/>
      <c r="K556" s="6"/>
    </row>
    <row r="557" spans="3:11" x14ac:dyDescent="0.25">
      <c r="C557" s="6"/>
      <c r="G557" s="6"/>
      <c r="K557" s="6"/>
    </row>
    <row r="558" spans="3:11" x14ac:dyDescent="0.25">
      <c r="C558" s="6"/>
      <c r="G558" s="6"/>
      <c r="K558" s="6"/>
    </row>
    <row r="559" spans="3:11" x14ac:dyDescent="0.25">
      <c r="C559" s="6"/>
      <c r="G559" s="6"/>
      <c r="K559" s="6"/>
    </row>
    <row r="560" spans="3:11" x14ac:dyDescent="0.25">
      <c r="C560" s="6"/>
      <c r="G560" s="6"/>
      <c r="K560" s="6"/>
    </row>
    <row r="561" spans="3:11" x14ac:dyDescent="0.25">
      <c r="C561" s="6"/>
      <c r="G561" s="6"/>
      <c r="K561" s="6"/>
    </row>
    <row r="562" spans="3:11" x14ac:dyDescent="0.25">
      <c r="C562" s="6"/>
      <c r="G562" s="6"/>
      <c r="K562" s="6"/>
    </row>
    <row r="563" spans="3:11" x14ac:dyDescent="0.25">
      <c r="C563" s="6"/>
      <c r="G563" s="6"/>
      <c r="K563" s="6"/>
    </row>
    <row r="564" spans="3:11" x14ac:dyDescent="0.25">
      <c r="C564" s="6"/>
      <c r="G564" s="6"/>
      <c r="K564" s="6"/>
    </row>
    <row r="565" spans="3:11" x14ac:dyDescent="0.25">
      <c r="C565" s="6"/>
      <c r="G565" s="6"/>
      <c r="K565" s="6"/>
    </row>
    <row r="566" spans="3:11" x14ac:dyDescent="0.25">
      <c r="C566" s="6"/>
      <c r="G566" s="6"/>
      <c r="K566" s="6"/>
    </row>
    <row r="567" spans="3:11" x14ac:dyDescent="0.25">
      <c r="C567" s="6"/>
      <c r="G567" s="6"/>
      <c r="K567" s="6"/>
    </row>
    <row r="568" spans="3:11" x14ac:dyDescent="0.25">
      <c r="C568" s="6"/>
      <c r="G568" s="6"/>
      <c r="K568" s="6"/>
    </row>
    <row r="569" spans="3:11" x14ac:dyDescent="0.25">
      <c r="C569" s="6"/>
      <c r="G569" s="6"/>
      <c r="K569" s="6"/>
    </row>
    <row r="570" spans="3:11" x14ac:dyDescent="0.25">
      <c r="C570" s="6"/>
      <c r="G570" s="6"/>
      <c r="K570" s="6"/>
    </row>
    <row r="571" spans="3:11" x14ac:dyDescent="0.25">
      <c r="C571" s="6"/>
      <c r="G571" s="6"/>
      <c r="K571" s="6"/>
    </row>
    <row r="572" spans="3:11" x14ac:dyDescent="0.25">
      <c r="C572" s="6"/>
      <c r="G572" s="6"/>
      <c r="K572" s="6"/>
    </row>
    <row r="573" spans="3:11" x14ac:dyDescent="0.25">
      <c r="C573" s="6"/>
      <c r="G573" s="6"/>
      <c r="K573" s="6"/>
    </row>
    <row r="574" spans="3:11" x14ac:dyDescent="0.25">
      <c r="C574" s="6"/>
      <c r="G574" s="6"/>
      <c r="K574" s="6"/>
    </row>
    <row r="575" spans="3:11" x14ac:dyDescent="0.25">
      <c r="C575" s="6"/>
      <c r="G575" s="6"/>
      <c r="K575" s="6"/>
    </row>
    <row r="576" spans="3:11" x14ac:dyDescent="0.25">
      <c r="C576" s="6"/>
      <c r="G576" s="6"/>
      <c r="K576" s="6"/>
    </row>
    <row r="577" spans="3:11" x14ac:dyDescent="0.25">
      <c r="C577" s="6"/>
      <c r="G577" s="6"/>
      <c r="K577" s="6"/>
    </row>
    <row r="578" spans="3:11" x14ac:dyDescent="0.25">
      <c r="C578" s="6"/>
      <c r="G578" s="6"/>
      <c r="K578" s="6"/>
    </row>
    <row r="579" spans="3:11" x14ac:dyDescent="0.25">
      <c r="C579" s="6"/>
      <c r="G579" s="6"/>
      <c r="K579" s="6"/>
    </row>
    <row r="580" spans="3:11" x14ac:dyDescent="0.25">
      <c r="C580" s="6"/>
      <c r="G580" s="6"/>
      <c r="K580" s="6"/>
    </row>
    <row r="581" spans="3:11" x14ac:dyDescent="0.25">
      <c r="C581" s="6"/>
      <c r="G581" s="6"/>
      <c r="K581" s="6"/>
    </row>
    <row r="582" spans="3:11" x14ac:dyDescent="0.25">
      <c r="C582" s="6"/>
      <c r="G582" s="6"/>
      <c r="K582" s="6"/>
    </row>
    <row r="583" spans="3:11" x14ac:dyDescent="0.25">
      <c r="C583" s="6"/>
      <c r="G583" s="6"/>
      <c r="K583" s="6"/>
    </row>
    <row r="584" spans="3:11" x14ac:dyDescent="0.25">
      <c r="C584" s="6"/>
      <c r="G584" s="6"/>
      <c r="K584" s="6"/>
    </row>
    <row r="585" spans="3:11" x14ac:dyDescent="0.25">
      <c r="C585" s="6"/>
      <c r="G585" s="6"/>
      <c r="K585" s="6"/>
    </row>
    <row r="586" spans="3:11" x14ac:dyDescent="0.25">
      <c r="C586" s="6"/>
      <c r="G586" s="6"/>
      <c r="K586" s="6"/>
    </row>
    <row r="587" spans="3:11" x14ac:dyDescent="0.25">
      <c r="C587" s="6"/>
      <c r="G587" s="6"/>
      <c r="K587" s="6"/>
    </row>
    <row r="588" spans="3:11" x14ac:dyDescent="0.25">
      <c r="C588" s="6"/>
      <c r="G588" s="6"/>
      <c r="K588" s="6"/>
    </row>
    <row r="589" spans="3:11" x14ac:dyDescent="0.25">
      <c r="C589" s="6"/>
      <c r="G589" s="6"/>
      <c r="K589" s="6"/>
    </row>
    <row r="590" spans="3:11" x14ac:dyDescent="0.25">
      <c r="C590" s="6"/>
      <c r="G590" s="6"/>
      <c r="K590" s="6"/>
    </row>
    <row r="591" spans="3:11" x14ac:dyDescent="0.25">
      <c r="C591" s="6"/>
      <c r="G591" s="6"/>
      <c r="K591" s="6"/>
    </row>
    <row r="592" spans="3:11" x14ac:dyDescent="0.25">
      <c r="C592" s="6"/>
      <c r="G592" s="6"/>
      <c r="K592" s="6"/>
    </row>
    <row r="593" spans="3:11" x14ac:dyDescent="0.25">
      <c r="C593" s="6"/>
      <c r="G593" s="6"/>
      <c r="K593" s="6"/>
    </row>
    <row r="594" spans="3:11" x14ac:dyDescent="0.25">
      <c r="C594" s="6"/>
      <c r="G594" s="6"/>
      <c r="K594" s="6"/>
    </row>
    <row r="595" spans="3:11" x14ac:dyDescent="0.25">
      <c r="C595" s="6"/>
      <c r="G595" s="6"/>
      <c r="K595" s="6"/>
    </row>
    <row r="596" spans="3:11" x14ac:dyDescent="0.25">
      <c r="C596" s="6"/>
      <c r="G596" s="6"/>
      <c r="K596" s="6"/>
    </row>
    <row r="597" spans="3:11" x14ac:dyDescent="0.25">
      <c r="C597" s="6"/>
      <c r="G597" s="6"/>
      <c r="K597" s="6"/>
    </row>
    <row r="598" spans="3:11" x14ac:dyDescent="0.25">
      <c r="C598" s="6"/>
      <c r="G598" s="6"/>
      <c r="K598" s="6"/>
    </row>
    <row r="599" spans="3:11" x14ac:dyDescent="0.25">
      <c r="C599" s="6"/>
      <c r="G599" s="6"/>
      <c r="K599" s="6"/>
    </row>
    <row r="600" spans="3:11" x14ac:dyDescent="0.25">
      <c r="C600" s="6"/>
      <c r="G600" s="6"/>
      <c r="K600" s="6"/>
    </row>
    <row r="601" spans="3:11" x14ac:dyDescent="0.25">
      <c r="C601" s="6"/>
      <c r="G601" s="6"/>
      <c r="K601" s="6"/>
    </row>
    <row r="602" spans="3:11" x14ac:dyDescent="0.25">
      <c r="C602" s="6"/>
      <c r="G602" s="6"/>
      <c r="K602" s="6"/>
    </row>
    <row r="603" spans="3:11" x14ac:dyDescent="0.25">
      <c r="C603" s="6"/>
      <c r="G603" s="6"/>
      <c r="K603" s="6"/>
    </row>
    <row r="604" spans="3:11" x14ac:dyDescent="0.25">
      <c r="C604" s="6"/>
      <c r="G604" s="6"/>
      <c r="K604" s="6"/>
    </row>
    <row r="605" spans="3:11" x14ac:dyDescent="0.25">
      <c r="C605" s="6"/>
      <c r="G605" s="6"/>
      <c r="K605" s="6"/>
    </row>
    <row r="606" spans="3:11" x14ac:dyDescent="0.25">
      <c r="C606" s="6"/>
      <c r="G606" s="6"/>
      <c r="K606" s="6"/>
    </row>
    <row r="607" spans="3:11" x14ac:dyDescent="0.25">
      <c r="C607" s="6"/>
      <c r="G607" s="6"/>
      <c r="K607" s="6"/>
    </row>
    <row r="608" spans="3:11" x14ac:dyDescent="0.25">
      <c r="C608" s="6"/>
      <c r="G608" s="6"/>
      <c r="K608" s="6"/>
    </row>
    <row r="609" spans="3:11" x14ac:dyDescent="0.25">
      <c r="C609" s="6"/>
      <c r="G609" s="6"/>
      <c r="K609" s="6"/>
    </row>
    <row r="610" spans="3:11" x14ac:dyDescent="0.25">
      <c r="C610" s="6"/>
      <c r="G610" s="6"/>
      <c r="K610" s="6"/>
    </row>
    <row r="611" spans="3:11" x14ac:dyDescent="0.25">
      <c r="C611" s="6"/>
      <c r="G611" s="6"/>
      <c r="K611" s="6"/>
    </row>
    <row r="612" spans="3:11" x14ac:dyDescent="0.25">
      <c r="C612" s="6"/>
      <c r="G612" s="6"/>
      <c r="K612" s="6"/>
    </row>
    <row r="613" spans="3:11" x14ac:dyDescent="0.25">
      <c r="C613" s="6"/>
      <c r="G613" s="6"/>
      <c r="K613" s="6"/>
    </row>
    <row r="614" spans="3:11" x14ac:dyDescent="0.25">
      <c r="C614" s="6"/>
      <c r="G614" s="6"/>
      <c r="K614" s="6"/>
    </row>
    <row r="615" spans="3:11" x14ac:dyDescent="0.25">
      <c r="C615" s="6"/>
      <c r="G615" s="6"/>
      <c r="K615" s="6"/>
    </row>
    <row r="616" spans="3:11" x14ac:dyDescent="0.25">
      <c r="C616" s="6"/>
      <c r="G616" s="6"/>
      <c r="K616" s="6"/>
    </row>
    <row r="617" spans="3:11" x14ac:dyDescent="0.25">
      <c r="C617" s="6"/>
      <c r="G617" s="6"/>
      <c r="K617" s="6"/>
    </row>
    <row r="618" spans="3:11" x14ac:dyDescent="0.25">
      <c r="C618" s="6"/>
      <c r="G618" s="6"/>
      <c r="K618" s="6"/>
    </row>
    <row r="619" spans="3:11" x14ac:dyDescent="0.25">
      <c r="C619" s="6"/>
      <c r="G619" s="6"/>
      <c r="K619" s="6"/>
    </row>
    <row r="620" spans="3:11" x14ac:dyDescent="0.25">
      <c r="C620" s="6"/>
      <c r="G620" s="6"/>
      <c r="K620" s="6"/>
    </row>
    <row r="621" spans="3:11" x14ac:dyDescent="0.25">
      <c r="C621" s="6"/>
      <c r="G621" s="6"/>
      <c r="K621" s="6"/>
    </row>
    <row r="622" spans="3:11" x14ac:dyDescent="0.25">
      <c r="C622" s="6"/>
      <c r="G622" s="6"/>
      <c r="K622" s="6"/>
    </row>
    <row r="623" spans="3:11" x14ac:dyDescent="0.25">
      <c r="C623" s="6"/>
      <c r="G623" s="6"/>
      <c r="K623" s="6"/>
    </row>
    <row r="624" spans="3:11" x14ac:dyDescent="0.25">
      <c r="C624" s="6"/>
      <c r="G624" s="6"/>
      <c r="K624" s="6"/>
    </row>
    <row r="625" spans="3:11" x14ac:dyDescent="0.25">
      <c r="C625" s="6"/>
      <c r="G625" s="6"/>
      <c r="K625" s="6"/>
    </row>
    <row r="626" spans="3:11" x14ac:dyDescent="0.25">
      <c r="C626" s="6"/>
      <c r="G626" s="6"/>
      <c r="K626" s="6"/>
    </row>
    <row r="627" spans="3:11" x14ac:dyDescent="0.25">
      <c r="C627" s="6"/>
      <c r="G627" s="6"/>
      <c r="K627" s="6"/>
    </row>
    <row r="628" spans="3:11" x14ac:dyDescent="0.25">
      <c r="C628" s="6"/>
      <c r="G628" s="6"/>
      <c r="K628" s="6"/>
    </row>
    <row r="629" spans="3:11" x14ac:dyDescent="0.25">
      <c r="C629" s="6"/>
      <c r="G629" s="6"/>
      <c r="K629" s="6"/>
    </row>
    <row r="630" spans="3:11" x14ac:dyDescent="0.25">
      <c r="C630" s="6"/>
      <c r="G630" s="6"/>
      <c r="K630" s="6"/>
    </row>
    <row r="631" spans="3:11" x14ac:dyDescent="0.25">
      <c r="C631" s="6"/>
      <c r="G631" s="6"/>
      <c r="K631" s="6"/>
    </row>
    <row r="632" spans="3:11" x14ac:dyDescent="0.25">
      <c r="C632" s="6"/>
      <c r="G632" s="6"/>
      <c r="K632" s="6"/>
    </row>
    <row r="633" spans="3:11" x14ac:dyDescent="0.25">
      <c r="C633" s="6"/>
      <c r="G633" s="6"/>
      <c r="K633" s="6"/>
    </row>
    <row r="634" spans="3:11" x14ac:dyDescent="0.25">
      <c r="C634" s="6"/>
      <c r="G634" s="6"/>
      <c r="K634" s="6"/>
    </row>
    <row r="635" spans="3:11" x14ac:dyDescent="0.25">
      <c r="C635" s="6"/>
      <c r="G635" s="6"/>
      <c r="K635" s="6"/>
    </row>
    <row r="636" spans="3:11" x14ac:dyDescent="0.25">
      <c r="C636" s="6"/>
      <c r="G636" s="6"/>
      <c r="K636" s="6"/>
    </row>
    <row r="637" spans="3:11" x14ac:dyDescent="0.25">
      <c r="C637" s="6"/>
      <c r="G637" s="6"/>
      <c r="K637" s="6"/>
    </row>
    <row r="638" spans="3:11" x14ac:dyDescent="0.25">
      <c r="C638" s="6"/>
      <c r="G638" s="6"/>
      <c r="K638" s="6"/>
    </row>
    <row r="639" spans="3:11" x14ac:dyDescent="0.25">
      <c r="C639" s="6"/>
      <c r="G639" s="6"/>
      <c r="K639" s="6"/>
    </row>
    <row r="640" spans="3:11" x14ac:dyDescent="0.25">
      <c r="C640" s="6"/>
      <c r="G640" s="6"/>
      <c r="K640" s="6"/>
    </row>
    <row r="641" spans="3:11" x14ac:dyDescent="0.25">
      <c r="C641" s="6"/>
      <c r="G641" s="6"/>
      <c r="K641" s="6"/>
    </row>
    <row r="642" spans="3:11" x14ac:dyDescent="0.25">
      <c r="C642" s="6"/>
      <c r="G642" s="6"/>
      <c r="K642" s="6"/>
    </row>
    <row r="643" spans="3:11" x14ac:dyDescent="0.25">
      <c r="C643" s="6"/>
      <c r="G643" s="6"/>
      <c r="K643" s="6"/>
    </row>
    <row r="644" spans="3:11" x14ac:dyDescent="0.25">
      <c r="C644" s="6"/>
      <c r="G644" s="6"/>
      <c r="K644" s="6"/>
    </row>
    <row r="645" spans="3:11" x14ac:dyDescent="0.25">
      <c r="C645" s="6"/>
      <c r="G645" s="6"/>
      <c r="K645" s="6"/>
    </row>
    <row r="646" spans="3:11" x14ac:dyDescent="0.25">
      <c r="C646" s="6"/>
      <c r="G646" s="6"/>
      <c r="K646" s="6"/>
    </row>
    <row r="647" spans="3:11" x14ac:dyDescent="0.25">
      <c r="C647" s="6"/>
      <c r="G647" s="6"/>
      <c r="K647" s="6"/>
    </row>
    <row r="648" spans="3:11" x14ac:dyDescent="0.25">
      <c r="C648" s="6"/>
      <c r="G648" s="6"/>
      <c r="K648" s="6"/>
    </row>
    <row r="649" spans="3:11" x14ac:dyDescent="0.25">
      <c r="C649" s="6"/>
      <c r="G649" s="6"/>
      <c r="K649" s="6"/>
    </row>
    <row r="650" spans="3:11" x14ac:dyDescent="0.25">
      <c r="C650" s="6"/>
      <c r="G650" s="6"/>
      <c r="K650" s="6"/>
    </row>
    <row r="651" spans="3:11" x14ac:dyDescent="0.25">
      <c r="C651" s="6"/>
      <c r="G651" s="6"/>
      <c r="K651" s="6"/>
    </row>
    <row r="652" spans="3:11" x14ac:dyDescent="0.25">
      <c r="C652" s="6"/>
      <c r="G652" s="6"/>
      <c r="K652" s="6"/>
    </row>
    <row r="653" spans="3:11" x14ac:dyDescent="0.25">
      <c r="C653" s="6"/>
      <c r="G653" s="6"/>
      <c r="K653" s="6"/>
    </row>
    <row r="654" spans="3:11" x14ac:dyDescent="0.25">
      <c r="C654" s="6"/>
      <c r="G654" s="6"/>
      <c r="K654" s="6"/>
    </row>
    <row r="655" spans="3:11" x14ac:dyDescent="0.25">
      <c r="C655" s="6"/>
      <c r="G655" s="6"/>
      <c r="K655" s="6"/>
    </row>
    <row r="656" spans="3:11" x14ac:dyDescent="0.25">
      <c r="C656" s="6"/>
      <c r="G656" s="6"/>
      <c r="K656" s="6"/>
    </row>
    <row r="657" spans="3:11" x14ac:dyDescent="0.25">
      <c r="C657" s="6"/>
      <c r="G657" s="6"/>
      <c r="K657" s="6"/>
    </row>
    <row r="658" spans="3:11" x14ac:dyDescent="0.25">
      <c r="C658" s="6"/>
      <c r="G658" s="6"/>
      <c r="K658" s="6"/>
    </row>
    <row r="659" spans="3:11" x14ac:dyDescent="0.25">
      <c r="C659" s="6"/>
      <c r="G659" s="6"/>
      <c r="K659" s="6"/>
    </row>
    <row r="660" spans="3:11" x14ac:dyDescent="0.25">
      <c r="C660" s="6"/>
      <c r="G660" s="6"/>
      <c r="K660" s="6"/>
    </row>
    <row r="661" spans="3:11" x14ac:dyDescent="0.25">
      <c r="C661" s="6"/>
      <c r="G661" s="6"/>
      <c r="K661" s="6"/>
    </row>
    <row r="662" spans="3:11" x14ac:dyDescent="0.25">
      <c r="C662" s="6"/>
      <c r="G662" s="6"/>
      <c r="K662" s="6"/>
    </row>
    <row r="663" spans="3:11" x14ac:dyDescent="0.25">
      <c r="C663" s="6"/>
      <c r="G663" s="6"/>
      <c r="K663" s="6"/>
    </row>
    <row r="664" spans="3:11" x14ac:dyDescent="0.25">
      <c r="C664" s="6"/>
      <c r="G664" s="6"/>
      <c r="K664" s="6"/>
    </row>
    <row r="665" spans="3:11" x14ac:dyDescent="0.25">
      <c r="C665" s="6"/>
      <c r="G665" s="6"/>
      <c r="K665" s="6"/>
    </row>
    <row r="666" spans="3:11" x14ac:dyDescent="0.25">
      <c r="C666" s="6"/>
      <c r="G666" s="6"/>
      <c r="K666" s="6"/>
    </row>
    <row r="667" spans="3:11" x14ac:dyDescent="0.25">
      <c r="C667" s="6"/>
      <c r="G667" s="6"/>
      <c r="K667" s="6"/>
    </row>
    <row r="668" spans="3:11" x14ac:dyDescent="0.25">
      <c r="C668" s="6"/>
      <c r="G668" s="6"/>
      <c r="K668" s="6"/>
    </row>
    <row r="669" spans="3:11" x14ac:dyDescent="0.25">
      <c r="C669" s="6"/>
      <c r="G669" s="6"/>
      <c r="K669" s="6"/>
    </row>
    <row r="670" spans="3:11" x14ac:dyDescent="0.25">
      <c r="C670" s="6"/>
      <c r="G670" s="6"/>
      <c r="K670" s="6"/>
    </row>
    <row r="671" spans="3:11" x14ac:dyDescent="0.25">
      <c r="C671" s="6"/>
      <c r="G671" s="6"/>
      <c r="K671" s="6"/>
    </row>
    <row r="672" spans="3:11" x14ac:dyDescent="0.25">
      <c r="C672" s="6"/>
      <c r="G672" s="6"/>
      <c r="K672" s="6"/>
    </row>
    <row r="673" spans="3:11" x14ac:dyDescent="0.25">
      <c r="C673" s="6"/>
      <c r="G673" s="6"/>
      <c r="K673" s="6"/>
    </row>
    <row r="674" spans="3:11" x14ac:dyDescent="0.25">
      <c r="C674" s="6"/>
      <c r="G674" s="6"/>
      <c r="K674" s="6"/>
    </row>
    <row r="675" spans="3:11" x14ac:dyDescent="0.25">
      <c r="C675" s="6"/>
      <c r="G675" s="6"/>
      <c r="K675" s="6"/>
    </row>
    <row r="676" spans="3:11" x14ac:dyDescent="0.25">
      <c r="C676" s="6"/>
      <c r="G676" s="6"/>
      <c r="K676" s="6"/>
    </row>
    <row r="677" spans="3:11" x14ac:dyDescent="0.25">
      <c r="C677" s="6"/>
      <c r="G677" s="6"/>
      <c r="K677" s="6"/>
    </row>
    <row r="678" spans="3:11" x14ac:dyDescent="0.25">
      <c r="C678" s="6"/>
      <c r="G678" s="6"/>
      <c r="K678" s="6"/>
    </row>
    <row r="679" spans="3:11" x14ac:dyDescent="0.25">
      <c r="C679" s="6"/>
      <c r="G679" s="6"/>
      <c r="K679" s="6"/>
    </row>
    <row r="680" spans="3:11" x14ac:dyDescent="0.25">
      <c r="C680" s="6"/>
      <c r="G680" s="6"/>
      <c r="K680" s="6"/>
    </row>
    <row r="681" spans="3:11" x14ac:dyDescent="0.25">
      <c r="C681" s="6"/>
      <c r="G681" s="6"/>
      <c r="K681" s="6"/>
    </row>
    <row r="682" spans="3:11" x14ac:dyDescent="0.25">
      <c r="C682" s="6"/>
      <c r="G682" s="6"/>
      <c r="K682" s="6"/>
    </row>
    <row r="683" spans="3:11" x14ac:dyDescent="0.25">
      <c r="C683" s="6"/>
      <c r="G683" s="6"/>
      <c r="K683" s="6"/>
    </row>
    <row r="684" spans="3:11" x14ac:dyDescent="0.25">
      <c r="C684" s="6"/>
      <c r="G684" s="6"/>
      <c r="K684" s="6"/>
    </row>
    <row r="685" spans="3:11" x14ac:dyDescent="0.25">
      <c r="C685" s="6"/>
      <c r="G685" s="6"/>
      <c r="K685" s="6"/>
    </row>
    <row r="686" spans="3:11" x14ac:dyDescent="0.25">
      <c r="C686" s="6"/>
      <c r="G686" s="6"/>
      <c r="K686" s="6"/>
    </row>
    <row r="687" spans="3:11" x14ac:dyDescent="0.25">
      <c r="C687" s="6"/>
      <c r="G687" s="6"/>
      <c r="K687" s="6"/>
    </row>
    <row r="688" spans="3:11" x14ac:dyDescent="0.25">
      <c r="C688" s="6"/>
      <c r="G688" s="6"/>
      <c r="K688" s="6"/>
    </row>
    <row r="689" spans="3:11" x14ac:dyDescent="0.25">
      <c r="C689" s="6"/>
      <c r="G689" s="6"/>
      <c r="K689" s="6"/>
    </row>
    <row r="690" spans="3:11" x14ac:dyDescent="0.25">
      <c r="C690" s="6"/>
      <c r="G690" s="6"/>
      <c r="K690" s="6"/>
    </row>
    <row r="691" spans="3:11" x14ac:dyDescent="0.25">
      <c r="C691" s="6"/>
      <c r="G691" s="6"/>
      <c r="K691" s="6"/>
    </row>
    <row r="692" spans="3:11" x14ac:dyDescent="0.25">
      <c r="C692" s="6"/>
      <c r="G692" s="6"/>
      <c r="K692" s="6"/>
    </row>
    <row r="693" spans="3:11" x14ac:dyDescent="0.25">
      <c r="C693" s="6"/>
      <c r="G693" s="6"/>
      <c r="K693" s="6"/>
    </row>
    <row r="694" spans="3:11" x14ac:dyDescent="0.25">
      <c r="C694" s="6"/>
      <c r="G694" s="6"/>
      <c r="K694" s="6"/>
    </row>
    <row r="695" spans="3:11" x14ac:dyDescent="0.25">
      <c r="C695" s="6"/>
      <c r="G695" s="6"/>
      <c r="K695" s="6"/>
    </row>
    <row r="696" spans="3:11" x14ac:dyDescent="0.25">
      <c r="C696" s="6"/>
      <c r="G696" s="6"/>
      <c r="K696" s="6"/>
    </row>
    <row r="697" spans="3:11" x14ac:dyDescent="0.25">
      <c r="C697" s="6"/>
      <c r="G697" s="6"/>
      <c r="K697" s="6"/>
    </row>
    <row r="698" spans="3:11" x14ac:dyDescent="0.25">
      <c r="C698" s="6"/>
      <c r="G698" s="6"/>
      <c r="K698" s="6"/>
    </row>
    <row r="699" spans="3:11" x14ac:dyDescent="0.25">
      <c r="C699" s="6"/>
      <c r="G699" s="6"/>
      <c r="K699" s="6"/>
    </row>
    <row r="700" spans="3:11" x14ac:dyDescent="0.25">
      <c r="C700" s="6"/>
      <c r="G700" s="6"/>
      <c r="K700" s="6"/>
    </row>
    <row r="701" spans="3:11" x14ac:dyDescent="0.25">
      <c r="C701" s="6"/>
      <c r="G701" s="6"/>
      <c r="K701" s="6"/>
    </row>
    <row r="702" spans="3:11" x14ac:dyDescent="0.25">
      <c r="C702" s="6"/>
      <c r="G702" s="6"/>
      <c r="K702" s="6"/>
    </row>
    <row r="703" spans="3:11" x14ac:dyDescent="0.25">
      <c r="C703" s="6"/>
      <c r="G703" s="6"/>
      <c r="K703" s="6"/>
    </row>
    <row r="704" spans="3:11" x14ac:dyDescent="0.25">
      <c r="C704" s="6"/>
      <c r="G704" s="6"/>
      <c r="K704" s="6"/>
    </row>
    <row r="705" spans="3:11" x14ac:dyDescent="0.25">
      <c r="C705" s="6"/>
      <c r="G705" s="6"/>
      <c r="K705" s="6"/>
    </row>
    <row r="706" spans="3:11" x14ac:dyDescent="0.25">
      <c r="C706" s="6"/>
      <c r="G706" s="6"/>
      <c r="K706" s="6"/>
    </row>
    <row r="707" spans="3:11" x14ac:dyDescent="0.25">
      <c r="C707" s="6"/>
      <c r="G707" s="6"/>
      <c r="K707" s="6"/>
    </row>
    <row r="708" spans="3:11" x14ac:dyDescent="0.25">
      <c r="C708" s="6"/>
      <c r="G708" s="6"/>
      <c r="K708" s="6"/>
    </row>
    <row r="709" spans="3:11" x14ac:dyDescent="0.25">
      <c r="C709" s="6"/>
      <c r="G709" s="6"/>
      <c r="K709" s="6"/>
    </row>
    <row r="710" spans="3:11" x14ac:dyDescent="0.25">
      <c r="C710" s="6"/>
      <c r="G710" s="6"/>
      <c r="K710" s="6"/>
    </row>
    <row r="711" spans="3:11" x14ac:dyDescent="0.25">
      <c r="C711" s="6"/>
      <c r="G711" s="6"/>
      <c r="K711" s="6"/>
    </row>
    <row r="712" spans="3:11" x14ac:dyDescent="0.25">
      <c r="C712" s="6"/>
      <c r="G712" s="6"/>
      <c r="K712" s="6"/>
    </row>
    <row r="713" spans="3:11" x14ac:dyDescent="0.25">
      <c r="C713" s="6"/>
      <c r="G713" s="6"/>
      <c r="K713" s="6"/>
    </row>
    <row r="714" spans="3:11" x14ac:dyDescent="0.25">
      <c r="C714" s="6"/>
      <c r="G714" s="6"/>
      <c r="K714" s="6"/>
    </row>
    <row r="715" spans="3:11" x14ac:dyDescent="0.25">
      <c r="C715" s="6"/>
      <c r="G715" s="6"/>
      <c r="K715" s="6"/>
    </row>
    <row r="716" spans="3:11" x14ac:dyDescent="0.25">
      <c r="C716" s="6"/>
      <c r="G716" s="6"/>
      <c r="K716" s="6"/>
    </row>
    <row r="717" spans="3:11" x14ac:dyDescent="0.25">
      <c r="C717" s="6"/>
      <c r="G717" s="6"/>
      <c r="K717" s="6"/>
    </row>
    <row r="718" spans="3:11" x14ac:dyDescent="0.25">
      <c r="C718" s="6"/>
      <c r="G718" s="6"/>
      <c r="K718" s="6"/>
    </row>
    <row r="719" spans="3:11" x14ac:dyDescent="0.25">
      <c r="C719" s="6"/>
      <c r="G719" s="6"/>
      <c r="K719" s="6"/>
    </row>
    <row r="720" spans="3:11" x14ac:dyDescent="0.25">
      <c r="C720" s="6"/>
      <c r="G720" s="6"/>
      <c r="K720" s="6"/>
    </row>
    <row r="721" spans="3:11" x14ac:dyDescent="0.25">
      <c r="C721" s="6"/>
      <c r="G721" s="6"/>
      <c r="K721" s="6"/>
    </row>
    <row r="722" spans="3:11" x14ac:dyDescent="0.25">
      <c r="C722" s="6"/>
      <c r="G722" s="6"/>
      <c r="K722" s="6"/>
    </row>
    <row r="723" spans="3:11" x14ac:dyDescent="0.25">
      <c r="C723" s="6"/>
      <c r="G723" s="6"/>
      <c r="K723" s="6"/>
    </row>
    <row r="724" spans="3:11" x14ac:dyDescent="0.25">
      <c r="C724" s="6"/>
      <c r="G724" s="6"/>
      <c r="K724" s="6"/>
    </row>
    <row r="725" spans="3:11" x14ac:dyDescent="0.25">
      <c r="C725" s="6"/>
      <c r="G725" s="6"/>
      <c r="K725" s="6"/>
    </row>
    <row r="726" spans="3:11" x14ac:dyDescent="0.25">
      <c r="C726" s="6"/>
      <c r="G726" s="6"/>
      <c r="K726" s="6"/>
    </row>
    <row r="727" spans="3:11" x14ac:dyDescent="0.25">
      <c r="C727" s="6"/>
      <c r="G727" s="6"/>
      <c r="K727" s="6"/>
    </row>
    <row r="728" spans="3:11" x14ac:dyDescent="0.25">
      <c r="C728" s="6"/>
      <c r="G728" s="6"/>
      <c r="K728" s="6"/>
    </row>
    <row r="729" spans="3:11" x14ac:dyDescent="0.25">
      <c r="C729" s="6"/>
      <c r="G729" s="6"/>
      <c r="K729" s="6"/>
    </row>
    <row r="730" spans="3:11" x14ac:dyDescent="0.25">
      <c r="C730" s="6"/>
      <c r="G730" s="6"/>
      <c r="K730" s="6"/>
    </row>
    <row r="731" spans="3:11" x14ac:dyDescent="0.25">
      <c r="C731" s="6"/>
      <c r="G731" s="6"/>
      <c r="K731" s="6"/>
    </row>
    <row r="732" spans="3:11" x14ac:dyDescent="0.25">
      <c r="C732" s="6"/>
      <c r="G732" s="6"/>
      <c r="K732" s="6"/>
    </row>
    <row r="733" spans="3:11" x14ac:dyDescent="0.25">
      <c r="C733" s="6"/>
      <c r="G733" s="6"/>
      <c r="K733" s="6"/>
    </row>
    <row r="734" spans="3:11" x14ac:dyDescent="0.25">
      <c r="C734" s="6"/>
      <c r="G734" s="6"/>
      <c r="K734" s="6"/>
    </row>
    <row r="735" spans="3:11" x14ac:dyDescent="0.25">
      <c r="C735" s="6"/>
      <c r="G735" s="6"/>
      <c r="K735" s="6"/>
    </row>
    <row r="736" spans="3:11" x14ac:dyDescent="0.25">
      <c r="C736" s="6"/>
      <c r="G736" s="6"/>
      <c r="K736" s="6"/>
    </row>
    <row r="737" spans="3:11" x14ac:dyDescent="0.25">
      <c r="C737" s="6"/>
      <c r="G737" s="6"/>
      <c r="K737" s="6"/>
    </row>
    <row r="738" spans="3:11" x14ac:dyDescent="0.25">
      <c r="C738" s="6"/>
      <c r="G738" s="6"/>
      <c r="K738" s="6"/>
    </row>
    <row r="739" spans="3:11" x14ac:dyDescent="0.25">
      <c r="C739" s="6"/>
      <c r="G739" s="6"/>
      <c r="K739" s="6"/>
    </row>
    <row r="740" spans="3:11" x14ac:dyDescent="0.25">
      <c r="C740" s="6"/>
      <c r="G740" s="6"/>
      <c r="K740" s="6"/>
    </row>
    <row r="741" spans="3:11" x14ac:dyDescent="0.25">
      <c r="C741" s="6"/>
      <c r="G741" s="6"/>
      <c r="K741" s="6"/>
    </row>
    <row r="742" spans="3:11" x14ac:dyDescent="0.25">
      <c r="C742" s="6"/>
      <c r="G742" s="6"/>
      <c r="K742" s="6"/>
    </row>
    <row r="743" spans="3:11" x14ac:dyDescent="0.25">
      <c r="C743" s="6"/>
      <c r="G743" s="6"/>
      <c r="K743" s="6"/>
    </row>
    <row r="744" spans="3:11" x14ac:dyDescent="0.25">
      <c r="C744" s="6"/>
      <c r="G744" s="6"/>
      <c r="K744" s="6"/>
    </row>
    <row r="745" spans="3:11" x14ac:dyDescent="0.25">
      <c r="C745" s="6"/>
      <c r="G745" s="6"/>
      <c r="K745" s="6"/>
    </row>
    <row r="746" spans="3:11" x14ac:dyDescent="0.25">
      <c r="C746" s="6"/>
      <c r="G746" s="6"/>
      <c r="K746" s="6"/>
    </row>
    <row r="747" spans="3:11" x14ac:dyDescent="0.25">
      <c r="C747" s="6"/>
      <c r="G747" s="6"/>
      <c r="K747" s="6"/>
    </row>
    <row r="748" spans="3:11" x14ac:dyDescent="0.25">
      <c r="C748" s="6"/>
      <c r="G748" s="6"/>
      <c r="K748" s="6"/>
    </row>
    <row r="749" spans="3:11" x14ac:dyDescent="0.25">
      <c r="C749" s="6"/>
      <c r="G749" s="6"/>
      <c r="K749" s="6"/>
    </row>
    <row r="750" spans="3:11" x14ac:dyDescent="0.25">
      <c r="C750" s="6"/>
      <c r="G750" s="6"/>
      <c r="K750" s="6"/>
    </row>
    <row r="751" spans="3:11" x14ac:dyDescent="0.25">
      <c r="C751" s="6"/>
      <c r="G751" s="6"/>
      <c r="K751" s="6"/>
    </row>
    <row r="752" spans="3:11" x14ac:dyDescent="0.25">
      <c r="C752" s="6"/>
      <c r="G752" s="6"/>
      <c r="K752" s="6"/>
    </row>
    <row r="753" spans="3:11" x14ac:dyDescent="0.25">
      <c r="C753" s="6"/>
      <c r="G753" s="6"/>
      <c r="K753" s="6"/>
    </row>
    <row r="754" spans="3:11" x14ac:dyDescent="0.25">
      <c r="C754" s="6"/>
      <c r="G754" s="6"/>
      <c r="K754" s="6"/>
    </row>
    <row r="755" spans="3:11" x14ac:dyDescent="0.25">
      <c r="C755" s="6"/>
      <c r="G755" s="6"/>
      <c r="K755" s="6"/>
    </row>
    <row r="756" spans="3:11" x14ac:dyDescent="0.25">
      <c r="C756" s="6"/>
      <c r="G756" s="6"/>
      <c r="K756" s="6"/>
    </row>
    <row r="757" spans="3:11" x14ac:dyDescent="0.25">
      <c r="C757" s="6"/>
      <c r="G757" s="6"/>
      <c r="K757" s="6"/>
    </row>
    <row r="758" spans="3:11" x14ac:dyDescent="0.25">
      <c r="C758" s="6"/>
      <c r="G758" s="6"/>
      <c r="K758" s="6"/>
    </row>
    <row r="759" spans="3:11" x14ac:dyDescent="0.25">
      <c r="C759" s="6"/>
      <c r="G759" s="6"/>
      <c r="K759" s="6"/>
    </row>
    <row r="760" spans="3:11" x14ac:dyDescent="0.25">
      <c r="C760" s="6"/>
      <c r="G760" s="6"/>
      <c r="K760" s="6"/>
    </row>
    <row r="761" spans="3:11" x14ac:dyDescent="0.25">
      <c r="C761" s="6"/>
      <c r="G761" s="6"/>
      <c r="K761" s="6"/>
    </row>
    <row r="762" spans="3:11" x14ac:dyDescent="0.25">
      <c r="C762" s="6"/>
      <c r="G762" s="6"/>
      <c r="K762" s="6"/>
    </row>
    <row r="763" spans="3:11" x14ac:dyDescent="0.25">
      <c r="C763" s="6"/>
      <c r="G763" s="6"/>
      <c r="K763" s="6"/>
    </row>
    <row r="764" spans="3:11" x14ac:dyDescent="0.25">
      <c r="C764" s="6"/>
      <c r="G764" s="6"/>
      <c r="K764" s="6"/>
    </row>
    <row r="765" spans="3:11" x14ac:dyDescent="0.25">
      <c r="C765" s="6"/>
      <c r="G765" s="6"/>
      <c r="K765" s="6"/>
    </row>
    <row r="766" spans="3:11" x14ac:dyDescent="0.25">
      <c r="C766" s="6"/>
      <c r="G766" s="6"/>
      <c r="K766" s="6"/>
    </row>
    <row r="767" spans="3:11" x14ac:dyDescent="0.25">
      <c r="C767" s="6"/>
      <c r="G767" s="6"/>
      <c r="K767" s="6"/>
    </row>
    <row r="768" spans="3:11" x14ac:dyDescent="0.25">
      <c r="C768" s="6"/>
      <c r="G768" s="6"/>
      <c r="K768" s="6"/>
    </row>
    <row r="769" spans="3:11" x14ac:dyDescent="0.25">
      <c r="C769" s="6"/>
      <c r="G769" s="6"/>
      <c r="K769" s="6"/>
    </row>
    <row r="770" spans="3:11" x14ac:dyDescent="0.25">
      <c r="C770" s="6"/>
      <c r="G770" s="6"/>
      <c r="K770" s="6"/>
    </row>
    <row r="771" spans="3:11" x14ac:dyDescent="0.25">
      <c r="C771" s="6"/>
      <c r="G771" s="6"/>
      <c r="K771" s="6"/>
    </row>
    <row r="772" spans="3:11" x14ac:dyDescent="0.25">
      <c r="C772" s="6"/>
      <c r="G772" s="6"/>
      <c r="K772" s="6"/>
    </row>
    <row r="773" spans="3:11" x14ac:dyDescent="0.25">
      <c r="C773" s="6"/>
      <c r="G773" s="6"/>
      <c r="K773" s="6"/>
    </row>
    <row r="774" spans="3:11" x14ac:dyDescent="0.25">
      <c r="C774" s="6"/>
      <c r="G774" s="6"/>
      <c r="K774" s="6"/>
    </row>
    <row r="775" spans="3:11" x14ac:dyDescent="0.25">
      <c r="C775" s="6"/>
      <c r="G775" s="6"/>
      <c r="K775" s="6"/>
    </row>
    <row r="776" spans="3:11" x14ac:dyDescent="0.25">
      <c r="C776" s="6"/>
      <c r="G776" s="6"/>
      <c r="K776" s="6"/>
    </row>
    <row r="777" spans="3:11" x14ac:dyDescent="0.25">
      <c r="C777" s="6"/>
      <c r="G777" s="6"/>
      <c r="K777" s="6"/>
    </row>
    <row r="778" spans="3:11" x14ac:dyDescent="0.25">
      <c r="C778" s="6"/>
      <c r="G778" s="6"/>
      <c r="K778" s="6"/>
    </row>
    <row r="779" spans="3:11" x14ac:dyDescent="0.25">
      <c r="C779" s="6"/>
      <c r="G779" s="6"/>
      <c r="K779" s="6"/>
    </row>
    <row r="780" spans="3:11" x14ac:dyDescent="0.25">
      <c r="C780" s="6"/>
      <c r="G780" s="6"/>
      <c r="K780" s="6"/>
    </row>
    <row r="781" spans="3:11" x14ac:dyDescent="0.25">
      <c r="C781" s="6"/>
      <c r="G781" s="6"/>
      <c r="K781" s="6"/>
    </row>
    <row r="782" spans="3:11" x14ac:dyDescent="0.25">
      <c r="C782" s="6"/>
      <c r="G782" s="6"/>
      <c r="K782" s="6"/>
    </row>
    <row r="783" spans="3:11" x14ac:dyDescent="0.25">
      <c r="C783" s="6"/>
      <c r="G783" s="6"/>
      <c r="K783" s="6"/>
    </row>
    <row r="784" spans="3:11" x14ac:dyDescent="0.25">
      <c r="C784" s="6"/>
      <c r="G784" s="6"/>
      <c r="K784" s="6"/>
    </row>
    <row r="785" spans="3:11" x14ac:dyDescent="0.25">
      <c r="C785" s="6"/>
      <c r="G785" s="6"/>
      <c r="K785" s="6"/>
    </row>
    <row r="786" spans="3:11" x14ac:dyDescent="0.25">
      <c r="C786" s="6"/>
      <c r="G786" s="6"/>
      <c r="K786" s="6"/>
    </row>
    <row r="787" spans="3:11" x14ac:dyDescent="0.25">
      <c r="C787" s="6"/>
      <c r="G787" s="6"/>
      <c r="K787" s="6"/>
    </row>
    <row r="788" spans="3:11" x14ac:dyDescent="0.25">
      <c r="C788" s="6"/>
      <c r="G788" s="6"/>
      <c r="K788" s="6"/>
    </row>
    <row r="789" spans="3:11" x14ac:dyDescent="0.25">
      <c r="C789" s="6"/>
      <c r="G789" s="6"/>
      <c r="K789" s="6"/>
    </row>
    <row r="790" spans="3:11" x14ac:dyDescent="0.25">
      <c r="C790" s="6"/>
      <c r="G790" s="6"/>
      <c r="K790" s="6"/>
    </row>
    <row r="791" spans="3:11" x14ac:dyDescent="0.25">
      <c r="C791" s="6"/>
      <c r="G791" s="6"/>
      <c r="K791" s="6"/>
    </row>
    <row r="792" spans="3:11" x14ac:dyDescent="0.25">
      <c r="C792" s="6"/>
      <c r="G792" s="6"/>
      <c r="K792" s="6"/>
    </row>
    <row r="793" spans="3:11" x14ac:dyDescent="0.25">
      <c r="C793" s="6"/>
      <c r="G793" s="6"/>
      <c r="K793" s="6"/>
    </row>
    <row r="794" spans="3:11" x14ac:dyDescent="0.25">
      <c r="C794" s="6"/>
      <c r="G794" s="6"/>
      <c r="K794" s="6"/>
    </row>
    <row r="795" spans="3:11" x14ac:dyDescent="0.25">
      <c r="C795" s="6"/>
      <c r="G795" s="6"/>
      <c r="K795" s="6"/>
    </row>
    <row r="796" spans="3:11" x14ac:dyDescent="0.25">
      <c r="C796" s="6"/>
      <c r="G796" s="6"/>
      <c r="K796" s="6"/>
    </row>
    <row r="797" spans="3:11" x14ac:dyDescent="0.25">
      <c r="C797" s="6"/>
      <c r="G797" s="6"/>
      <c r="K797" s="6"/>
    </row>
    <row r="798" spans="3:11" x14ac:dyDescent="0.25">
      <c r="C798" s="6"/>
      <c r="G798" s="6"/>
      <c r="K798" s="6"/>
    </row>
    <row r="799" spans="3:11" x14ac:dyDescent="0.25">
      <c r="C799" s="6"/>
      <c r="G799" s="6"/>
      <c r="K799" s="6"/>
    </row>
    <row r="800" spans="3:11" x14ac:dyDescent="0.25">
      <c r="C800" s="6"/>
      <c r="G800" s="6"/>
      <c r="K800" s="6"/>
    </row>
    <row r="801" spans="3:11" x14ac:dyDescent="0.25">
      <c r="C801" s="6"/>
      <c r="G801" s="6"/>
      <c r="K801" s="6"/>
    </row>
    <row r="802" spans="3:11" x14ac:dyDescent="0.25">
      <c r="C802" s="6"/>
      <c r="G802" s="6"/>
      <c r="K802" s="6"/>
    </row>
    <row r="803" spans="3:11" x14ac:dyDescent="0.25">
      <c r="C803" s="6"/>
      <c r="G803" s="6"/>
      <c r="K803" s="6"/>
    </row>
    <row r="804" spans="3:11" x14ac:dyDescent="0.25">
      <c r="C804" s="6"/>
      <c r="G804" s="6"/>
      <c r="K804" s="6"/>
    </row>
    <row r="805" spans="3:11" x14ac:dyDescent="0.25">
      <c r="C805" s="6"/>
      <c r="G805" s="6"/>
      <c r="K805" s="6"/>
    </row>
    <row r="806" spans="3:11" x14ac:dyDescent="0.25">
      <c r="C806" s="6"/>
      <c r="G806" s="6"/>
      <c r="K806" s="6"/>
    </row>
    <row r="807" spans="3:11" x14ac:dyDescent="0.25">
      <c r="C807" s="6"/>
      <c r="G807" s="6"/>
      <c r="K807" s="6"/>
    </row>
    <row r="808" spans="3:11" x14ac:dyDescent="0.25">
      <c r="C808" s="6"/>
      <c r="G808" s="6"/>
      <c r="K808" s="6"/>
    </row>
    <row r="809" spans="3:11" x14ac:dyDescent="0.25">
      <c r="C809" s="6"/>
      <c r="G809" s="6"/>
      <c r="K809" s="6"/>
    </row>
    <row r="810" spans="3:11" x14ac:dyDescent="0.25">
      <c r="C810" s="6"/>
      <c r="G810" s="6"/>
      <c r="K810" s="6"/>
    </row>
    <row r="811" spans="3:11" x14ac:dyDescent="0.25">
      <c r="C811" s="6"/>
      <c r="G811" s="6"/>
      <c r="K811" s="6"/>
    </row>
    <row r="812" spans="3:11" x14ac:dyDescent="0.25">
      <c r="C812" s="6"/>
      <c r="G812" s="6"/>
      <c r="K812" s="6"/>
    </row>
    <row r="813" spans="3:11" x14ac:dyDescent="0.25">
      <c r="C813" s="6"/>
      <c r="G813" s="6"/>
      <c r="K813" s="6"/>
    </row>
    <row r="814" spans="3:11" x14ac:dyDescent="0.25">
      <c r="C814" s="6"/>
      <c r="G814" s="6"/>
      <c r="K814" s="6"/>
    </row>
    <row r="815" spans="3:11" x14ac:dyDescent="0.25">
      <c r="C815" s="6"/>
      <c r="G815" s="6"/>
      <c r="K815" s="6"/>
    </row>
    <row r="816" spans="3:11" x14ac:dyDescent="0.25">
      <c r="C816" s="6"/>
      <c r="G816" s="6"/>
      <c r="K816" s="6"/>
    </row>
    <row r="817" spans="3:11" x14ac:dyDescent="0.25">
      <c r="C817" s="6"/>
      <c r="G817" s="6"/>
      <c r="K817" s="6"/>
    </row>
    <row r="818" spans="3:11" x14ac:dyDescent="0.25">
      <c r="C818" s="6"/>
      <c r="G818" s="6"/>
      <c r="K818" s="6"/>
    </row>
    <row r="819" spans="3:11" x14ac:dyDescent="0.25">
      <c r="C819" s="6"/>
      <c r="G819" s="6"/>
      <c r="K819" s="6"/>
    </row>
    <row r="820" spans="3:11" x14ac:dyDescent="0.25">
      <c r="C820" s="6"/>
      <c r="G820" s="6"/>
      <c r="K820" s="6"/>
    </row>
    <row r="821" spans="3:11" x14ac:dyDescent="0.25">
      <c r="C821" s="6"/>
      <c r="G821" s="6"/>
      <c r="K821" s="6"/>
    </row>
    <row r="822" spans="3:11" x14ac:dyDescent="0.25">
      <c r="C822" s="6"/>
      <c r="G822" s="6"/>
      <c r="K822" s="6"/>
    </row>
    <row r="823" spans="3:11" x14ac:dyDescent="0.25">
      <c r="C823" s="6"/>
      <c r="G823" s="6"/>
      <c r="K823" s="6"/>
    </row>
    <row r="824" spans="3:11" x14ac:dyDescent="0.25">
      <c r="C824" s="6"/>
      <c r="G824" s="6"/>
      <c r="K824" s="6"/>
    </row>
    <row r="825" spans="3:11" x14ac:dyDescent="0.25">
      <c r="C825" s="6"/>
      <c r="G825" s="6"/>
      <c r="K825" s="6"/>
    </row>
    <row r="826" spans="3:11" x14ac:dyDescent="0.25">
      <c r="C826" s="6"/>
      <c r="G826" s="6"/>
      <c r="K826" s="6"/>
    </row>
    <row r="827" spans="3:11" x14ac:dyDescent="0.25">
      <c r="C827" s="6"/>
      <c r="G827" s="6"/>
      <c r="K827" s="6"/>
    </row>
    <row r="828" spans="3:11" x14ac:dyDescent="0.25">
      <c r="C828" s="6"/>
      <c r="G828" s="6"/>
      <c r="K828" s="6"/>
    </row>
    <row r="829" spans="3:11" x14ac:dyDescent="0.25">
      <c r="C829" s="6"/>
      <c r="G829" s="6"/>
      <c r="K829" s="6"/>
    </row>
    <row r="830" spans="3:11" x14ac:dyDescent="0.25">
      <c r="C830" s="6"/>
      <c r="G830" s="6"/>
      <c r="K830" s="6"/>
    </row>
    <row r="831" spans="3:11" x14ac:dyDescent="0.25">
      <c r="C831" s="6"/>
      <c r="G831" s="6"/>
      <c r="K831" s="6"/>
    </row>
    <row r="832" spans="3:11" x14ac:dyDescent="0.25">
      <c r="C832" s="6"/>
      <c r="G832" s="6"/>
      <c r="K832" s="6"/>
    </row>
    <row r="833" spans="3:11" x14ac:dyDescent="0.25">
      <c r="C833" s="6"/>
      <c r="G833" s="6"/>
      <c r="K833" s="6"/>
    </row>
    <row r="834" spans="3:11" x14ac:dyDescent="0.25">
      <c r="C834" s="6"/>
      <c r="G834" s="6"/>
      <c r="K834" s="6"/>
    </row>
    <row r="835" spans="3:11" x14ac:dyDescent="0.25">
      <c r="C835" s="6"/>
      <c r="G835" s="6"/>
      <c r="K835" s="6"/>
    </row>
    <row r="836" spans="3:11" x14ac:dyDescent="0.25">
      <c r="C836" s="6"/>
      <c r="G836" s="6"/>
      <c r="K836" s="6"/>
    </row>
    <row r="837" spans="3:11" x14ac:dyDescent="0.25">
      <c r="C837" s="6"/>
      <c r="G837" s="6"/>
      <c r="K837" s="6"/>
    </row>
    <row r="838" spans="3:11" x14ac:dyDescent="0.25">
      <c r="C838" s="6"/>
      <c r="G838" s="6"/>
      <c r="K838" s="6"/>
    </row>
    <row r="839" spans="3:11" x14ac:dyDescent="0.25">
      <c r="C839" s="6"/>
      <c r="G839" s="6"/>
      <c r="K839" s="6"/>
    </row>
    <row r="840" spans="3:11" x14ac:dyDescent="0.25">
      <c r="C840" s="6"/>
      <c r="G840" s="6"/>
      <c r="K840" s="6"/>
    </row>
    <row r="841" spans="3:11" x14ac:dyDescent="0.25">
      <c r="C841" s="6"/>
      <c r="G841" s="6"/>
      <c r="K841" s="6"/>
    </row>
    <row r="842" spans="3:11" x14ac:dyDescent="0.25">
      <c r="C842" s="6"/>
      <c r="G842" s="6"/>
      <c r="K842" s="6"/>
    </row>
    <row r="843" spans="3:11" x14ac:dyDescent="0.25">
      <c r="C843" s="6"/>
      <c r="G843" s="6"/>
      <c r="K843" s="6"/>
    </row>
    <row r="844" spans="3:11" x14ac:dyDescent="0.25">
      <c r="C844" s="6"/>
      <c r="G844" s="6"/>
      <c r="K844" s="6"/>
    </row>
    <row r="845" spans="3:11" x14ac:dyDescent="0.25">
      <c r="C845" s="6"/>
      <c r="G845" s="6"/>
      <c r="K845" s="6"/>
    </row>
    <row r="846" spans="3:11" x14ac:dyDescent="0.25">
      <c r="C846" s="6"/>
      <c r="G846" s="6"/>
      <c r="K846" s="6"/>
    </row>
    <row r="847" spans="3:11" x14ac:dyDescent="0.25">
      <c r="C847" s="6"/>
      <c r="G847" s="6"/>
      <c r="K847" s="6"/>
    </row>
    <row r="848" spans="3:11" x14ac:dyDescent="0.25">
      <c r="C848" s="6"/>
      <c r="G848" s="6"/>
      <c r="K848" s="6"/>
    </row>
    <row r="849" spans="3:11" x14ac:dyDescent="0.25">
      <c r="C849" s="6"/>
      <c r="G849" s="6"/>
      <c r="K849" s="6"/>
    </row>
    <row r="850" spans="3:11" x14ac:dyDescent="0.25">
      <c r="C850" s="6"/>
      <c r="G850" s="6"/>
      <c r="K850" s="6"/>
    </row>
    <row r="851" spans="3:11" x14ac:dyDescent="0.25">
      <c r="C851" s="6"/>
      <c r="G851" s="6"/>
      <c r="K851" s="6"/>
    </row>
    <row r="852" spans="3:11" x14ac:dyDescent="0.25">
      <c r="C852" s="6"/>
      <c r="G852" s="6"/>
      <c r="K852" s="6"/>
    </row>
    <row r="853" spans="3:11" x14ac:dyDescent="0.25">
      <c r="C853" s="6"/>
      <c r="G853" s="6"/>
      <c r="K853" s="6"/>
    </row>
    <row r="854" spans="3:11" x14ac:dyDescent="0.25">
      <c r="C854" s="6"/>
      <c r="G854" s="6"/>
      <c r="K854" s="6"/>
    </row>
    <row r="855" spans="3:11" x14ac:dyDescent="0.25">
      <c r="C855" s="6"/>
      <c r="G855" s="6"/>
      <c r="K855" s="6"/>
    </row>
    <row r="856" spans="3:11" x14ac:dyDescent="0.25">
      <c r="C856" s="6"/>
      <c r="G856" s="6"/>
      <c r="K856" s="6"/>
    </row>
    <row r="857" spans="3:11" x14ac:dyDescent="0.25">
      <c r="C857" s="6"/>
      <c r="G857" s="6"/>
      <c r="K857" s="6"/>
    </row>
    <row r="858" spans="3:11" x14ac:dyDescent="0.25">
      <c r="C858" s="6"/>
      <c r="G858" s="6"/>
      <c r="K858" s="6"/>
    </row>
    <row r="859" spans="3:11" x14ac:dyDescent="0.25">
      <c r="C859" s="6"/>
      <c r="G859" s="6"/>
      <c r="K859" s="6"/>
    </row>
    <row r="860" spans="3:11" x14ac:dyDescent="0.25">
      <c r="C860" s="6"/>
      <c r="G860" s="6"/>
      <c r="K860" s="6"/>
    </row>
    <row r="861" spans="3:11" x14ac:dyDescent="0.25">
      <c r="C861" s="6"/>
      <c r="G861" s="6"/>
      <c r="K861" s="6"/>
    </row>
    <row r="862" spans="3:11" x14ac:dyDescent="0.25">
      <c r="C862" s="6"/>
      <c r="G862" s="6"/>
      <c r="K862" s="6"/>
    </row>
    <row r="863" spans="3:11" x14ac:dyDescent="0.25">
      <c r="C863" s="6"/>
      <c r="G863" s="6"/>
      <c r="K863" s="6"/>
    </row>
    <row r="864" spans="3:11" x14ac:dyDescent="0.25">
      <c r="C864" s="6"/>
      <c r="G864" s="6"/>
      <c r="K864" s="6"/>
    </row>
    <row r="865" spans="3:11" x14ac:dyDescent="0.25">
      <c r="C865" s="6"/>
      <c r="G865" s="6"/>
      <c r="K865" s="6"/>
    </row>
    <row r="866" spans="3:11" x14ac:dyDescent="0.25">
      <c r="C866" s="6"/>
      <c r="G866" s="6"/>
      <c r="K866" s="6"/>
    </row>
    <row r="867" spans="3:11" x14ac:dyDescent="0.25">
      <c r="C867" s="6"/>
      <c r="G867" s="6"/>
      <c r="K867" s="6"/>
    </row>
    <row r="868" spans="3:11" x14ac:dyDescent="0.25">
      <c r="C868" s="6"/>
      <c r="G868" s="6"/>
      <c r="K868" s="6"/>
    </row>
    <row r="869" spans="3:11" x14ac:dyDescent="0.25">
      <c r="C869" s="6"/>
      <c r="G869" s="6"/>
      <c r="K869" s="6"/>
    </row>
    <row r="870" spans="3:11" x14ac:dyDescent="0.25">
      <c r="C870" s="6"/>
      <c r="G870" s="6"/>
      <c r="K870" s="6"/>
    </row>
    <row r="871" spans="3:11" x14ac:dyDescent="0.25">
      <c r="C871" s="6"/>
      <c r="G871" s="6"/>
      <c r="K871" s="6"/>
    </row>
    <row r="872" spans="3:11" x14ac:dyDescent="0.25">
      <c r="C872" s="6"/>
      <c r="G872" s="6"/>
      <c r="K872" s="6"/>
    </row>
    <row r="873" spans="3:11" x14ac:dyDescent="0.25">
      <c r="C873" s="6"/>
      <c r="G873" s="6"/>
      <c r="K873" s="6"/>
    </row>
    <row r="874" spans="3:11" x14ac:dyDescent="0.25">
      <c r="C874" s="6"/>
      <c r="G874" s="6"/>
      <c r="K874" s="6"/>
    </row>
    <row r="875" spans="3:11" x14ac:dyDescent="0.25">
      <c r="C875" s="6"/>
      <c r="G875" s="6"/>
      <c r="K875" s="6"/>
    </row>
    <row r="876" spans="3:11" x14ac:dyDescent="0.25">
      <c r="C876" s="6"/>
      <c r="G876" s="6"/>
      <c r="K876" s="6"/>
    </row>
    <row r="877" spans="3:11" x14ac:dyDescent="0.25">
      <c r="C877" s="6"/>
      <c r="G877" s="6"/>
      <c r="K877" s="6"/>
    </row>
    <row r="878" spans="3:11" x14ac:dyDescent="0.25">
      <c r="C878" s="6"/>
      <c r="G878" s="6"/>
      <c r="K878" s="6"/>
    </row>
    <row r="879" spans="3:11" x14ac:dyDescent="0.25">
      <c r="C879" s="6"/>
      <c r="G879" s="6"/>
      <c r="K879" s="6"/>
    </row>
    <row r="880" spans="3:11" x14ac:dyDescent="0.25">
      <c r="C880" s="6"/>
      <c r="G880" s="6"/>
      <c r="K880" s="6"/>
    </row>
    <row r="881" spans="3:11" x14ac:dyDescent="0.25">
      <c r="C881" s="6"/>
      <c r="G881" s="6"/>
      <c r="K881" s="6"/>
    </row>
    <row r="882" spans="3:11" x14ac:dyDescent="0.25">
      <c r="C882" s="6"/>
      <c r="G882" s="6"/>
      <c r="K882" s="6"/>
    </row>
    <row r="883" spans="3:11" x14ac:dyDescent="0.25">
      <c r="C883" s="6"/>
      <c r="G883" s="6"/>
      <c r="K883" s="6"/>
    </row>
    <row r="884" spans="3:11" x14ac:dyDescent="0.25">
      <c r="C884" s="6"/>
      <c r="G884" s="6"/>
      <c r="K884" s="6"/>
    </row>
    <row r="885" spans="3:11" x14ac:dyDescent="0.25">
      <c r="C885" s="6"/>
      <c r="G885" s="6"/>
      <c r="K885" s="6"/>
    </row>
    <row r="886" spans="3:11" x14ac:dyDescent="0.25">
      <c r="C886" s="6"/>
      <c r="G886" s="6"/>
      <c r="K886" s="6"/>
    </row>
    <row r="887" spans="3:11" x14ac:dyDescent="0.25">
      <c r="C887" s="6"/>
      <c r="G887" s="6"/>
      <c r="K887" s="6"/>
    </row>
    <row r="888" spans="3:11" x14ac:dyDescent="0.25">
      <c r="C888" s="6"/>
      <c r="G888" s="6"/>
      <c r="K888" s="6"/>
    </row>
    <row r="889" spans="3:11" x14ac:dyDescent="0.25">
      <c r="C889" s="6"/>
      <c r="G889" s="6"/>
      <c r="K889" s="6"/>
    </row>
    <row r="890" spans="3:11" x14ac:dyDescent="0.25">
      <c r="C890" s="6"/>
      <c r="G890" s="6"/>
      <c r="K890" s="6"/>
    </row>
    <row r="891" spans="3:11" x14ac:dyDescent="0.25">
      <c r="C891" s="6"/>
      <c r="G891" s="6"/>
      <c r="K891" s="6"/>
    </row>
    <row r="892" spans="3:11" x14ac:dyDescent="0.25">
      <c r="C892" s="6"/>
      <c r="G892" s="6"/>
      <c r="K892" s="6"/>
    </row>
    <row r="893" spans="3:11" x14ac:dyDescent="0.25">
      <c r="C893" s="6"/>
      <c r="G893" s="6"/>
      <c r="K893" s="6"/>
    </row>
    <row r="894" spans="3:11" x14ac:dyDescent="0.25">
      <c r="C894" s="6"/>
      <c r="G894" s="6"/>
      <c r="K894" s="6"/>
    </row>
    <row r="895" spans="3:11" x14ac:dyDescent="0.25">
      <c r="C895" s="6"/>
      <c r="G895" s="6"/>
      <c r="K895" s="6"/>
    </row>
    <row r="896" spans="3:11" x14ac:dyDescent="0.25">
      <c r="C896" s="6"/>
      <c r="G896" s="6"/>
      <c r="K896" s="6"/>
    </row>
    <row r="897" spans="3:11" x14ac:dyDescent="0.25">
      <c r="C897" s="6"/>
      <c r="G897" s="6"/>
      <c r="K897" s="6"/>
    </row>
    <row r="898" spans="3:11" x14ac:dyDescent="0.25">
      <c r="C898" s="6"/>
      <c r="G898" s="6"/>
      <c r="K898" s="6"/>
    </row>
    <row r="899" spans="3:11" x14ac:dyDescent="0.25">
      <c r="C899" s="6"/>
      <c r="G899" s="6"/>
      <c r="K899" s="6"/>
    </row>
    <row r="900" spans="3:11" x14ac:dyDescent="0.25">
      <c r="C900" s="6"/>
      <c r="G900" s="6"/>
      <c r="K900" s="6"/>
    </row>
    <row r="901" spans="3:11" x14ac:dyDescent="0.25">
      <c r="C901" s="6"/>
      <c r="G901" s="6"/>
      <c r="K901" s="6"/>
    </row>
    <row r="902" spans="3:11" x14ac:dyDescent="0.25">
      <c r="C902" s="6"/>
      <c r="G902" s="6"/>
      <c r="K902" s="6"/>
    </row>
    <row r="903" spans="3:11" x14ac:dyDescent="0.25">
      <c r="C903" s="6"/>
      <c r="G903" s="6"/>
      <c r="K903" s="6"/>
    </row>
    <row r="904" spans="3:11" x14ac:dyDescent="0.25">
      <c r="C904" s="6"/>
      <c r="G904" s="6"/>
      <c r="K904" s="6"/>
    </row>
    <row r="905" spans="3:11" x14ac:dyDescent="0.25">
      <c r="C905" s="6"/>
      <c r="G905" s="6"/>
      <c r="K905" s="6"/>
    </row>
    <row r="906" spans="3:11" x14ac:dyDescent="0.25">
      <c r="C906" s="6"/>
      <c r="G906" s="6"/>
      <c r="K906" s="6"/>
    </row>
    <row r="907" spans="3:11" x14ac:dyDescent="0.25">
      <c r="C907" s="6"/>
      <c r="G907" s="6"/>
      <c r="K907" s="6"/>
    </row>
    <row r="908" spans="3:11" x14ac:dyDescent="0.25">
      <c r="C908" s="6"/>
      <c r="G908" s="6"/>
      <c r="K908" s="6"/>
    </row>
    <row r="909" spans="3:11" x14ac:dyDescent="0.25">
      <c r="C909" s="6"/>
      <c r="G909" s="6"/>
      <c r="K909" s="6"/>
    </row>
    <row r="910" spans="3:11" x14ac:dyDescent="0.25">
      <c r="C910" s="6"/>
      <c r="G910" s="6"/>
      <c r="K910" s="6"/>
    </row>
    <row r="911" spans="3:11" x14ac:dyDescent="0.25">
      <c r="C911" s="6"/>
      <c r="G911" s="6"/>
      <c r="K911" s="6"/>
    </row>
    <row r="912" spans="3:11" x14ac:dyDescent="0.25">
      <c r="C912" s="6"/>
      <c r="G912" s="6"/>
      <c r="K912" s="6"/>
    </row>
    <row r="913" spans="3:11" x14ac:dyDescent="0.25">
      <c r="C913" s="6"/>
      <c r="G913" s="6"/>
      <c r="K913" s="6"/>
    </row>
    <row r="914" spans="3:11" x14ac:dyDescent="0.25">
      <c r="C914" s="6"/>
      <c r="G914" s="6"/>
      <c r="K914" s="6"/>
    </row>
    <row r="915" spans="3:11" x14ac:dyDescent="0.25">
      <c r="C915" s="6"/>
      <c r="G915" s="6"/>
      <c r="K915" s="6"/>
    </row>
    <row r="916" spans="3:11" x14ac:dyDescent="0.25">
      <c r="C916" s="6"/>
      <c r="G916" s="6"/>
      <c r="K916" s="6"/>
    </row>
    <row r="917" spans="3:11" x14ac:dyDescent="0.25">
      <c r="C917" s="6"/>
      <c r="G917" s="6"/>
      <c r="K917" s="6"/>
    </row>
    <row r="918" spans="3:11" x14ac:dyDescent="0.25">
      <c r="C918" s="6"/>
      <c r="G918" s="6"/>
      <c r="K918" s="6"/>
    </row>
    <row r="919" spans="3:11" x14ac:dyDescent="0.25">
      <c r="C919" s="6"/>
      <c r="G919" s="6"/>
      <c r="K919" s="6"/>
    </row>
    <row r="920" spans="3:11" x14ac:dyDescent="0.25">
      <c r="C920" s="6"/>
      <c r="G920" s="6"/>
      <c r="K920" s="6"/>
    </row>
    <row r="921" spans="3:11" x14ac:dyDescent="0.25">
      <c r="C921" s="6"/>
      <c r="G921" s="6"/>
      <c r="K921" s="6"/>
    </row>
    <row r="922" spans="3:11" x14ac:dyDescent="0.25">
      <c r="C922" s="6"/>
      <c r="G922" s="6"/>
      <c r="K922" s="6"/>
    </row>
    <row r="923" spans="3:11" x14ac:dyDescent="0.25">
      <c r="C923" s="6"/>
      <c r="G923" s="6"/>
      <c r="K923" s="6"/>
    </row>
    <row r="924" spans="3:11" x14ac:dyDescent="0.25">
      <c r="C924" s="6"/>
      <c r="G924" s="6"/>
      <c r="K924" s="6"/>
    </row>
    <row r="925" spans="3:11" x14ac:dyDescent="0.25">
      <c r="C925" s="6"/>
      <c r="G925" s="6"/>
      <c r="K925" s="6"/>
    </row>
    <row r="926" spans="3:11" x14ac:dyDescent="0.25">
      <c r="C926" s="6"/>
      <c r="G926" s="6"/>
      <c r="K926" s="6"/>
    </row>
    <row r="927" spans="3:11" x14ac:dyDescent="0.25">
      <c r="C927" s="6"/>
      <c r="G927" s="6"/>
      <c r="K927" s="6"/>
    </row>
    <row r="928" spans="3:11" x14ac:dyDescent="0.25">
      <c r="C928" s="6"/>
      <c r="G928" s="6"/>
      <c r="K928" s="6"/>
    </row>
    <row r="929" spans="3:11" x14ac:dyDescent="0.25">
      <c r="C929" s="6"/>
      <c r="G929" s="6"/>
      <c r="K929" s="6"/>
    </row>
    <row r="930" spans="3:11" x14ac:dyDescent="0.25">
      <c r="C930" s="6"/>
      <c r="G930" s="6"/>
      <c r="K930" s="6"/>
    </row>
    <row r="931" spans="3:11" x14ac:dyDescent="0.25">
      <c r="C931" s="6"/>
      <c r="G931" s="6"/>
      <c r="K931" s="6"/>
    </row>
    <row r="932" spans="3:11" x14ac:dyDescent="0.25">
      <c r="C932" s="6"/>
      <c r="G932" s="6"/>
      <c r="K932" s="6"/>
    </row>
    <row r="933" spans="3:11" x14ac:dyDescent="0.25">
      <c r="C933" s="6"/>
      <c r="G933" s="6"/>
      <c r="K933" s="6"/>
    </row>
    <row r="934" spans="3:11" x14ac:dyDescent="0.25">
      <c r="C934" s="6"/>
      <c r="G934" s="6"/>
      <c r="K934" s="6"/>
    </row>
    <row r="935" spans="3:11" x14ac:dyDescent="0.25">
      <c r="C935" s="6"/>
      <c r="G935" s="6"/>
      <c r="K935" s="6"/>
    </row>
    <row r="936" spans="3:11" x14ac:dyDescent="0.25">
      <c r="C936" s="6"/>
      <c r="G936" s="6"/>
      <c r="K936" s="6"/>
    </row>
    <row r="937" spans="3:11" x14ac:dyDescent="0.25">
      <c r="C937" s="6"/>
      <c r="G937" s="6"/>
      <c r="K937" s="6"/>
    </row>
    <row r="938" spans="3:11" x14ac:dyDescent="0.25">
      <c r="C938" s="6"/>
      <c r="G938" s="6"/>
      <c r="K938" s="6"/>
    </row>
    <row r="939" spans="3:11" x14ac:dyDescent="0.25">
      <c r="C939" s="6"/>
      <c r="G939" s="6"/>
      <c r="K939" s="6"/>
    </row>
    <row r="940" spans="3:11" x14ac:dyDescent="0.25">
      <c r="C940" s="6"/>
      <c r="G940" s="6"/>
      <c r="K940" s="6"/>
    </row>
    <row r="941" spans="3:11" x14ac:dyDescent="0.25">
      <c r="C941" s="6"/>
      <c r="G941" s="6"/>
      <c r="K941" s="6"/>
    </row>
    <row r="942" spans="3:11" x14ac:dyDescent="0.25">
      <c r="C942" s="6"/>
      <c r="G942" s="6"/>
      <c r="K942" s="6"/>
    </row>
    <row r="943" spans="3:11" x14ac:dyDescent="0.25">
      <c r="C943" s="6"/>
      <c r="G943" s="6"/>
      <c r="K943" s="6"/>
    </row>
    <row r="944" spans="3:11" x14ac:dyDescent="0.25">
      <c r="C944" s="6"/>
      <c r="G944" s="6"/>
      <c r="K944" s="6"/>
    </row>
    <row r="945" spans="3:11" x14ac:dyDescent="0.25">
      <c r="C945" s="6"/>
      <c r="G945" s="6"/>
      <c r="K945" s="6"/>
    </row>
    <row r="946" spans="3:11" x14ac:dyDescent="0.25">
      <c r="C946" s="6"/>
      <c r="G946" s="6"/>
      <c r="K946" s="6"/>
    </row>
    <row r="947" spans="3:11" x14ac:dyDescent="0.25">
      <c r="C947" s="6"/>
      <c r="G947" s="6"/>
      <c r="K947" s="6"/>
    </row>
    <row r="948" spans="3:11" x14ac:dyDescent="0.25">
      <c r="C948" s="6"/>
      <c r="G948" s="6"/>
      <c r="K948" s="6"/>
    </row>
    <row r="949" spans="3:11" x14ac:dyDescent="0.25">
      <c r="C949" s="6"/>
      <c r="G949" s="6"/>
      <c r="K949" s="6"/>
    </row>
    <row r="950" spans="3:11" x14ac:dyDescent="0.25">
      <c r="C950" s="6"/>
      <c r="G950" s="6"/>
      <c r="K950" s="6"/>
    </row>
    <row r="951" spans="3:11" x14ac:dyDescent="0.25">
      <c r="C951" s="6"/>
      <c r="G951" s="6"/>
      <c r="K951" s="6"/>
    </row>
    <row r="952" spans="3:11" x14ac:dyDescent="0.25">
      <c r="C952" s="6"/>
      <c r="G952" s="6"/>
      <c r="K952" s="6"/>
    </row>
    <row r="953" spans="3:11" x14ac:dyDescent="0.25">
      <c r="C953" s="6"/>
      <c r="G953" s="6"/>
      <c r="K953" s="6"/>
    </row>
    <row r="954" spans="3:11" x14ac:dyDescent="0.25">
      <c r="C954" s="6"/>
      <c r="G954" s="6"/>
      <c r="K954" s="6"/>
    </row>
    <row r="955" spans="3:11" x14ac:dyDescent="0.25">
      <c r="C955" s="6"/>
      <c r="G955" s="6"/>
      <c r="K955" s="6"/>
    </row>
    <row r="956" spans="3:11" x14ac:dyDescent="0.25">
      <c r="C956" s="6"/>
      <c r="G956" s="6"/>
      <c r="K956" s="6"/>
    </row>
    <row r="957" spans="3:11" x14ac:dyDescent="0.25">
      <c r="C957" s="6"/>
      <c r="G957" s="6"/>
      <c r="K957" s="6"/>
    </row>
    <row r="958" spans="3:11" x14ac:dyDescent="0.25">
      <c r="C958" s="6"/>
      <c r="G958" s="6"/>
      <c r="K958" s="6"/>
    </row>
    <row r="959" spans="3:11" x14ac:dyDescent="0.25">
      <c r="C959" s="6"/>
      <c r="G959" s="6"/>
      <c r="K959" s="6"/>
    </row>
    <row r="960" spans="3:11" x14ac:dyDescent="0.25">
      <c r="C960" s="6"/>
      <c r="G960" s="6"/>
      <c r="K960" s="6"/>
    </row>
    <row r="961" spans="3:11" x14ac:dyDescent="0.25">
      <c r="C961" s="6"/>
      <c r="G961" s="6"/>
      <c r="K961" s="6"/>
    </row>
    <row r="962" spans="3:11" x14ac:dyDescent="0.25">
      <c r="C962" s="6"/>
      <c r="G962" s="6"/>
      <c r="K962" s="6"/>
    </row>
    <row r="963" spans="3:11" x14ac:dyDescent="0.25">
      <c r="C963" s="6"/>
      <c r="G963" s="6"/>
      <c r="K963" s="6"/>
    </row>
    <row r="964" spans="3:11" x14ac:dyDescent="0.25">
      <c r="C964" s="6"/>
      <c r="G964" s="6"/>
      <c r="K964" s="6"/>
    </row>
    <row r="965" spans="3:11" x14ac:dyDescent="0.25">
      <c r="C965" s="6"/>
      <c r="G965" s="6"/>
      <c r="K965" s="6"/>
    </row>
    <row r="966" spans="3:11" x14ac:dyDescent="0.25">
      <c r="C966" s="6"/>
      <c r="G966" s="6"/>
      <c r="K966" s="6"/>
    </row>
    <row r="967" spans="3:11" x14ac:dyDescent="0.25">
      <c r="C967" s="6"/>
      <c r="G967" s="6"/>
      <c r="K967" s="6"/>
    </row>
    <row r="968" spans="3:11" x14ac:dyDescent="0.25">
      <c r="C968" s="6"/>
      <c r="G968" s="6"/>
      <c r="K968" s="6"/>
    </row>
    <row r="969" spans="3:11" x14ac:dyDescent="0.25">
      <c r="C969" s="6"/>
      <c r="G969" s="6"/>
      <c r="K969" s="6"/>
    </row>
    <row r="970" spans="3:11" x14ac:dyDescent="0.25">
      <c r="C970" s="6"/>
      <c r="G970" s="6"/>
      <c r="K970" s="6"/>
    </row>
    <row r="971" spans="3:11" x14ac:dyDescent="0.25">
      <c r="C971" s="6"/>
      <c r="G971" s="6"/>
      <c r="K971" s="6"/>
    </row>
    <row r="972" spans="3:11" x14ac:dyDescent="0.25">
      <c r="C972" s="6"/>
      <c r="G972" s="6"/>
      <c r="K972" s="6"/>
    </row>
    <row r="973" spans="3:11" x14ac:dyDescent="0.25">
      <c r="C973" s="6"/>
      <c r="G973" s="6"/>
      <c r="K973" s="6"/>
    </row>
    <row r="974" spans="3:11" x14ac:dyDescent="0.25">
      <c r="C974" s="6"/>
      <c r="G974" s="6"/>
      <c r="K974" s="6"/>
    </row>
    <row r="975" spans="3:11" x14ac:dyDescent="0.25">
      <c r="C975" s="6"/>
      <c r="G975" s="6"/>
      <c r="K975" s="6"/>
    </row>
    <row r="976" spans="3:11" x14ac:dyDescent="0.25">
      <c r="C976" s="6"/>
      <c r="G976" s="6"/>
      <c r="K976" s="6"/>
    </row>
    <row r="977" spans="3:11" x14ac:dyDescent="0.25">
      <c r="C977" s="6"/>
      <c r="G977" s="6"/>
      <c r="K977" s="6"/>
    </row>
    <row r="978" spans="3:11" x14ac:dyDescent="0.25">
      <c r="C978" s="6"/>
      <c r="G978" s="6"/>
      <c r="K978" s="6"/>
    </row>
    <row r="979" spans="3:11" x14ac:dyDescent="0.25">
      <c r="C979" s="6"/>
      <c r="G979" s="6"/>
      <c r="K979" s="6"/>
    </row>
    <row r="980" spans="3:11" x14ac:dyDescent="0.25">
      <c r="C980" s="6"/>
      <c r="G980" s="6"/>
      <c r="K980" s="6"/>
    </row>
    <row r="981" spans="3:11" x14ac:dyDescent="0.25">
      <c r="C981" s="6"/>
      <c r="G981" s="6"/>
      <c r="K981" s="6"/>
    </row>
    <row r="982" spans="3:11" x14ac:dyDescent="0.25">
      <c r="C982" s="6"/>
      <c r="G982" s="6"/>
      <c r="K982" s="6"/>
    </row>
    <row r="983" spans="3:11" x14ac:dyDescent="0.25">
      <c r="C983" s="6"/>
      <c r="G983" s="6"/>
      <c r="K983" s="6"/>
    </row>
    <row r="984" spans="3:11" x14ac:dyDescent="0.25">
      <c r="C984" s="6"/>
      <c r="G984" s="6"/>
      <c r="K984" s="6"/>
    </row>
    <row r="985" spans="3:11" x14ac:dyDescent="0.25">
      <c r="C985" s="6"/>
      <c r="G985" s="6"/>
      <c r="K985" s="6"/>
    </row>
    <row r="986" spans="3:11" x14ac:dyDescent="0.25">
      <c r="C986" s="6"/>
      <c r="G986" s="6"/>
      <c r="K986" s="6"/>
    </row>
    <row r="987" spans="3:11" x14ac:dyDescent="0.25">
      <c r="C987" s="6"/>
      <c r="G987" s="6"/>
      <c r="K987" s="6"/>
    </row>
    <row r="988" spans="3:11" x14ac:dyDescent="0.25">
      <c r="C988" s="6"/>
      <c r="G988" s="6"/>
      <c r="K988" s="6"/>
    </row>
    <row r="989" spans="3:11" x14ac:dyDescent="0.25">
      <c r="C989" s="6"/>
      <c r="G989" s="6"/>
      <c r="K989" s="6"/>
    </row>
    <row r="990" spans="3:11" x14ac:dyDescent="0.25">
      <c r="C990" s="6"/>
      <c r="G990" s="6"/>
      <c r="K990" s="6"/>
    </row>
    <row r="991" spans="3:11" x14ac:dyDescent="0.25">
      <c r="C991" s="6"/>
      <c r="G991" s="6"/>
      <c r="K991" s="6"/>
    </row>
    <row r="992" spans="3:11" x14ac:dyDescent="0.25">
      <c r="C992" s="6"/>
      <c r="G992" s="6"/>
      <c r="K992" s="6"/>
    </row>
    <row r="993" spans="3:11" x14ac:dyDescent="0.25">
      <c r="C993" s="6"/>
      <c r="G993" s="6"/>
      <c r="K993" s="6"/>
    </row>
    <row r="994" spans="3:11" x14ac:dyDescent="0.25">
      <c r="C994" s="6"/>
      <c r="G994" s="6"/>
      <c r="K994" s="6"/>
    </row>
    <row r="995" spans="3:11" x14ac:dyDescent="0.25">
      <c r="C995" s="6"/>
      <c r="G995" s="6"/>
      <c r="K995" s="6"/>
    </row>
    <row r="996" spans="3:11" x14ac:dyDescent="0.25">
      <c r="C996" s="6"/>
      <c r="G996" s="6"/>
      <c r="K996" s="6"/>
    </row>
    <row r="997" spans="3:11" x14ac:dyDescent="0.25">
      <c r="C997" s="6"/>
      <c r="G997" s="6"/>
      <c r="K997" s="6"/>
    </row>
    <row r="998" spans="3:11" x14ac:dyDescent="0.25">
      <c r="C998" s="6"/>
      <c r="G998" s="6"/>
      <c r="K998" s="6"/>
    </row>
    <row r="999" spans="3:11" x14ac:dyDescent="0.25">
      <c r="C999" s="6"/>
      <c r="G999" s="6"/>
      <c r="K999" s="6"/>
    </row>
    <row r="1000" spans="3:11" x14ac:dyDescent="0.25">
      <c r="C1000" s="6"/>
      <c r="G1000" s="6"/>
      <c r="K1000" s="6"/>
    </row>
    <row r="1001" spans="3:11" x14ac:dyDescent="0.25">
      <c r="C1001" s="6"/>
      <c r="G1001" s="6"/>
      <c r="K1001" s="6"/>
    </row>
    <row r="1002" spans="3:11" x14ac:dyDescent="0.25">
      <c r="C1002" s="6"/>
      <c r="G1002" s="6"/>
      <c r="K1002" s="6"/>
    </row>
    <row r="1003" spans="3:11" x14ac:dyDescent="0.25">
      <c r="C1003" s="6"/>
      <c r="G1003" s="6"/>
      <c r="K1003" s="6"/>
    </row>
    <row r="1004" spans="3:11" x14ac:dyDescent="0.25">
      <c r="C1004" s="6"/>
      <c r="G1004" s="6"/>
      <c r="K1004" s="6"/>
    </row>
    <row r="1005" spans="3:11" x14ac:dyDescent="0.25">
      <c r="C1005" s="6"/>
      <c r="G1005" s="6"/>
      <c r="K1005" s="6"/>
    </row>
    <row r="1006" spans="3:11" x14ac:dyDescent="0.25">
      <c r="C1006" s="6"/>
      <c r="G1006" s="6"/>
      <c r="K1006" s="6"/>
    </row>
    <row r="1007" spans="3:11" x14ac:dyDescent="0.25">
      <c r="C1007" s="6"/>
      <c r="G1007" s="6"/>
      <c r="K1007" s="6"/>
    </row>
    <row r="1008" spans="3:11" x14ac:dyDescent="0.25">
      <c r="C1008" s="6"/>
      <c r="G1008" s="6"/>
      <c r="K1008" s="6"/>
    </row>
    <row r="1009" spans="3:11" x14ac:dyDescent="0.25">
      <c r="C1009" s="6"/>
      <c r="G1009" s="6"/>
      <c r="K1009" s="6"/>
    </row>
    <row r="1010" spans="3:11" x14ac:dyDescent="0.25">
      <c r="C1010" s="6"/>
      <c r="G1010" s="6"/>
      <c r="K1010" s="6"/>
    </row>
    <row r="1011" spans="3:11" x14ac:dyDescent="0.25">
      <c r="C1011" s="6"/>
      <c r="G1011" s="6"/>
      <c r="K1011" s="6"/>
    </row>
    <row r="1012" spans="3:11" x14ac:dyDescent="0.25">
      <c r="C1012" s="6"/>
      <c r="G1012" s="6"/>
      <c r="K1012" s="6"/>
    </row>
    <row r="1013" spans="3:11" x14ac:dyDescent="0.25">
      <c r="C1013" s="6"/>
      <c r="G1013" s="6"/>
      <c r="K1013" s="6"/>
    </row>
    <row r="1014" spans="3:11" x14ac:dyDescent="0.25">
      <c r="C1014" s="6"/>
      <c r="G1014" s="6"/>
      <c r="K1014" s="6"/>
    </row>
    <row r="1015" spans="3:11" x14ac:dyDescent="0.25">
      <c r="C1015" s="6"/>
      <c r="G1015" s="6"/>
      <c r="K1015" s="6"/>
    </row>
    <row r="1016" spans="3:11" x14ac:dyDescent="0.25">
      <c r="C1016" s="6"/>
      <c r="G1016" s="6"/>
      <c r="K1016" s="6"/>
    </row>
    <row r="1017" spans="3:11" x14ac:dyDescent="0.25">
      <c r="C1017" s="6"/>
      <c r="G1017" s="6"/>
      <c r="K1017" s="6"/>
    </row>
    <row r="1018" spans="3:11" x14ac:dyDescent="0.25">
      <c r="C1018" s="6"/>
      <c r="G1018" s="6"/>
      <c r="K1018" s="6"/>
    </row>
    <row r="1019" spans="3:11" x14ac:dyDescent="0.25">
      <c r="C1019" s="6"/>
      <c r="G1019" s="6"/>
      <c r="K1019" s="6"/>
    </row>
    <row r="1020" spans="3:11" x14ac:dyDescent="0.25">
      <c r="C1020" s="6"/>
      <c r="G1020" s="6"/>
      <c r="K1020" s="6"/>
    </row>
    <row r="1021" spans="3:11" x14ac:dyDescent="0.25">
      <c r="C1021" s="6"/>
      <c r="G1021" s="6"/>
      <c r="K1021" s="6"/>
    </row>
    <row r="1022" spans="3:11" x14ac:dyDescent="0.25">
      <c r="C1022" s="6"/>
      <c r="G1022" s="6"/>
      <c r="K1022" s="6"/>
    </row>
    <row r="1023" spans="3:11" x14ac:dyDescent="0.25">
      <c r="C1023" s="6"/>
      <c r="G1023" s="6"/>
      <c r="K1023" s="6"/>
    </row>
    <row r="1024" spans="3:11" x14ac:dyDescent="0.25">
      <c r="C1024" s="6"/>
      <c r="G1024" s="6"/>
      <c r="K1024" s="6"/>
    </row>
    <row r="1025" spans="3:11" x14ac:dyDescent="0.25">
      <c r="C1025" s="6"/>
      <c r="G1025" s="6"/>
      <c r="K1025" s="6"/>
    </row>
    <row r="1026" spans="3:11" x14ac:dyDescent="0.25">
      <c r="C1026" s="6"/>
      <c r="G1026" s="6"/>
      <c r="K1026" s="6"/>
    </row>
    <row r="1027" spans="3:11" x14ac:dyDescent="0.25">
      <c r="C1027" s="6"/>
      <c r="G1027" s="6"/>
      <c r="K1027" s="6"/>
    </row>
    <row r="1028" spans="3:11" x14ac:dyDescent="0.25">
      <c r="C1028" s="6"/>
      <c r="G1028" s="6"/>
      <c r="K1028" s="6"/>
    </row>
    <row r="1029" spans="3:11" x14ac:dyDescent="0.25">
      <c r="C1029" s="6"/>
      <c r="G1029" s="6"/>
      <c r="K1029" s="6"/>
    </row>
    <row r="1030" spans="3:11" x14ac:dyDescent="0.25">
      <c r="C1030" s="6"/>
      <c r="G1030" s="6"/>
      <c r="K1030" s="6"/>
    </row>
    <row r="1031" spans="3:11" x14ac:dyDescent="0.25">
      <c r="C1031" s="6"/>
      <c r="G1031" s="6"/>
      <c r="K1031" s="6"/>
    </row>
    <row r="1032" spans="3:11" x14ac:dyDescent="0.25">
      <c r="C1032" s="6"/>
      <c r="G1032" s="6"/>
      <c r="K1032" s="6"/>
    </row>
    <row r="1033" spans="3:11" x14ac:dyDescent="0.25">
      <c r="C1033" s="6"/>
      <c r="G1033" s="6"/>
      <c r="K1033" s="6"/>
    </row>
    <row r="1034" spans="3:11" x14ac:dyDescent="0.25">
      <c r="C1034" s="6"/>
      <c r="G1034" s="6"/>
      <c r="K1034" s="6"/>
    </row>
    <row r="1035" spans="3:11" x14ac:dyDescent="0.25">
      <c r="C1035" s="6"/>
      <c r="G1035" s="6"/>
      <c r="K1035" s="6"/>
    </row>
    <row r="1036" spans="3:11" x14ac:dyDescent="0.25">
      <c r="C1036" s="6"/>
      <c r="G1036" s="6"/>
      <c r="K1036" s="6"/>
    </row>
    <row r="1037" spans="3:11" x14ac:dyDescent="0.25">
      <c r="C1037" s="6"/>
      <c r="G1037" s="6"/>
      <c r="K1037" s="6"/>
    </row>
    <row r="1038" spans="3:11" x14ac:dyDescent="0.25">
      <c r="C1038" s="6"/>
      <c r="G1038" s="6"/>
      <c r="K1038" s="6"/>
    </row>
    <row r="1039" spans="3:11" x14ac:dyDescent="0.25">
      <c r="C1039" s="6"/>
      <c r="G1039" s="6"/>
      <c r="K1039" s="6"/>
    </row>
    <row r="1040" spans="3:11" x14ac:dyDescent="0.25">
      <c r="C1040" s="6"/>
      <c r="G1040" s="6"/>
      <c r="K1040" s="6"/>
    </row>
    <row r="1041" spans="3:11" x14ac:dyDescent="0.25">
      <c r="C1041" s="6"/>
      <c r="G1041" s="6"/>
      <c r="K1041" s="6"/>
    </row>
    <row r="1042" spans="3:11" x14ac:dyDescent="0.25">
      <c r="C1042" s="6"/>
      <c r="G1042" s="6"/>
      <c r="K1042" s="6"/>
    </row>
    <row r="1043" spans="3:11" x14ac:dyDescent="0.25">
      <c r="C1043" s="6"/>
      <c r="G1043" s="6"/>
      <c r="K1043" s="6"/>
    </row>
    <row r="1044" spans="3:11" x14ac:dyDescent="0.25">
      <c r="C1044" s="6"/>
      <c r="G1044" s="6"/>
      <c r="K1044" s="6"/>
    </row>
    <row r="1045" spans="3:11" x14ac:dyDescent="0.25">
      <c r="C1045" s="6"/>
      <c r="G1045" s="6"/>
      <c r="K1045" s="6"/>
    </row>
    <row r="1046" spans="3:11" x14ac:dyDescent="0.25">
      <c r="C1046" s="6"/>
      <c r="G1046" s="6"/>
      <c r="K1046" s="6"/>
    </row>
    <row r="1047" spans="3:11" x14ac:dyDescent="0.25">
      <c r="C1047" s="6"/>
      <c r="G1047" s="6"/>
      <c r="K1047" s="6"/>
    </row>
    <row r="1048" spans="3:11" x14ac:dyDescent="0.25">
      <c r="C1048" s="6"/>
      <c r="G1048" s="6"/>
      <c r="K1048" s="6"/>
    </row>
    <row r="1049" spans="3:11" x14ac:dyDescent="0.25">
      <c r="C1049" s="6"/>
      <c r="G1049" s="6"/>
      <c r="K1049" s="6"/>
    </row>
    <row r="1050" spans="3:11" x14ac:dyDescent="0.25">
      <c r="C1050" s="6"/>
      <c r="G1050" s="6"/>
      <c r="K1050" s="6"/>
    </row>
    <row r="1051" spans="3:11" x14ac:dyDescent="0.25">
      <c r="C1051" s="6"/>
      <c r="G1051" s="6"/>
      <c r="K1051" s="6"/>
    </row>
    <row r="1052" spans="3:11" x14ac:dyDescent="0.25">
      <c r="C1052" s="6"/>
      <c r="G1052" s="6"/>
      <c r="K1052" s="6"/>
    </row>
    <row r="1053" spans="3:11" x14ac:dyDescent="0.25">
      <c r="C1053" s="6"/>
      <c r="G1053" s="6"/>
      <c r="K1053" s="6"/>
    </row>
    <row r="1054" spans="3:11" x14ac:dyDescent="0.25">
      <c r="C1054" s="6"/>
      <c r="G1054" s="6"/>
      <c r="K1054" s="6"/>
    </row>
    <row r="1055" spans="3:11" x14ac:dyDescent="0.25">
      <c r="C1055" s="6"/>
      <c r="G1055" s="6"/>
      <c r="K1055" s="6"/>
    </row>
    <row r="1056" spans="3:11" x14ac:dyDescent="0.25">
      <c r="C1056" s="6"/>
      <c r="G1056" s="6"/>
      <c r="K1056" s="6"/>
    </row>
    <row r="1057" spans="3:11" x14ac:dyDescent="0.25">
      <c r="C1057" s="6"/>
      <c r="G1057" s="6"/>
      <c r="K1057" s="6"/>
    </row>
    <row r="1058" spans="3:11" x14ac:dyDescent="0.25">
      <c r="C1058" s="6"/>
      <c r="G1058" s="6"/>
      <c r="K1058" s="6"/>
    </row>
    <row r="1059" spans="3:11" x14ac:dyDescent="0.25">
      <c r="C1059" s="6"/>
      <c r="G1059" s="6"/>
      <c r="K1059" s="6"/>
    </row>
    <row r="1060" spans="3:11" x14ac:dyDescent="0.25">
      <c r="C1060" s="6"/>
      <c r="G1060" s="6"/>
      <c r="K1060" s="6"/>
    </row>
    <row r="1061" spans="3:11" x14ac:dyDescent="0.25">
      <c r="C1061" s="6"/>
      <c r="G1061" s="6"/>
      <c r="K1061" s="6"/>
    </row>
    <row r="1062" spans="3:11" x14ac:dyDescent="0.25">
      <c r="C1062" s="6"/>
      <c r="G1062" s="6"/>
      <c r="K1062" s="6"/>
    </row>
    <row r="1063" spans="3:11" x14ac:dyDescent="0.25">
      <c r="C1063" s="6"/>
      <c r="G1063" s="6"/>
      <c r="K1063" s="6"/>
    </row>
    <row r="1064" spans="3:11" x14ac:dyDescent="0.25">
      <c r="C1064" s="6"/>
      <c r="G1064" s="6"/>
      <c r="K1064" s="6"/>
    </row>
    <row r="1065" spans="3:11" x14ac:dyDescent="0.25">
      <c r="C1065" s="6"/>
      <c r="G1065" s="6"/>
      <c r="K1065" s="6"/>
    </row>
    <row r="1066" spans="3:11" x14ac:dyDescent="0.25">
      <c r="C1066" s="6"/>
      <c r="G1066" s="6"/>
      <c r="K1066" s="6"/>
    </row>
    <row r="1067" spans="3:11" x14ac:dyDescent="0.25">
      <c r="C1067" s="6"/>
      <c r="G1067" s="6"/>
      <c r="K1067" s="6"/>
    </row>
    <row r="1068" spans="3:11" x14ac:dyDescent="0.25">
      <c r="C1068" s="6"/>
      <c r="G1068" s="6"/>
      <c r="K1068" s="6"/>
    </row>
    <row r="1069" spans="3:11" x14ac:dyDescent="0.25">
      <c r="C1069" s="6"/>
      <c r="G1069" s="6"/>
      <c r="K1069" s="6"/>
    </row>
    <row r="1070" spans="3:11" x14ac:dyDescent="0.25">
      <c r="C1070" s="6"/>
      <c r="G1070" s="6"/>
      <c r="K1070" s="6"/>
    </row>
    <row r="1071" spans="3:11" x14ac:dyDescent="0.25">
      <c r="C1071" s="6"/>
      <c r="G1071" s="6"/>
      <c r="K1071" s="6"/>
    </row>
    <row r="1072" spans="3:11" x14ac:dyDescent="0.25">
      <c r="C1072" s="6"/>
      <c r="G1072" s="6"/>
      <c r="K1072" s="6"/>
    </row>
    <row r="1073" spans="3:11" x14ac:dyDescent="0.25">
      <c r="C1073" s="6"/>
      <c r="G1073" s="6"/>
      <c r="K1073" s="6"/>
    </row>
    <row r="1074" spans="3:11" x14ac:dyDescent="0.25">
      <c r="C1074" s="6"/>
      <c r="G1074" s="6"/>
      <c r="K1074" s="6"/>
    </row>
    <row r="1075" spans="3:11" x14ac:dyDescent="0.25">
      <c r="C1075" s="6"/>
      <c r="G1075" s="6"/>
      <c r="K1075" s="6"/>
    </row>
    <row r="1076" spans="3:11" x14ac:dyDescent="0.25">
      <c r="C1076" s="6"/>
      <c r="G1076" s="6"/>
      <c r="K1076" s="6"/>
    </row>
    <row r="1077" spans="3:11" x14ac:dyDescent="0.25">
      <c r="C1077" s="6"/>
      <c r="G1077" s="6"/>
      <c r="K1077" s="6"/>
    </row>
    <row r="1078" spans="3:11" x14ac:dyDescent="0.25">
      <c r="C1078" s="6"/>
      <c r="G1078" s="6"/>
      <c r="K1078" s="6"/>
    </row>
    <row r="1079" spans="3:11" x14ac:dyDescent="0.25">
      <c r="C1079" s="6"/>
      <c r="G1079" s="6"/>
      <c r="K1079" s="6"/>
    </row>
    <row r="1080" spans="3:11" x14ac:dyDescent="0.25">
      <c r="C1080" s="6"/>
      <c r="G1080" s="6"/>
      <c r="K1080" s="6"/>
    </row>
    <row r="1081" spans="3:11" x14ac:dyDescent="0.25">
      <c r="C1081" s="6"/>
      <c r="G1081" s="6"/>
      <c r="K1081" s="6"/>
    </row>
    <row r="1082" spans="3:11" x14ac:dyDescent="0.25">
      <c r="C1082" s="6"/>
      <c r="G1082" s="6"/>
      <c r="K1082" s="6"/>
    </row>
    <row r="1083" spans="3:11" x14ac:dyDescent="0.25">
      <c r="C1083" s="6"/>
      <c r="G1083" s="6"/>
      <c r="K1083" s="6"/>
    </row>
    <row r="1084" spans="3:11" x14ac:dyDescent="0.25">
      <c r="C1084" s="6"/>
      <c r="G1084" s="6"/>
      <c r="K1084" s="6"/>
    </row>
    <row r="1085" spans="3:11" x14ac:dyDescent="0.25">
      <c r="C1085" s="6"/>
      <c r="G1085" s="6"/>
      <c r="K1085" s="6"/>
    </row>
    <row r="1086" spans="3:11" x14ac:dyDescent="0.25">
      <c r="C1086" s="6"/>
      <c r="G1086" s="6"/>
      <c r="K1086" s="6"/>
    </row>
    <row r="1087" spans="3:11" x14ac:dyDescent="0.25">
      <c r="C1087" s="6"/>
      <c r="G1087" s="6"/>
      <c r="K1087" s="6"/>
    </row>
    <row r="1088" spans="3:11" x14ac:dyDescent="0.25">
      <c r="C1088" s="6"/>
      <c r="G1088" s="6"/>
      <c r="K1088" s="6"/>
    </row>
    <row r="1089" spans="3:11" x14ac:dyDescent="0.25">
      <c r="C1089" s="6"/>
      <c r="G1089" s="6"/>
      <c r="K1089" s="6"/>
    </row>
    <row r="1090" spans="3:11" x14ac:dyDescent="0.25">
      <c r="C1090" s="6"/>
      <c r="G1090" s="6"/>
      <c r="K1090" s="6"/>
    </row>
    <row r="1091" spans="3:11" x14ac:dyDescent="0.25">
      <c r="C1091" s="6"/>
      <c r="G1091" s="6"/>
      <c r="K1091" s="6"/>
    </row>
    <row r="1092" spans="3:11" x14ac:dyDescent="0.25">
      <c r="C1092" s="6"/>
      <c r="G1092" s="6"/>
      <c r="K1092" s="6"/>
    </row>
    <row r="1093" spans="3:11" x14ac:dyDescent="0.25">
      <c r="C1093" s="6"/>
      <c r="G1093" s="6"/>
      <c r="K1093" s="6"/>
    </row>
    <row r="1094" spans="3:11" x14ac:dyDescent="0.25">
      <c r="C1094" s="6"/>
      <c r="G1094" s="6"/>
      <c r="K1094" s="6"/>
    </row>
    <row r="1095" spans="3:11" x14ac:dyDescent="0.25">
      <c r="C1095" s="6"/>
      <c r="G1095" s="6"/>
      <c r="K1095" s="6"/>
    </row>
    <row r="1096" spans="3:11" x14ac:dyDescent="0.25">
      <c r="C1096" s="6"/>
      <c r="G1096" s="6"/>
      <c r="K1096" s="6"/>
    </row>
    <row r="1097" spans="3:11" x14ac:dyDescent="0.25">
      <c r="C1097" s="6"/>
      <c r="G1097" s="6"/>
      <c r="K1097" s="6"/>
    </row>
    <row r="1098" spans="3:11" x14ac:dyDescent="0.25">
      <c r="C1098" s="6"/>
      <c r="G1098" s="6"/>
      <c r="K1098" s="6"/>
    </row>
    <row r="1099" spans="3:11" x14ac:dyDescent="0.25">
      <c r="C1099" s="6"/>
      <c r="G1099" s="6"/>
      <c r="K1099" s="6"/>
    </row>
    <row r="1100" spans="3:11" x14ac:dyDescent="0.25">
      <c r="C1100" s="6"/>
      <c r="G1100" s="6"/>
      <c r="K1100" s="6"/>
    </row>
    <row r="1101" spans="3:11" x14ac:dyDescent="0.25">
      <c r="C1101" s="6"/>
      <c r="G1101" s="6"/>
      <c r="K1101" s="6"/>
    </row>
    <row r="1102" spans="3:11" x14ac:dyDescent="0.25">
      <c r="C1102" s="6"/>
      <c r="G1102" s="6"/>
      <c r="K1102" s="6"/>
    </row>
    <row r="1103" spans="3:11" x14ac:dyDescent="0.25">
      <c r="C1103" s="6"/>
      <c r="G1103" s="6"/>
      <c r="K1103" s="6"/>
    </row>
    <row r="1104" spans="3:11" x14ac:dyDescent="0.25">
      <c r="C1104" s="6"/>
      <c r="G1104" s="6"/>
      <c r="K1104" s="6"/>
    </row>
    <row r="1105" spans="3:11" x14ac:dyDescent="0.25">
      <c r="C1105" s="6"/>
      <c r="G1105" s="6"/>
      <c r="K1105" s="6"/>
    </row>
    <row r="1106" spans="3:11" x14ac:dyDescent="0.25">
      <c r="C1106" s="6"/>
      <c r="G1106" s="6"/>
      <c r="K1106" s="6"/>
    </row>
    <row r="1107" spans="3:11" x14ac:dyDescent="0.25">
      <c r="C1107" s="6"/>
      <c r="G1107" s="6"/>
      <c r="K1107" s="6"/>
    </row>
    <row r="1108" spans="3:11" x14ac:dyDescent="0.25">
      <c r="C1108" s="6"/>
      <c r="G1108" s="6"/>
      <c r="K1108" s="6"/>
    </row>
    <row r="1109" spans="3:11" x14ac:dyDescent="0.25">
      <c r="C1109" s="6"/>
      <c r="G1109" s="6"/>
      <c r="K1109" s="6"/>
    </row>
    <row r="1110" spans="3:11" x14ac:dyDescent="0.25">
      <c r="C1110" s="6"/>
      <c r="G1110" s="6"/>
      <c r="K1110" s="6"/>
    </row>
    <row r="1111" spans="3:11" x14ac:dyDescent="0.25">
      <c r="C1111" s="6"/>
      <c r="G1111" s="6"/>
      <c r="K1111" s="6"/>
    </row>
    <row r="1112" spans="3:11" x14ac:dyDescent="0.25">
      <c r="C1112" s="6"/>
      <c r="G1112" s="6"/>
      <c r="K1112" s="6"/>
    </row>
    <row r="1113" spans="3:11" x14ac:dyDescent="0.25">
      <c r="C1113" s="6"/>
      <c r="G1113" s="6"/>
      <c r="K1113" s="6"/>
    </row>
    <row r="1114" spans="3:11" x14ac:dyDescent="0.25">
      <c r="C1114" s="6"/>
      <c r="G1114" s="6"/>
      <c r="K1114" s="6"/>
    </row>
    <row r="1115" spans="3:11" x14ac:dyDescent="0.25">
      <c r="C1115" s="6"/>
      <c r="G1115" s="6"/>
      <c r="K1115" s="6"/>
    </row>
    <row r="1116" spans="3:11" x14ac:dyDescent="0.25">
      <c r="C1116" s="6"/>
      <c r="G1116" s="6"/>
      <c r="K1116" s="6"/>
    </row>
    <row r="1117" spans="3:11" x14ac:dyDescent="0.25">
      <c r="C1117" s="6"/>
      <c r="G1117" s="6"/>
      <c r="K1117" s="6"/>
    </row>
    <row r="1118" spans="3:11" x14ac:dyDescent="0.25">
      <c r="C1118" s="6"/>
      <c r="G1118" s="6"/>
      <c r="K1118" s="6"/>
    </row>
    <row r="1119" spans="3:11" x14ac:dyDescent="0.25">
      <c r="C1119" s="6"/>
      <c r="G1119" s="6"/>
      <c r="K1119" s="6"/>
    </row>
    <row r="1120" spans="3:11" x14ac:dyDescent="0.25">
      <c r="C1120" s="6"/>
      <c r="G1120" s="6"/>
      <c r="K1120" s="6"/>
    </row>
    <row r="1121" spans="3:11" x14ac:dyDescent="0.25">
      <c r="C1121" s="6"/>
      <c r="G1121" s="6"/>
      <c r="K1121" s="6"/>
    </row>
    <row r="1122" spans="3:11" x14ac:dyDescent="0.25">
      <c r="C1122" s="6"/>
      <c r="G1122" s="6"/>
      <c r="K1122" s="6"/>
    </row>
    <row r="1123" spans="3:11" x14ac:dyDescent="0.25">
      <c r="C1123" s="6"/>
      <c r="G1123" s="6"/>
      <c r="K1123" s="6"/>
    </row>
    <row r="1124" spans="3:11" x14ac:dyDescent="0.25">
      <c r="C1124" s="6"/>
      <c r="G1124" s="6"/>
      <c r="K1124" s="6"/>
    </row>
    <row r="1125" spans="3:11" x14ac:dyDescent="0.25">
      <c r="C1125" s="6"/>
      <c r="G1125" s="6"/>
      <c r="K1125" s="6"/>
    </row>
    <row r="1126" spans="3:11" x14ac:dyDescent="0.25">
      <c r="C1126" s="6"/>
      <c r="G1126" s="6"/>
      <c r="K1126" s="6"/>
    </row>
    <row r="1127" spans="3:11" x14ac:dyDescent="0.25">
      <c r="C1127" s="6"/>
      <c r="G1127" s="6"/>
      <c r="K1127" s="6"/>
    </row>
    <row r="1128" spans="3:11" x14ac:dyDescent="0.25">
      <c r="C1128" s="6"/>
      <c r="G1128" s="6"/>
      <c r="K1128" s="6"/>
    </row>
    <row r="1129" spans="3:11" x14ac:dyDescent="0.25">
      <c r="C1129" s="6"/>
      <c r="G1129" s="6"/>
      <c r="K1129" s="6"/>
    </row>
    <row r="1130" spans="3:11" x14ac:dyDescent="0.25">
      <c r="C1130" s="6"/>
      <c r="G1130" s="6"/>
      <c r="K1130" s="6"/>
    </row>
    <row r="1131" spans="3:11" x14ac:dyDescent="0.25">
      <c r="C1131" s="6"/>
      <c r="G1131" s="6"/>
      <c r="K1131" s="6"/>
    </row>
    <row r="1132" spans="3:11" x14ac:dyDescent="0.25">
      <c r="C1132" s="6"/>
      <c r="G1132" s="6"/>
      <c r="K1132" s="6"/>
    </row>
    <row r="1133" spans="3:11" x14ac:dyDescent="0.25">
      <c r="C1133" s="6"/>
      <c r="G1133" s="6"/>
      <c r="K1133" s="6"/>
    </row>
    <row r="1134" spans="3:11" x14ac:dyDescent="0.25">
      <c r="C1134" s="6"/>
      <c r="G1134" s="6"/>
      <c r="K1134" s="6"/>
    </row>
    <row r="1135" spans="3:11" x14ac:dyDescent="0.25">
      <c r="C1135" s="6"/>
      <c r="G1135" s="6"/>
      <c r="K1135" s="6"/>
    </row>
    <row r="1136" spans="3:11" x14ac:dyDescent="0.25">
      <c r="C1136" s="6"/>
      <c r="G1136" s="6"/>
      <c r="K1136" s="6"/>
    </row>
    <row r="1137" spans="3:11" x14ac:dyDescent="0.25">
      <c r="C1137" s="6"/>
      <c r="G1137" s="6"/>
      <c r="K1137" s="6"/>
    </row>
    <row r="1138" spans="3:11" x14ac:dyDescent="0.25">
      <c r="C1138" s="6"/>
      <c r="G1138" s="6"/>
      <c r="K1138" s="6"/>
    </row>
    <row r="1139" spans="3:11" x14ac:dyDescent="0.25">
      <c r="C1139" s="6"/>
      <c r="G1139" s="6"/>
      <c r="K1139" s="6"/>
    </row>
    <row r="1140" spans="3:11" x14ac:dyDescent="0.25">
      <c r="C1140" s="6"/>
      <c r="G1140" s="6"/>
      <c r="K1140" s="6"/>
    </row>
    <row r="1141" spans="3:11" x14ac:dyDescent="0.25">
      <c r="C1141" s="6"/>
      <c r="G1141" s="6"/>
      <c r="K1141" s="6"/>
    </row>
    <row r="1142" spans="3:11" x14ac:dyDescent="0.25">
      <c r="C1142" s="6"/>
      <c r="G1142" s="6"/>
      <c r="K1142" s="6"/>
    </row>
    <row r="1143" spans="3:11" x14ac:dyDescent="0.25">
      <c r="C1143" s="6"/>
      <c r="G1143" s="6"/>
      <c r="K1143" s="6"/>
    </row>
    <row r="1144" spans="3:11" x14ac:dyDescent="0.25">
      <c r="C1144" s="6"/>
      <c r="G1144" s="6"/>
      <c r="K1144" s="6"/>
    </row>
    <row r="1145" spans="3:11" x14ac:dyDescent="0.25">
      <c r="C1145" s="6"/>
      <c r="G1145" s="6"/>
      <c r="K1145" s="6"/>
    </row>
    <row r="1146" spans="3:11" x14ac:dyDescent="0.25">
      <c r="C1146" s="6"/>
      <c r="G1146" s="6"/>
      <c r="K1146" s="6"/>
    </row>
    <row r="1147" spans="3:11" x14ac:dyDescent="0.25">
      <c r="C1147" s="6"/>
      <c r="G1147" s="6"/>
      <c r="K1147" s="6"/>
    </row>
    <row r="1148" spans="3:11" x14ac:dyDescent="0.25">
      <c r="C1148" s="6"/>
      <c r="G1148" s="6"/>
      <c r="K1148" s="6"/>
    </row>
    <row r="1149" spans="3:11" x14ac:dyDescent="0.25">
      <c r="C1149" s="6"/>
      <c r="G1149" s="6"/>
      <c r="K1149" s="6"/>
    </row>
    <row r="1150" spans="3:11" x14ac:dyDescent="0.25">
      <c r="C1150" s="6"/>
      <c r="G1150" s="6"/>
      <c r="K1150" s="6"/>
    </row>
    <row r="1151" spans="3:11" x14ac:dyDescent="0.25">
      <c r="C1151" s="6"/>
      <c r="G1151" s="6"/>
      <c r="K1151" s="6"/>
    </row>
    <row r="1152" spans="3:11" x14ac:dyDescent="0.25">
      <c r="C1152" s="6"/>
      <c r="G1152" s="6"/>
      <c r="K1152" s="6"/>
    </row>
    <row r="1153" spans="3:11" x14ac:dyDescent="0.25">
      <c r="C1153" s="6"/>
      <c r="G1153" s="6"/>
      <c r="K1153" s="6"/>
    </row>
    <row r="1154" spans="3:11" x14ac:dyDescent="0.25">
      <c r="C1154" s="6"/>
      <c r="G1154" s="6"/>
      <c r="K1154" s="6"/>
    </row>
    <row r="1155" spans="3:11" x14ac:dyDescent="0.25">
      <c r="C1155" s="6"/>
      <c r="G1155" s="6"/>
      <c r="K1155" s="6"/>
    </row>
    <row r="1156" spans="3:11" x14ac:dyDescent="0.25">
      <c r="C1156" s="6"/>
      <c r="G1156" s="6"/>
      <c r="K1156" s="6"/>
    </row>
    <row r="1157" spans="3:11" x14ac:dyDescent="0.25">
      <c r="C1157" s="6"/>
      <c r="G1157" s="6"/>
      <c r="K1157" s="6"/>
    </row>
    <row r="1158" spans="3:11" x14ac:dyDescent="0.25">
      <c r="C1158" s="6"/>
      <c r="G1158" s="6"/>
      <c r="K1158" s="6"/>
    </row>
    <row r="1159" spans="3:11" x14ac:dyDescent="0.25">
      <c r="C1159" s="6"/>
      <c r="G1159" s="6"/>
      <c r="K1159" s="6"/>
    </row>
    <row r="1160" spans="3:11" x14ac:dyDescent="0.25">
      <c r="C1160" s="6"/>
      <c r="G1160" s="6"/>
      <c r="K1160" s="6"/>
    </row>
    <row r="1161" spans="3:11" x14ac:dyDescent="0.25">
      <c r="C1161" s="6"/>
      <c r="G1161" s="6"/>
      <c r="K1161" s="6"/>
    </row>
    <row r="1162" spans="3:11" x14ac:dyDescent="0.25">
      <c r="C1162" s="6"/>
      <c r="G1162" s="6"/>
      <c r="K1162" s="6"/>
    </row>
    <row r="1163" spans="3:11" x14ac:dyDescent="0.25">
      <c r="C1163" s="6"/>
      <c r="G1163" s="6"/>
      <c r="K1163" s="6"/>
    </row>
    <row r="1164" spans="3:11" x14ac:dyDescent="0.25">
      <c r="C1164" s="6"/>
      <c r="G1164" s="6"/>
      <c r="K1164" s="6"/>
    </row>
    <row r="1165" spans="3:11" x14ac:dyDescent="0.25">
      <c r="C1165" s="6"/>
      <c r="G1165" s="6"/>
      <c r="K1165" s="6"/>
    </row>
    <row r="1166" spans="3:11" x14ac:dyDescent="0.25">
      <c r="C1166" s="6"/>
      <c r="G1166" s="6"/>
      <c r="K1166" s="6"/>
    </row>
    <row r="1167" spans="3:11" x14ac:dyDescent="0.25">
      <c r="C1167" s="6"/>
      <c r="G1167" s="6"/>
      <c r="K1167" s="6"/>
    </row>
    <row r="1168" spans="3:11" x14ac:dyDescent="0.25">
      <c r="C1168" s="6"/>
      <c r="G1168" s="6"/>
      <c r="K1168" s="6"/>
    </row>
    <row r="1169" spans="3:11" x14ac:dyDescent="0.25">
      <c r="C1169" s="6"/>
      <c r="G1169" s="6"/>
      <c r="K1169" s="6"/>
    </row>
    <row r="1170" spans="3:11" x14ac:dyDescent="0.25">
      <c r="C1170" s="6"/>
      <c r="G1170" s="6"/>
      <c r="K1170" s="6"/>
    </row>
    <row r="1171" spans="3:11" x14ac:dyDescent="0.25">
      <c r="C1171" s="6"/>
      <c r="G1171" s="6"/>
      <c r="K1171" s="6"/>
    </row>
    <row r="1172" spans="3:11" x14ac:dyDescent="0.25">
      <c r="C1172" s="6"/>
      <c r="G1172" s="6"/>
      <c r="K1172" s="6"/>
    </row>
    <row r="1173" spans="3:11" x14ac:dyDescent="0.25">
      <c r="C1173" s="6"/>
      <c r="G1173" s="6"/>
      <c r="K1173" s="6"/>
    </row>
    <row r="1174" spans="3:11" x14ac:dyDescent="0.25">
      <c r="C1174" s="6"/>
      <c r="G1174" s="6"/>
      <c r="K1174" s="6"/>
    </row>
    <row r="1175" spans="3:11" x14ac:dyDescent="0.25">
      <c r="C1175" s="6"/>
      <c r="G1175" s="6"/>
      <c r="K1175" s="6"/>
    </row>
    <row r="1176" spans="3:11" x14ac:dyDescent="0.25">
      <c r="C1176" s="6"/>
      <c r="G1176" s="6"/>
      <c r="K1176" s="6"/>
    </row>
    <row r="1177" spans="3:11" x14ac:dyDescent="0.25">
      <c r="C1177" s="6"/>
      <c r="G1177" s="6"/>
      <c r="K1177" s="6"/>
    </row>
    <row r="1178" spans="3:11" x14ac:dyDescent="0.25">
      <c r="C1178" s="6"/>
      <c r="G1178" s="6"/>
      <c r="K1178" s="6"/>
    </row>
    <row r="1179" spans="3:11" x14ac:dyDescent="0.25">
      <c r="C1179" s="6"/>
      <c r="G1179" s="6"/>
      <c r="K1179" s="6"/>
    </row>
    <row r="1180" spans="3:11" x14ac:dyDescent="0.25">
      <c r="C1180" s="6"/>
      <c r="G1180" s="6"/>
      <c r="K1180" s="6"/>
    </row>
    <row r="1181" spans="3:11" x14ac:dyDescent="0.25">
      <c r="C1181" s="6"/>
      <c r="G1181" s="6"/>
      <c r="K1181" s="6"/>
    </row>
    <row r="1182" spans="3:11" x14ac:dyDescent="0.25">
      <c r="C1182" s="6"/>
      <c r="G1182" s="6"/>
      <c r="K1182" s="6"/>
    </row>
    <row r="1183" spans="3:11" x14ac:dyDescent="0.25">
      <c r="C1183" s="6"/>
      <c r="G1183" s="6"/>
      <c r="K1183" s="6"/>
    </row>
    <row r="1184" spans="3:11" x14ac:dyDescent="0.25">
      <c r="C1184" s="6"/>
      <c r="G1184" s="6"/>
      <c r="K1184" s="6"/>
    </row>
    <row r="1185" spans="3:11" x14ac:dyDescent="0.25">
      <c r="C1185" s="6"/>
      <c r="G1185" s="6"/>
      <c r="K1185" s="6"/>
    </row>
    <row r="1186" spans="3:11" x14ac:dyDescent="0.25">
      <c r="C1186" s="6"/>
      <c r="G1186" s="6"/>
      <c r="K1186" s="6"/>
    </row>
    <row r="1187" spans="3:11" x14ac:dyDescent="0.25">
      <c r="C1187" s="6"/>
      <c r="G1187" s="6"/>
      <c r="K1187" s="6"/>
    </row>
    <row r="1188" spans="3:11" x14ac:dyDescent="0.25">
      <c r="C1188" s="6"/>
      <c r="G1188" s="6"/>
      <c r="K1188" s="6"/>
    </row>
    <row r="1189" spans="3:11" x14ac:dyDescent="0.25">
      <c r="C1189" s="6"/>
      <c r="G1189" s="6"/>
      <c r="K1189" s="6"/>
    </row>
    <row r="1190" spans="3:11" x14ac:dyDescent="0.25">
      <c r="C1190" s="6"/>
      <c r="G1190" s="6"/>
      <c r="K1190" s="6"/>
    </row>
    <row r="1191" spans="3:11" x14ac:dyDescent="0.25">
      <c r="C1191" s="6"/>
      <c r="G1191" s="6"/>
      <c r="K1191" s="6"/>
    </row>
    <row r="1192" spans="3:11" x14ac:dyDescent="0.25">
      <c r="C1192" s="6"/>
      <c r="G1192" s="6"/>
      <c r="K1192" s="6"/>
    </row>
    <row r="1193" spans="3:11" x14ac:dyDescent="0.25">
      <c r="C1193" s="6"/>
      <c r="G1193" s="6"/>
      <c r="K1193" s="6"/>
    </row>
    <row r="1194" spans="3:11" x14ac:dyDescent="0.25">
      <c r="C1194" s="6"/>
      <c r="G1194" s="6"/>
      <c r="K1194" s="6"/>
    </row>
    <row r="1195" spans="3:11" x14ac:dyDescent="0.25">
      <c r="C1195" s="6"/>
      <c r="G1195" s="6"/>
      <c r="K1195" s="6"/>
    </row>
    <row r="1196" spans="3:11" x14ac:dyDescent="0.25">
      <c r="C1196" s="6"/>
      <c r="G1196" s="6"/>
      <c r="K1196" s="6"/>
    </row>
    <row r="1197" spans="3:11" x14ac:dyDescent="0.25">
      <c r="C1197" s="6"/>
      <c r="G1197" s="6"/>
      <c r="K1197" s="6"/>
    </row>
    <row r="1198" spans="3:11" x14ac:dyDescent="0.25">
      <c r="C1198" s="6"/>
      <c r="G1198" s="6"/>
      <c r="K1198" s="6"/>
    </row>
    <row r="1199" spans="3:11" x14ac:dyDescent="0.25">
      <c r="C1199" s="6"/>
      <c r="G1199" s="6"/>
      <c r="K1199" s="6"/>
    </row>
    <row r="1200" spans="3:11" x14ac:dyDescent="0.25">
      <c r="C1200" s="6"/>
      <c r="G1200" s="6"/>
      <c r="K1200" s="6"/>
    </row>
    <row r="1201" spans="3:11" x14ac:dyDescent="0.25">
      <c r="C1201" s="6"/>
      <c r="G1201" s="6"/>
      <c r="K1201" s="6"/>
    </row>
    <row r="1202" spans="3:11" x14ac:dyDescent="0.25">
      <c r="C1202" s="6"/>
      <c r="G1202" s="6"/>
      <c r="K1202" s="6"/>
    </row>
    <row r="1203" spans="3:11" x14ac:dyDescent="0.25">
      <c r="C1203" s="6"/>
      <c r="G1203" s="6"/>
      <c r="K1203" s="6"/>
    </row>
    <row r="1204" spans="3:11" x14ac:dyDescent="0.25">
      <c r="C1204" s="6"/>
      <c r="G1204" s="6"/>
      <c r="K1204" s="6"/>
    </row>
    <row r="1205" spans="3:11" x14ac:dyDescent="0.25">
      <c r="C1205" s="6"/>
      <c r="G1205" s="6"/>
      <c r="K1205" s="6"/>
    </row>
    <row r="1206" spans="3:11" x14ac:dyDescent="0.25">
      <c r="C1206" s="6"/>
      <c r="G1206" s="6"/>
      <c r="K1206" s="6"/>
    </row>
    <row r="1207" spans="3:11" x14ac:dyDescent="0.25">
      <c r="C1207" s="6"/>
      <c r="G1207" s="6"/>
      <c r="K1207" s="6"/>
    </row>
    <row r="1208" spans="3:11" x14ac:dyDescent="0.25">
      <c r="C1208" s="6"/>
      <c r="G1208" s="6"/>
      <c r="K1208" s="6"/>
    </row>
    <row r="1209" spans="3:11" x14ac:dyDescent="0.25">
      <c r="C1209" s="6"/>
      <c r="G1209" s="6"/>
      <c r="K1209" s="6"/>
    </row>
    <row r="1210" spans="3:11" x14ac:dyDescent="0.25">
      <c r="C1210" s="6"/>
      <c r="G1210" s="6"/>
      <c r="K1210" s="6"/>
    </row>
    <row r="1211" spans="3:11" x14ac:dyDescent="0.25">
      <c r="C1211" s="6"/>
      <c r="G1211" s="6"/>
      <c r="K1211" s="6"/>
    </row>
    <row r="1212" spans="3:11" x14ac:dyDescent="0.25">
      <c r="C1212" s="6"/>
      <c r="G1212" s="6"/>
      <c r="K1212" s="6"/>
    </row>
    <row r="1213" spans="3:11" x14ac:dyDescent="0.25">
      <c r="C1213" s="6"/>
      <c r="G1213" s="6"/>
      <c r="K1213" s="6"/>
    </row>
    <row r="1214" spans="3:11" x14ac:dyDescent="0.25">
      <c r="C1214" s="6"/>
      <c r="G1214" s="6"/>
      <c r="K1214" s="6"/>
    </row>
    <row r="1215" spans="3:11" x14ac:dyDescent="0.25">
      <c r="C1215" s="6"/>
      <c r="G1215" s="6"/>
      <c r="K1215" s="6"/>
    </row>
    <row r="1216" spans="3:11" x14ac:dyDescent="0.25">
      <c r="C1216" s="6"/>
      <c r="G1216" s="6"/>
      <c r="K1216" s="6"/>
    </row>
    <row r="1217" spans="3:11" x14ac:dyDescent="0.25">
      <c r="C1217" s="6"/>
      <c r="G1217" s="6"/>
      <c r="K1217" s="6"/>
    </row>
    <row r="1218" spans="3:11" x14ac:dyDescent="0.25">
      <c r="C1218" s="6"/>
      <c r="G1218" s="6"/>
      <c r="K1218" s="6"/>
    </row>
    <row r="1219" spans="3:11" x14ac:dyDescent="0.25">
      <c r="C1219" s="6"/>
      <c r="G1219" s="6"/>
      <c r="K1219" s="6"/>
    </row>
    <row r="1220" spans="3:11" x14ac:dyDescent="0.25">
      <c r="C1220" s="6"/>
      <c r="G1220" s="6"/>
      <c r="K1220" s="6"/>
    </row>
    <row r="1221" spans="3:11" x14ac:dyDescent="0.25">
      <c r="C1221" s="6"/>
      <c r="G1221" s="6"/>
      <c r="K1221" s="6"/>
    </row>
    <row r="1222" spans="3:11" x14ac:dyDescent="0.25">
      <c r="C1222" s="6"/>
      <c r="G1222" s="6"/>
      <c r="K1222" s="6"/>
    </row>
    <row r="1223" spans="3:11" x14ac:dyDescent="0.25">
      <c r="C1223" s="6"/>
      <c r="G1223" s="6"/>
      <c r="K1223" s="6"/>
    </row>
    <row r="1224" spans="3:11" x14ac:dyDescent="0.25">
      <c r="C1224" s="6"/>
      <c r="G1224" s="6"/>
      <c r="K1224" s="6"/>
    </row>
    <row r="1225" spans="3:11" x14ac:dyDescent="0.25">
      <c r="C1225" s="6"/>
      <c r="G1225" s="6"/>
      <c r="K1225" s="6"/>
    </row>
    <row r="1226" spans="3:11" x14ac:dyDescent="0.25">
      <c r="C1226" s="6"/>
      <c r="G1226" s="6"/>
      <c r="K1226" s="6"/>
    </row>
    <row r="1227" spans="3:11" x14ac:dyDescent="0.25">
      <c r="C1227" s="6"/>
      <c r="G1227" s="6"/>
      <c r="K1227" s="6"/>
    </row>
    <row r="1228" spans="3:11" x14ac:dyDescent="0.25">
      <c r="C1228" s="6"/>
      <c r="G1228" s="6"/>
      <c r="K1228" s="6"/>
    </row>
    <row r="1229" spans="3:11" x14ac:dyDescent="0.25">
      <c r="C1229" s="6"/>
      <c r="G1229" s="6"/>
      <c r="K1229" s="6"/>
    </row>
    <row r="1230" spans="3:11" x14ac:dyDescent="0.25">
      <c r="C1230" s="6"/>
      <c r="G1230" s="6"/>
      <c r="K1230" s="6"/>
    </row>
    <row r="1231" spans="3:11" x14ac:dyDescent="0.25">
      <c r="C1231" s="6"/>
      <c r="G1231" s="6"/>
      <c r="K1231" s="6"/>
    </row>
    <row r="1232" spans="3:11" x14ac:dyDescent="0.25">
      <c r="C1232" s="6"/>
      <c r="G1232" s="6"/>
      <c r="K1232" s="6"/>
    </row>
    <row r="1233" spans="3:11" x14ac:dyDescent="0.25">
      <c r="C1233" s="6"/>
      <c r="G1233" s="6"/>
      <c r="K1233" s="6"/>
    </row>
    <row r="1234" spans="3:11" x14ac:dyDescent="0.25">
      <c r="C1234" s="6"/>
      <c r="G1234" s="6"/>
      <c r="K1234" s="6"/>
    </row>
    <row r="1235" spans="3:11" x14ac:dyDescent="0.25">
      <c r="C1235" s="6"/>
      <c r="G1235" s="6"/>
      <c r="K1235" s="6"/>
    </row>
    <row r="1236" spans="3:11" x14ac:dyDescent="0.25">
      <c r="C1236" s="6"/>
      <c r="G1236" s="6"/>
      <c r="K1236" s="6"/>
    </row>
    <row r="1237" spans="3:11" x14ac:dyDescent="0.25">
      <c r="C1237" s="6"/>
      <c r="G1237" s="6"/>
      <c r="K1237" s="6"/>
    </row>
    <row r="1238" spans="3:11" x14ac:dyDescent="0.25">
      <c r="C1238" s="6"/>
      <c r="G1238" s="6"/>
      <c r="K1238" s="6"/>
    </row>
    <row r="1239" spans="3:11" x14ac:dyDescent="0.25">
      <c r="C1239" s="6"/>
      <c r="G1239" s="6"/>
      <c r="K1239" s="6"/>
    </row>
    <row r="1240" spans="3:11" x14ac:dyDescent="0.25">
      <c r="C1240" s="6"/>
      <c r="G1240" s="6"/>
      <c r="K1240" s="6"/>
    </row>
    <row r="1241" spans="3:11" x14ac:dyDescent="0.25">
      <c r="C1241" s="6"/>
      <c r="G1241" s="6"/>
      <c r="K1241" s="6"/>
    </row>
    <row r="1242" spans="3:11" x14ac:dyDescent="0.25">
      <c r="C1242" s="6"/>
      <c r="G1242" s="6"/>
      <c r="K1242" s="6"/>
    </row>
    <row r="1243" spans="3:11" x14ac:dyDescent="0.25">
      <c r="C1243" s="6"/>
      <c r="G1243" s="6"/>
      <c r="K1243" s="6"/>
    </row>
    <row r="1244" spans="3:11" x14ac:dyDescent="0.25">
      <c r="C1244" s="6"/>
      <c r="G1244" s="6"/>
      <c r="K1244" s="6"/>
    </row>
    <row r="1245" spans="3:11" x14ac:dyDescent="0.25">
      <c r="C1245" s="6"/>
      <c r="G1245" s="6"/>
      <c r="K1245" s="6"/>
    </row>
    <row r="1246" spans="3:11" x14ac:dyDescent="0.25">
      <c r="C1246" s="6"/>
      <c r="G1246" s="6"/>
      <c r="K1246" s="6"/>
    </row>
    <row r="1247" spans="3:11" x14ac:dyDescent="0.25">
      <c r="C1247" s="6"/>
      <c r="G1247" s="6"/>
      <c r="K1247" s="6"/>
    </row>
    <row r="1248" spans="3:11" x14ac:dyDescent="0.25">
      <c r="C1248" s="6"/>
      <c r="G1248" s="6"/>
      <c r="K1248" s="6"/>
    </row>
    <row r="1249" spans="3:11" x14ac:dyDescent="0.25">
      <c r="C1249" s="6"/>
      <c r="G1249" s="6"/>
      <c r="K1249" s="6"/>
    </row>
    <row r="1250" spans="3:11" x14ac:dyDescent="0.25">
      <c r="C1250" s="6"/>
      <c r="G1250" s="6"/>
      <c r="K1250" s="6"/>
    </row>
    <row r="1251" spans="3:11" x14ac:dyDescent="0.25">
      <c r="C1251" s="6"/>
      <c r="G1251" s="6"/>
      <c r="K1251" s="6"/>
    </row>
    <row r="1252" spans="3:11" x14ac:dyDescent="0.25">
      <c r="C1252" s="6"/>
      <c r="G1252" s="6"/>
      <c r="K1252" s="6"/>
    </row>
    <row r="1253" spans="3:11" x14ac:dyDescent="0.25">
      <c r="C1253" s="6"/>
      <c r="G1253" s="6"/>
      <c r="K1253" s="6"/>
    </row>
    <row r="1254" spans="3:11" x14ac:dyDescent="0.25">
      <c r="C1254" s="6"/>
      <c r="G1254" s="6"/>
      <c r="K1254" s="6"/>
    </row>
    <row r="1255" spans="3:11" x14ac:dyDescent="0.25">
      <c r="C1255" s="6"/>
      <c r="G1255" s="6"/>
      <c r="K1255" s="6"/>
    </row>
    <row r="1256" spans="3:11" x14ac:dyDescent="0.25">
      <c r="C1256" s="6"/>
      <c r="G1256" s="6"/>
      <c r="K1256" s="6"/>
    </row>
    <row r="1257" spans="3:11" x14ac:dyDescent="0.25">
      <c r="C1257" s="6"/>
      <c r="G1257" s="6"/>
      <c r="K1257" s="6"/>
    </row>
    <row r="1258" spans="3:11" x14ac:dyDescent="0.25">
      <c r="C1258" s="6"/>
      <c r="G1258" s="6"/>
      <c r="K1258" s="6"/>
    </row>
    <row r="1259" spans="3:11" x14ac:dyDescent="0.25">
      <c r="C1259" s="6"/>
      <c r="G1259" s="6"/>
      <c r="K1259" s="6"/>
    </row>
    <row r="1260" spans="3:11" x14ac:dyDescent="0.25">
      <c r="C1260" s="6"/>
      <c r="G1260" s="6"/>
      <c r="K1260" s="6"/>
    </row>
    <row r="1261" spans="3:11" x14ac:dyDescent="0.25">
      <c r="C1261" s="6"/>
      <c r="G1261" s="6"/>
      <c r="K1261" s="6"/>
    </row>
    <row r="1262" spans="3:11" x14ac:dyDescent="0.25">
      <c r="C1262" s="6"/>
      <c r="G1262" s="6"/>
      <c r="K1262" s="6"/>
    </row>
    <row r="1263" spans="3:11" x14ac:dyDescent="0.25">
      <c r="C1263" s="6"/>
      <c r="G1263" s="6"/>
      <c r="K1263" s="6"/>
    </row>
    <row r="1264" spans="3:11" x14ac:dyDescent="0.25">
      <c r="C1264" s="6"/>
      <c r="G1264" s="6"/>
      <c r="K1264" s="6"/>
    </row>
    <row r="1265" spans="3:11" x14ac:dyDescent="0.25">
      <c r="C1265" s="6"/>
      <c r="G1265" s="6"/>
      <c r="K1265" s="6"/>
    </row>
    <row r="1266" spans="3:11" x14ac:dyDescent="0.25">
      <c r="C1266" s="6"/>
      <c r="G1266" s="6"/>
      <c r="K1266" s="6"/>
    </row>
    <row r="1267" spans="3:11" x14ac:dyDescent="0.25">
      <c r="C1267" s="6"/>
      <c r="G1267" s="6"/>
      <c r="K1267" s="6"/>
    </row>
    <row r="1268" spans="3:11" x14ac:dyDescent="0.25">
      <c r="C1268" s="6"/>
      <c r="G1268" s="6"/>
      <c r="K1268" s="6"/>
    </row>
    <row r="1269" spans="3:11" x14ac:dyDescent="0.25">
      <c r="C1269" s="6"/>
      <c r="G1269" s="6"/>
      <c r="K1269" s="6"/>
    </row>
    <row r="1270" spans="3:11" x14ac:dyDescent="0.25">
      <c r="C1270" s="6"/>
      <c r="G1270" s="6"/>
      <c r="K1270" s="6"/>
    </row>
    <row r="1271" spans="3:11" x14ac:dyDescent="0.25">
      <c r="C1271" s="6"/>
      <c r="G1271" s="6"/>
      <c r="K1271" s="6"/>
    </row>
    <row r="1272" spans="3:11" x14ac:dyDescent="0.25">
      <c r="C1272" s="6"/>
      <c r="G1272" s="6"/>
      <c r="K1272" s="6"/>
    </row>
    <row r="1273" spans="3:11" x14ac:dyDescent="0.25">
      <c r="C1273" s="6"/>
      <c r="G1273" s="6"/>
      <c r="K1273" s="6"/>
    </row>
    <row r="1274" spans="3:11" x14ac:dyDescent="0.25">
      <c r="C1274" s="6"/>
      <c r="G1274" s="6"/>
      <c r="K1274" s="6"/>
    </row>
    <row r="1275" spans="3:11" x14ac:dyDescent="0.25">
      <c r="C1275" s="6"/>
      <c r="G1275" s="6"/>
      <c r="K1275" s="6"/>
    </row>
    <row r="1276" spans="3:11" x14ac:dyDescent="0.25">
      <c r="C1276" s="6"/>
      <c r="G1276" s="6"/>
      <c r="K1276" s="6"/>
    </row>
    <row r="1277" spans="3:11" x14ac:dyDescent="0.25">
      <c r="C1277" s="6"/>
      <c r="G1277" s="6"/>
      <c r="K1277" s="6"/>
    </row>
    <row r="1278" spans="3:11" x14ac:dyDescent="0.25">
      <c r="C1278" s="6"/>
      <c r="G1278" s="6"/>
      <c r="K1278" s="6"/>
    </row>
    <row r="1279" spans="3:11" x14ac:dyDescent="0.25">
      <c r="C1279" s="6"/>
      <c r="G1279" s="6"/>
      <c r="K1279" s="6"/>
    </row>
    <row r="1280" spans="3:11" x14ac:dyDescent="0.25">
      <c r="C1280" s="6"/>
      <c r="G1280" s="6"/>
      <c r="K1280" s="6"/>
    </row>
    <row r="1281" spans="3:11" x14ac:dyDescent="0.25">
      <c r="C1281" s="6"/>
      <c r="G1281" s="6"/>
      <c r="K1281" s="6"/>
    </row>
    <row r="1282" spans="3:11" x14ac:dyDescent="0.25">
      <c r="C1282" s="6"/>
      <c r="G1282" s="6"/>
      <c r="K1282" s="6"/>
    </row>
    <row r="1283" spans="3:11" x14ac:dyDescent="0.25">
      <c r="C1283" s="6"/>
      <c r="G1283" s="6"/>
      <c r="K1283" s="6"/>
    </row>
    <row r="1284" spans="3:11" x14ac:dyDescent="0.25">
      <c r="C1284" s="6"/>
      <c r="G1284" s="6"/>
      <c r="K1284" s="6"/>
    </row>
    <row r="1285" spans="3:11" x14ac:dyDescent="0.25">
      <c r="C1285" s="6"/>
      <c r="G1285" s="6"/>
      <c r="K1285" s="6"/>
    </row>
    <row r="1286" spans="3:11" x14ac:dyDescent="0.25">
      <c r="C1286" s="6"/>
      <c r="G1286" s="6"/>
      <c r="K1286" s="6"/>
    </row>
    <row r="1287" spans="3:11" x14ac:dyDescent="0.25">
      <c r="C1287" s="6"/>
      <c r="G1287" s="6"/>
      <c r="K1287" s="6"/>
    </row>
    <row r="1288" spans="3:11" x14ac:dyDescent="0.25">
      <c r="C1288" s="6"/>
      <c r="G1288" s="6"/>
      <c r="K1288" s="6"/>
    </row>
    <row r="1289" spans="3:11" x14ac:dyDescent="0.25">
      <c r="C1289" s="6"/>
      <c r="G1289" s="6"/>
      <c r="K1289" s="6"/>
    </row>
    <row r="1290" spans="3:11" x14ac:dyDescent="0.25">
      <c r="C1290" s="6"/>
      <c r="G1290" s="6"/>
      <c r="K1290" s="6"/>
    </row>
    <row r="1291" spans="3:11" x14ac:dyDescent="0.25">
      <c r="C1291" s="6"/>
      <c r="G1291" s="6"/>
      <c r="K1291" s="6"/>
    </row>
    <row r="1292" spans="3:11" x14ac:dyDescent="0.25">
      <c r="C1292" s="6"/>
      <c r="G1292" s="6"/>
      <c r="K1292" s="6"/>
    </row>
    <row r="1293" spans="3:11" x14ac:dyDescent="0.25">
      <c r="C1293" s="6"/>
      <c r="G1293" s="6"/>
      <c r="K1293" s="6"/>
    </row>
    <row r="1294" spans="3:11" x14ac:dyDescent="0.25">
      <c r="C1294" s="6"/>
      <c r="G1294" s="6"/>
      <c r="K1294" s="6"/>
    </row>
    <row r="1295" spans="3:11" x14ac:dyDescent="0.25">
      <c r="C1295" s="6"/>
      <c r="G1295" s="6"/>
      <c r="K1295" s="6"/>
    </row>
    <row r="1296" spans="3:11" x14ac:dyDescent="0.25">
      <c r="C1296" s="6"/>
      <c r="G1296" s="6"/>
      <c r="K1296" s="6"/>
    </row>
    <row r="1297" spans="3:11" x14ac:dyDescent="0.25">
      <c r="C1297" s="6"/>
      <c r="G1297" s="6"/>
      <c r="K1297" s="6"/>
    </row>
    <row r="1298" spans="3:11" x14ac:dyDescent="0.25">
      <c r="C1298" s="6"/>
      <c r="G1298" s="6"/>
      <c r="K1298" s="6"/>
    </row>
    <row r="1299" spans="3:11" x14ac:dyDescent="0.25">
      <c r="C1299" s="6"/>
      <c r="G1299" s="6"/>
      <c r="K1299" s="6"/>
    </row>
    <row r="1300" spans="3:11" x14ac:dyDescent="0.25">
      <c r="C1300" s="6"/>
      <c r="G1300" s="6"/>
      <c r="K1300" s="6"/>
    </row>
    <row r="1301" spans="3:11" x14ac:dyDescent="0.25">
      <c r="C1301" s="6"/>
      <c r="G1301" s="6"/>
      <c r="K1301" s="6"/>
    </row>
    <row r="1302" spans="3:11" x14ac:dyDescent="0.25">
      <c r="C1302" s="6"/>
      <c r="G1302" s="6"/>
      <c r="K1302" s="6"/>
    </row>
    <row r="1303" spans="3:11" x14ac:dyDescent="0.25">
      <c r="C1303" s="6"/>
      <c r="G1303" s="6"/>
      <c r="K1303" s="6"/>
    </row>
    <row r="1304" spans="3:11" x14ac:dyDescent="0.25">
      <c r="C1304" s="6"/>
      <c r="G1304" s="6"/>
      <c r="K1304" s="6"/>
    </row>
    <row r="1305" spans="3:11" x14ac:dyDescent="0.25">
      <c r="C1305" s="6"/>
      <c r="G1305" s="6"/>
      <c r="K1305" s="6"/>
    </row>
    <row r="1306" spans="3:11" x14ac:dyDescent="0.25">
      <c r="C1306" s="6"/>
      <c r="G1306" s="6"/>
      <c r="K1306" s="6"/>
    </row>
    <row r="1307" spans="3:11" x14ac:dyDescent="0.25">
      <c r="C1307" s="6"/>
      <c r="G1307" s="6"/>
      <c r="K1307" s="6"/>
    </row>
    <row r="1308" spans="3:11" x14ac:dyDescent="0.25">
      <c r="C1308" s="6"/>
      <c r="G1308" s="6"/>
      <c r="K1308" s="6"/>
    </row>
    <row r="1309" spans="3:11" x14ac:dyDescent="0.25">
      <c r="C1309" s="6"/>
      <c r="G1309" s="6"/>
      <c r="K1309" s="6"/>
    </row>
    <row r="1310" spans="3:11" x14ac:dyDescent="0.25">
      <c r="C1310" s="6"/>
      <c r="G1310" s="6"/>
      <c r="K1310" s="6"/>
    </row>
    <row r="1311" spans="3:11" x14ac:dyDescent="0.25">
      <c r="C1311" s="6"/>
      <c r="G1311" s="6"/>
      <c r="K1311" s="6"/>
    </row>
    <row r="1312" spans="3:11" x14ac:dyDescent="0.25">
      <c r="C1312" s="6"/>
      <c r="G1312" s="6"/>
      <c r="K1312" s="6"/>
    </row>
    <row r="1313" spans="3:11" x14ac:dyDescent="0.25">
      <c r="C1313" s="6"/>
      <c r="G1313" s="6"/>
      <c r="K1313" s="6"/>
    </row>
    <row r="1314" spans="3:11" x14ac:dyDescent="0.25">
      <c r="C1314" s="6"/>
      <c r="G1314" s="6"/>
      <c r="K1314" s="6"/>
    </row>
    <row r="1315" spans="3:11" x14ac:dyDescent="0.25">
      <c r="C1315" s="6"/>
      <c r="G1315" s="6"/>
      <c r="K1315" s="6"/>
    </row>
    <row r="1316" spans="3:11" x14ac:dyDescent="0.25">
      <c r="C1316" s="6"/>
      <c r="G1316" s="6"/>
      <c r="K1316" s="6"/>
    </row>
    <row r="1317" spans="3:11" x14ac:dyDescent="0.25">
      <c r="C1317" s="6"/>
      <c r="G1317" s="6"/>
      <c r="K1317" s="6"/>
    </row>
    <row r="1318" spans="3:11" x14ac:dyDescent="0.25">
      <c r="C1318" s="6"/>
      <c r="G1318" s="6"/>
      <c r="K1318" s="6"/>
    </row>
    <row r="1319" spans="3:11" x14ac:dyDescent="0.25">
      <c r="C1319" s="6"/>
      <c r="G1319" s="6"/>
      <c r="K1319" s="6"/>
    </row>
    <row r="1320" spans="3:11" x14ac:dyDescent="0.25">
      <c r="C1320" s="6"/>
      <c r="G1320" s="6"/>
      <c r="K1320" s="6"/>
    </row>
    <row r="1321" spans="3:11" x14ac:dyDescent="0.25">
      <c r="C1321" s="6"/>
      <c r="G1321" s="6"/>
      <c r="K1321" s="6"/>
    </row>
    <row r="1322" spans="3:11" x14ac:dyDescent="0.25">
      <c r="C1322" s="6"/>
      <c r="G1322" s="6"/>
      <c r="K1322" s="6"/>
    </row>
    <row r="1323" spans="3:11" x14ac:dyDescent="0.25">
      <c r="C1323" s="6"/>
      <c r="G1323" s="6"/>
      <c r="K1323" s="6"/>
    </row>
    <row r="1324" spans="3:11" x14ac:dyDescent="0.25">
      <c r="C1324" s="6"/>
      <c r="G1324" s="6"/>
      <c r="K1324" s="6"/>
    </row>
    <row r="1325" spans="3:11" x14ac:dyDescent="0.25">
      <c r="C1325" s="6"/>
      <c r="G1325" s="6"/>
      <c r="K1325" s="6"/>
    </row>
    <row r="1326" spans="3:11" x14ac:dyDescent="0.25">
      <c r="C1326" s="6"/>
      <c r="G1326" s="6"/>
      <c r="K1326" s="6"/>
    </row>
    <row r="1327" spans="3:11" x14ac:dyDescent="0.25">
      <c r="C1327" s="6"/>
      <c r="G1327" s="6"/>
      <c r="K1327" s="6"/>
    </row>
    <row r="1328" spans="3:11" x14ac:dyDescent="0.25">
      <c r="C1328" s="6"/>
      <c r="G1328" s="6"/>
      <c r="K1328" s="6"/>
    </row>
    <row r="1329" spans="3:11" x14ac:dyDescent="0.25">
      <c r="C1329" s="6"/>
      <c r="G1329" s="6"/>
      <c r="K1329" s="6"/>
    </row>
    <row r="1330" spans="3:11" x14ac:dyDescent="0.25">
      <c r="C1330" s="6"/>
      <c r="G1330" s="6"/>
      <c r="K1330" s="6"/>
    </row>
    <row r="1331" spans="3:11" x14ac:dyDescent="0.25">
      <c r="C1331" s="6"/>
      <c r="G1331" s="6"/>
      <c r="K1331" s="6"/>
    </row>
    <row r="1332" spans="3:11" x14ac:dyDescent="0.25">
      <c r="C1332" s="6"/>
      <c r="G1332" s="6"/>
      <c r="K1332" s="6"/>
    </row>
    <row r="1333" spans="3:11" x14ac:dyDescent="0.25">
      <c r="C1333" s="6"/>
      <c r="G1333" s="6"/>
      <c r="K1333" s="6"/>
    </row>
    <row r="1334" spans="3:11" x14ac:dyDescent="0.25">
      <c r="C1334" s="6"/>
      <c r="G1334" s="6"/>
      <c r="K1334" s="6"/>
    </row>
    <row r="1335" spans="3:11" x14ac:dyDescent="0.25">
      <c r="C1335" s="6"/>
      <c r="G1335" s="6"/>
      <c r="K1335" s="6"/>
    </row>
    <row r="1336" spans="3:11" x14ac:dyDescent="0.25">
      <c r="C1336" s="6"/>
      <c r="G1336" s="6"/>
      <c r="K1336" s="6"/>
    </row>
    <row r="1337" spans="3:11" x14ac:dyDescent="0.25">
      <c r="C1337" s="6"/>
      <c r="G1337" s="6"/>
      <c r="K1337" s="6"/>
    </row>
    <row r="1338" spans="3:11" x14ac:dyDescent="0.25">
      <c r="C1338" s="6"/>
      <c r="G1338" s="6"/>
      <c r="K1338" s="6"/>
    </row>
    <row r="1339" spans="3:11" x14ac:dyDescent="0.25">
      <c r="C1339" s="6"/>
      <c r="G1339" s="6"/>
      <c r="K1339" s="6"/>
    </row>
    <row r="1340" spans="3:11" x14ac:dyDescent="0.25">
      <c r="C1340" s="6"/>
      <c r="G1340" s="6"/>
      <c r="K1340" s="6"/>
    </row>
    <row r="1341" spans="3:11" x14ac:dyDescent="0.25">
      <c r="C1341" s="6"/>
      <c r="G1341" s="6"/>
      <c r="K1341" s="6"/>
    </row>
    <row r="1342" spans="3:11" x14ac:dyDescent="0.25">
      <c r="C1342" s="6"/>
      <c r="G1342" s="6"/>
      <c r="K1342" s="6"/>
    </row>
    <row r="1343" spans="3:11" x14ac:dyDescent="0.25">
      <c r="C1343" s="6"/>
      <c r="G1343" s="6"/>
      <c r="K1343" s="6"/>
    </row>
    <row r="1344" spans="3:11" x14ac:dyDescent="0.25">
      <c r="C1344" s="6"/>
      <c r="G1344" s="6"/>
      <c r="K1344" s="6"/>
    </row>
    <row r="1345" spans="3:11" x14ac:dyDescent="0.25">
      <c r="C1345" s="6"/>
      <c r="G1345" s="6"/>
      <c r="K1345" s="6"/>
    </row>
    <row r="1346" spans="3:11" x14ac:dyDescent="0.25">
      <c r="C1346" s="6"/>
      <c r="G1346" s="6"/>
      <c r="K1346" s="6"/>
    </row>
    <row r="1347" spans="3:11" x14ac:dyDescent="0.25">
      <c r="C1347" s="6"/>
      <c r="G1347" s="6"/>
      <c r="K1347" s="6"/>
    </row>
    <row r="1348" spans="3:11" x14ac:dyDescent="0.25">
      <c r="C1348" s="6"/>
      <c r="G1348" s="6"/>
      <c r="K1348" s="6"/>
    </row>
    <row r="1349" spans="3:11" x14ac:dyDescent="0.25">
      <c r="C1349" s="6"/>
      <c r="G1349" s="6"/>
      <c r="K1349" s="6"/>
    </row>
    <row r="1350" spans="3:11" x14ac:dyDescent="0.25">
      <c r="C1350" s="6"/>
      <c r="G1350" s="6"/>
      <c r="K1350" s="6"/>
    </row>
    <row r="1351" spans="3:11" x14ac:dyDescent="0.25">
      <c r="C1351" s="6"/>
      <c r="G1351" s="6"/>
      <c r="K1351" s="6"/>
    </row>
    <row r="1352" spans="3:11" x14ac:dyDescent="0.25">
      <c r="C1352" s="6"/>
      <c r="G1352" s="6"/>
      <c r="K1352" s="6"/>
    </row>
    <row r="1353" spans="3:11" x14ac:dyDescent="0.25">
      <c r="C1353" s="6"/>
      <c r="G1353" s="6"/>
      <c r="K1353" s="6"/>
    </row>
    <row r="1354" spans="3:11" x14ac:dyDescent="0.25">
      <c r="C1354" s="6"/>
      <c r="G1354" s="6"/>
      <c r="K1354" s="6"/>
    </row>
    <row r="1355" spans="3:11" x14ac:dyDescent="0.25">
      <c r="C1355" s="6"/>
      <c r="G1355" s="6"/>
      <c r="K1355" s="6"/>
    </row>
    <row r="1356" spans="3:11" x14ac:dyDescent="0.25">
      <c r="C1356" s="6"/>
      <c r="G1356" s="6"/>
      <c r="K1356" s="6"/>
    </row>
    <row r="1357" spans="3:11" x14ac:dyDescent="0.25">
      <c r="C1357" s="6"/>
      <c r="G1357" s="6"/>
      <c r="K1357" s="6"/>
    </row>
    <row r="1358" spans="3:11" x14ac:dyDescent="0.25">
      <c r="C1358" s="6"/>
      <c r="G1358" s="6"/>
      <c r="K1358" s="6"/>
    </row>
    <row r="1359" spans="3:11" x14ac:dyDescent="0.25">
      <c r="C1359" s="6"/>
      <c r="G1359" s="6"/>
      <c r="K1359" s="6"/>
    </row>
    <row r="1360" spans="3:11" x14ac:dyDescent="0.25">
      <c r="C1360" s="6"/>
      <c r="G1360" s="6"/>
      <c r="K1360" s="6"/>
    </row>
    <row r="1361" spans="3:11" x14ac:dyDescent="0.25">
      <c r="C1361" s="6"/>
      <c r="G1361" s="6"/>
      <c r="K1361" s="6"/>
    </row>
    <row r="1362" spans="3:11" x14ac:dyDescent="0.25">
      <c r="C1362" s="6"/>
      <c r="G1362" s="6"/>
      <c r="K1362" s="6"/>
    </row>
    <row r="1363" spans="3:11" x14ac:dyDescent="0.25">
      <c r="C1363" s="6"/>
      <c r="G1363" s="6"/>
      <c r="K1363" s="6"/>
    </row>
    <row r="1364" spans="3:11" x14ac:dyDescent="0.25">
      <c r="C1364" s="6"/>
      <c r="G1364" s="6"/>
      <c r="K1364" s="6"/>
    </row>
    <row r="1365" spans="3:11" x14ac:dyDescent="0.25">
      <c r="C1365" s="6"/>
      <c r="G1365" s="6"/>
      <c r="K1365" s="6"/>
    </row>
    <row r="1366" spans="3:11" x14ac:dyDescent="0.25">
      <c r="C1366" s="6"/>
      <c r="G1366" s="6"/>
      <c r="K1366" s="6"/>
    </row>
    <row r="1367" spans="3:11" x14ac:dyDescent="0.25">
      <c r="C1367" s="6"/>
      <c r="G1367" s="6"/>
      <c r="K1367" s="6"/>
    </row>
    <row r="1368" spans="3:11" x14ac:dyDescent="0.25">
      <c r="C1368" s="6"/>
      <c r="G1368" s="6"/>
      <c r="K1368" s="6"/>
    </row>
    <row r="1369" spans="3:11" x14ac:dyDescent="0.25">
      <c r="C1369" s="6"/>
      <c r="G1369" s="6"/>
      <c r="K1369" s="6"/>
    </row>
    <row r="1370" spans="3:11" x14ac:dyDescent="0.25">
      <c r="C1370" s="6"/>
      <c r="G1370" s="6"/>
      <c r="K1370" s="6"/>
    </row>
    <row r="1371" spans="3:11" x14ac:dyDescent="0.25">
      <c r="C1371" s="6"/>
      <c r="G1371" s="6"/>
      <c r="K1371" s="6"/>
    </row>
    <row r="1372" spans="3:11" x14ac:dyDescent="0.25">
      <c r="C1372" s="6"/>
      <c r="G1372" s="6"/>
      <c r="K1372" s="6"/>
    </row>
    <row r="1373" spans="3:11" x14ac:dyDescent="0.25">
      <c r="C1373" s="6"/>
      <c r="G1373" s="6"/>
      <c r="K1373" s="6"/>
    </row>
    <row r="1374" spans="3:11" x14ac:dyDescent="0.25">
      <c r="C1374" s="6"/>
      <c r="G1374" s="6"/>
      <c r="K1374" s="6"/>
    </row>
    <row r="1375" spans="3:11" x14ac:dyDescent="0.25">
      <c r="C1375" s="6"/>
      <c r="G1375" s="6"/>
      <c r="K1375" s="6"/>
    </row>
    <row r="1376" spans="3:11" x14ac:dyDescent="0.25">
      <c r="C1376" s="6"/>
      <c r="G1376" s="6"/>
      <c r="K1376" s="6"/>
    </row>
    <row r="1377" spans="3:11" x14ac:dyDescent="0.25">
      <c r="C1377" s="6"/>
      <c r="G1377" s="6"/>
      <c r="K1377" s="6"/>
    </row>
    <row r="1378" spans="3:11" x14ac:dyDescent="0.25">
      <c r="C1378" s="6"/>
      <c r="G1378" s="6"/>
      <c r="K1378" s="6"/>
    </row>
    <row r="1379" spans="3:11" x14ac:dyDescent="0.25">
      <c r="C1379" s="6"/>
      <c r="G1379" s="6"/>
      <c r="K1379" s="6"/>
    </row>
    <row r="1380" spans="3:11" x14ac:dyDescent="0.25">
      <c r="C1380" s="6"/>
      <c r="G1380" s="6"/>
      <c r="K1380" s="6"/>
    </row>
    <row r="1381" spans="3:11" x14ac:dyDescent="0.25">
      <c r="C1381" s="6"/>
      <c r="G1381" s="6"/>
      <c r="K1381" s="6"/>
    </row>
    <row r="1382" spans="3:11" x14ac:dyDescent="0.25">
      <c r="C1382" s="6"/>
      <c r="G1382" s="6"/>
      <c r="K1382" s="6"/>
    </row>
    <row r="1383" spans="3:11" x14ac:dyDescent="0.25">
      <c r="C1383" s="6"/>
      <c r="G1383" s="6"/>
      <c r="K1383" s="6"/>
    </row>
    <row r="1384" spans="3:11" x14ac:dyDescent="0.25">
      <c r="C1384" s="6"/>
      <c r="G1384" s="6"/>
      <c r="K1384" s="6"/>
    </row>
    <row r="1385" spans="3:11" x14ac:dyDescent="0.25">
      <c r="C1385" s="6"/>
      <c r="G1385" s="6"/>
      <c r="K1385" s="6"/>
    </row>
    <row r="1386" spans="3:11" x14ac:dyDescent="0.25">
      <c r="C1386" s="6"/>
      <c r="G1386" s="6"/>
      <c r="K1386" s="6"/>
    </row>
    <row r="1387" spans="3:11" x14ac:dyDescent="0.25">
      <c r="C1387" s="6"/>
      <c r="G1387" s="6"/>
      <c r="K1387" s="6"/>
    </row>
    <row r="1388" spans="3:11" x14ac:dyDescent="0.25">
      <c r="C1388" s="6"/>
      <c r="G1388" s="6"/>
      <c r="K1388" s="6"/>
    </row>
    <row r="1389" spans="3:11" x14ac:dyDescent="0.25">
      <c r="C1389" s="6"/>
      <c r="G1389" s="6"/>
      <c r="K1389" s="6"/>
    </row>
    <row r="1390" spans="3:11" x14ac:dyDescent="0.25">
      <c r="C1390" s="6"/>
      <c r="G1390" s="6"/>
      <c r="K1390" s="6"/>
    </row>
    <row r="1391" spans="3:11" x14ac:dyDescent="0.25">
      <c r="C1391" s="6"/>
      <c r="G1391" s="6"/>
      <c r="K1391" s="6"/>
    </row>
    <row r="1392" spans="3:11" x14ac:dyDescent="0.25">
      <c r="C1392" s="6"/>
      <c r="G1392" s="6"/>
      <c r="K1392" s="6"/>
    </row>
    <row r="1393" spans="3:11" x14ac:dyDescent="0.25">
      <c r="C1393" s="6"/>
      <c r="G1393" s="6"/>
      <c r="K1393" s="6"/>
    </row>
    <row r="1394" spans="3:11" x14ac:dyDescent="0.25">
      <c r="C1394" s="6"/>
      <c r="G1394" s="6"/>
      <c r="K1394" s="6"/>
    </row>
    <row r="1395" spans="3:11" x14ac:dyDescent="0.25">
      <c r="C1395" s="6"/>
      <c r="G1395" s="6"/>
      <c r="K1395" s="6"/>
    </row>
    <row r="1396" spans="3:11" x14ac:dyDescent="0.25">
      <c r="C1396" s="6"/>
      <c r="G1396" s="6"/>
      <c r="K1396" s="6"/>
    </row>
    <row r="1397" spans="3:11" x14ac:dyDescent="0.25">
      <c r="C1397" s="6"/>
      <c r="G1397" s="6"/>
      <c r="K1397" s="6"/>
    </row>
    <row r="1398" spans="3:11" x14ac:dyDescent="0.25">
      <c r="C1398" s="6"/>
      <c r="G1398" s="6"/>
      <c r="K1398" s="6"/>
    </row>
    <row r="1399" spans="3:11" x14ac:dyDescent="0.25">
      <c r="C1399" s="6"/>
      <c r="G1399" s="6"/>
      <c r="K1399" s="6"/>
    </row>
    <row r="1400" spans="3:11" x14ac:dyDescent="0.25">
      <c r="C1400" s="6"/>
      <c r="G1400" s="6"/>
      <c r="K1400" s="6"/>
    </row>
    <row r="1401" spans="3:11" x14ac:dyDescent="0.25">
      <c r="C1401" s="6"/>
      <c r="G1401" s="6"/>
      <c r="K1401" s="6"/>
    </row>
    <row r="1402" spans="3:11" x14ac:dyDescent="0.25">
      <c r="C1402" s="6"/>
      <c r="G1402" s="6"/>
      <c r="K1402" s="6"/>
    </row>
    <row r="1403" spans="3:11" x14ac:dyDescent="0.25">
      <c r="C1403" s="6"/>
      <c r="G1403" s="6"/>
      <c r="K1403" s="6"/>
    </row>
    <row r="1404" spans="3:11" x14ac:dyDescent="0.25">
      <c r="C1404" s="6"/>
      <c r="G1404" s="6"/>
      <c r="K1404" s="6"/>
    </row>
    <row r="1405" spans="3:11" x14ac:dyDescent="0.25">
      <c r="C1405" s="6"/>
      <c r="G1405" s="6"/>
      <c r="K1405" s="6"/>
    </row>
    <row r="1406" spans="3:11" x14ac:dyDescent="0.25">
      <c r="C1406" s="6"/>
      <c r="G1406" s="6"/>
      <c r="K1406" s="6"/>
    </row>
    <row r="1407" spans="3:11" x14ac:dyDescent="0.25">
      <c r="C1407" s="6"/>
      <c r="G1407" s="6"/>
      <c r="K1407" s="6"/>
    </row>
    <row r="1408" spans="3:11" x14ac:dyDescent="0.25">
      <c r="C1408" s="6"/>
      <c r="G1408" s="6"/>
      <c r="K1408" s="6"/>
    </row>
    <row r="1409" spans="3:11" x14ac:dyDescent="0.25">
      <c r="C1409" s="6"/>
      <c r="G1409" s="6"/>
      <c r="K1409" s="6"/>
    </row>
    <row r="1410" spans="3:11" x14ac:dyDescent="0.25">
      <c r="C1410" s="6"/>
      <c r="G1410" s="6"/>
      <c r="K1410" s="6"/>
    </row>
    <row r="1411" spans="3:11" x14ac:dyDescent="0.25">
      <c r="C1411" s="6"/>
      <c r="G1411" s="6"/>
      <c r="K1411" s="6"/>
    </row>
    <row r="1412" spans="3:11" x14ac:dyDescent="0.25">
      <c r="C1412" s="6"/>
      <c r="G1412" s="6"/>
      <c r="K1412" s="6"/>
    </row>
    <row r="1413" spans="3:11" x14ac:dyDescent="0.25">
      <c r="C1413" s="6"/>
      <c r="G1413" s="6"/>
      <c r="K1413" s="6"/>
    </row>
    <row r="1414" spans="3:11" x14ac:dyDescent="0.25">
      <c r="C1414" s="6"/>
      <c r="G1414" s="6"/>
      <c r="K1414" s="6"/>
    </row>
    <row r="1415" spans="3:11" x14ac:dyDescent="0.25">
      <c r="C1415" s="6"/>
      <c r="G1415" s="6"/>
      <c r="K1415" s="6"/>
    </row>
    <row r="1416" spans="3:11" x14ac:dyDescent="0.25">
      <c r="C1416" s="6"/>
      <c r="G1416" s="6"/>
      <c r="K1416" s="6"/>
    </row>
    <row r="1417" spans="3:11" x14ac:dyDescent="0.25">
      <c r="C1417" s="6"/>
      <c r="G1417" s="6"/>
      <c r="K1417" s="6"/>
    </row>
    <row r="1418" spans="3:11" x14ac:dyDescent="0.25">
      <c r="C1418" s="6"/>
      <c r="G1418" s="6"/>
      <c r="K1418" s="6"/>
    </row>
    <row r="1419" spans="3:11" x14ac:dyDescent="0.25">
      <c r="C1419" s="6"/>
      <c r="G1419" s="6"/>
      <c r="K1419" s="6"/>
    </row>
    <row r="1420" spans="3:11" x14ac:dyDescent="0.25">
      <c r="C1420" s="6"/>
      <c r="G1420" s="6"/>
      <c r="K1420" s="6"/>
    </row>
    <row r="1421" spans="3:11" x14ac:dyDescent="0.25">
      <c r="C1421" s="6"/>
      <c r="G1421" s="6"/>
      <c r="K1421" s="6"/>
    </row>
    <row r="1422" spans="3:11" x14ac:dyDescent="0.25">
      <c r="C1422" s="6"/>
      <c r="G1422" s="6"/>
      <c r="K1422" s="6"/>
    </row>
    <row r="1423" spans="3:11" x14ac:dyDescent="0.25">
      <c r="C1423" s="6"/>
      <c r="G1423" s="6"/>
      <c r="K1423" s="6"/>
    </row>
    <row r="1424" spans="3:11" x14ac:dyDescent="0.25">
      <c r="C1424" s="6"/>
      <c r="G1424" s="6"/>
      <c r="K1424" s="6"/>
    </row>
    <row r="1425" spans="3:11" x14ac:dyDescent="0.25">
      <c r="C1425" s="6"/>
      <c r="G1425" s="6"/>
      <c r="K1425" s="6"/>
    </row>
    <row r="1426" spans="3:11" x14ac:dyDescent="0.25">
      <c r="C1426" s="6"/>
      <c r="G1426" s="6"/>
      <c r="K1426" s="6"/>
    </row>
    <row r="1427" spans="3:11" x14ac:dyDescent="0.25">
      <c r="C1427" s="6"/>
      <c r="G1427" s="6"/>
      <c r="K1427" s="6"/>
    </row>
    <row r="1428" spans="3:11" x14ac:dyDescent="0.25">
      <c r="C1428" s="6"/>
      <c r="G1428" s="6"/>
      <c r="K1428" s="6"/>
    </row>
    <row r="1429" spans="3:11" x14ac:dyDescent="0.25">
      <c r="C1429" s="6"/>
      <c r="G1429" s="6"/>
      <c r="K1429" s="6"/>
    </row>
    <row r="1430" spans="3:11" x14ac:dyDescent="0.25">
      <c r="C1430" s="6"/>
      <c r="G1430" s="6"/>
      <c r="K1430" s="6"/>
    </row>
    <row r="1431" spans="3:11" x14ac:dyDescent="0.25">
      <c r="C1431" s="6"/>
      <c r="G1431" s="6"/>
      <c r="K1431" s="6"/>
    </row>
    <row r="1432" spans="3:11" x14ac:dyDescent="0.25">
      <c r="C1432" s="6"/>
      <c r="G1432" s="6"/>
      <c r="K1432" s="6"/>
    </row>
    <row r="1433" spans="3:11" x14ac:dyDescent="0.25">
      <c r="C1433" s="6"/>
      <c r="G1433" s="6"/>
      <c r="K1433" s="6"/>
    </row>
    <row r="1434" spans="3:11" x14ac:dyDescent="0.25">
      <c r="C1434" s="6"/>
      <c r="G1434" s="6"/>
      <c r="K1434" s="6"/>
    </row>
    <row r="1435" spans="3:11" x14ac:dyDescent="0.25">
      <c r="C1435" s="6"/>
      <c r="G1435" s="6"/>
      <c r="K1435" s="6"/>
    </row>
    <row r="1436" spans="3:11" x14ac:dyDescent="0.25">
      <c r="C1436" s="6"/>
      <c r="G1436" s="6"/>
      <c r="K1436" s="6"/>
    </row>
    <row r="1437" spans="3:11" x14ac:dyDescent="0.25">
      <c r="C1437" s="6"/>
      <c r="G1437" s="6"/>
      <c r="K1437" s="6"/>
    </row>
    <row r="1438" spans="3:11" x14ac:dyDescent="0.25">
      <c r="C1438" s="6"/>
      <c r="G1438" s="6"/>
      <c r="K1438" s="6"/>
    </row>
    <row r="1439" spans="3:11" x14ac:dyDescent="0.25">
      <c r="C1439" s="6"/>
      <c r="G1439" s="6"/>
      <c r="K1439" s="6"/>
    </row>
    <row r="1440" spans="3:11" x14ac:dyDescent="0.25">
      <c r="C1440" s="6"/>
      <c r="G1440" s="6"/>
      <c r="K1440" s="6"/>
    </row>
    <row r="1441" spans="3:11" x14ac:dyDescent="0.25">
      <c r="C1441" s="6"/>
      <c r="G1441" s="6"/>
      <c r="K1441" s="6"/>
    </row>
    <row r="1442" spans="3:11" x14ac:dyDescent="0.25">
      <c r="C1442" s="6"/>
      <c r="G1442" s="6"/>
      <c r="K1442" s="6"/>
    </row>
    <row r="1443" spans="3:11" x14ac:dyDescent="0.25">
      <c r="C1443" s="6"/>
      <c r="G1443" s="6"/>
      <c r="K1443" s="6"/>
    </row>
    <row r="1444" spans="3:11" x14ac:dyDescent="0.25">
      <c r="C1444" s="6"/>
      <c r="G1444" s="6"/>
      <c r="K1444" s="6"/>
    </row>
    <row r="1445" spans="3:11" x14ac:dyDescent="0.25">
      <c r="C1445" s="6"/>
      <c r="G1445" s="6"/>
      <c r="K1445" s="6"/>
    </row>
    <row r="1446" spans="3:11" x14ac:dyDescent="0.25">
      <c r="C1446" s="6"/>
      <c r="G1446" s="6"/>
      <c r="K1446" s="6"/>
    </row>
    <row r="1447" spans="3:11" x14ac:dyDescent="0.25">
      <c r="C1447" s="6"/>
      <c r="G1447" s="6"/>
      <c r="K1447" s="6"/>
    </row>
    <row r="1448" spans="3:11" x14ac:dyDescent="0.25">
      <c r="C1448" s="6"/>
      <c r="G1448" s="6"/>
      <c r="K1448" s="6"/>
    </row>
    <row r="1449" spans="3:11" x14ac:dyDescent="0.25">
      <c r="C1449" s="6"/>
      <c r="G1449" s="6"/>
      <c r="K1449" s="6"/>
    </row>
    <row r="1450" spans="3:11" x14ac:dyDescent="0.25">
      <c r="C1450" s="6"/>
      <c r="G1450" s="6"/>
      <c r="K1450" s="6"/>
    </row>
    <row r="1451" spans="3:11" x14ac:dyDescent="0.25">
      <c r="C1451" s="6"/>
      <c r="G1451" s="6"/>
      <c r="K1451" s="6"/>
    </row>
    <row r="1452" spans="3:11" x14ac:dyDescent="0.25">
      <c r="C1452" s="6"/>
      <c r="G1452" s="6"/>
      <c r="K1452" s="6"/>
    </row>
    <row r="1453" spans="3:11" x14ac:dyDescent="0.25">
      <c r="C1453" s="6"/>
      <c r="G1453" s="6"/>
      <c r="K1453" s="6"/>
    </row>
    <row r="1454" spans="3:11" x14ac:dyDescent="0.25">
      <c r="C1454" s="6"/>
      <c r="G1454" s="6"/>
      <c r="K1454" s="6"/>
    </row>
    <row r="1455" spans="3:11" x14ac:dyDescent="0.25">
      <c r="C1455" s="6"/>
      <c r="G1455" s="6"/>
      <c r="K1455" s="6"/>
    </row>
    <row r="1456" spans="3:11" x14ac:dyDescent="0.25">
      <c r="C1456" s="6"/>
      <c r="G1456" s="6"/>
      <c r="K1456" s="6"/>
    </row>
    <row r="1457" spans="3:11" x14ac:dyDescent="0.25">
      <c r="C1457" s="6"/>
      <c r="G1457" s="6"/>
      <c r="K1457" s="6"/>
    </row>
    <row r="1458" spans="3:11" x14ac:dyDescent="0.25">
      <c r="C1458" s="6"/>
      <c r="G1458" s="6"/>
      <c r="K1458" s="6"/>
    </row>
    <row r="1459" spans="3:11" x14ac:dyDescent="0.25">
      <c r="C1459" s="6"/>
      <c r="G1459" s="6"/>
      <c r="K1459" s="6"/>
    </row>
    <row r="1460" spans="3:11" x14ac:dyDescent="0.25">
      <c r="C1460" s="6"/>
      <c r="G1460" s="6"/>
      <c r="K1460" s="6"/>
    </row>
    <row r="1461" spans="3:11" x14ac:dyDescent="0.25">
      <c r="C1461" s="6"/>
      <c r="G1461" s="6"/>
      <c r="K1461" s="6"/>
    </row>
    <row r="1462" spans="3:11" x14ac:dyDescent="0.25">
      <c r="C1462" s="6"/>
      <c r="G1462" s="6"/>
      <c r="K1462" s="6"/>
    </row>
    <row r="1463" spans="3:11" x14ac:dyDescent="0.25">
      <c r="C1463" s="6"/>
      <c r="G1463" s="6"/>
      <c r="K1463" s="6"/>
    </row>
    <row r="1464" spans="3:11" x14ac:dyDescent="0.25">
      <c r="C1464" s="6"/>
      <c r="G1464" s="6"/>
      <c r="K1464" s="6"/>
    </row>
    <row r="1465" spans="3:11" x14ac:dyDescent="0.25">
      <c r="C1465" s="6"/>
      <c r="G1465" s="6"/>
      <c r="K1465" s="6"/>
    </row>
    <row r="1466" spans="3:11" x14ac:dyDescent="0.25">
      <c r="C1466" s="6"/>
      <c r="G1466" s="6"/>
      <c r="K1466" s="6"/>
    </row>
    <row r="1467" spans="3:11" x14ac:dyDescent="0.25">
      <c r="C1467" s="6"/>
      <c r="G1467" s="6"/>
      <c r="K1467" s="6"/>
    </row>
    <row r="1468" spans="3:11" x14ac:dyDescent="0.25">
      <c r="C1468" s="6"/>
      <c r="G1468" s="6"/>
      <c r="K1468" s="6"/>
    </row>
    <row r="1469" spans="3:11" x14ac:dyDescent="0.25">
      <c r="C1469" s="6"/>
      <c r="G1469" s="6"/>
      <c r="K1469" s="6"/>
    </row>
    <row r="1470" spans="3:11" x14ac:dyDescent="0.25">
      <c r="C1470" s="6"/>
      <c r="G1470" s="6"/>
      <c r="K1470" s="6"/>
    </row>
    <row r="1471" spans="3:11" x14ac:dyDescent="0.25">
      <c r="C1471" s="6"/>
      <c r="G1471" s="6"/>
      <c r="K1471" s="6"/>
    </row>
    <row r="1472" spans="3:11" x14ac:dyDescent="0.25">
      <c r="C1472" s="6"/>
      <c r="G1472" s="6"/>
      <c r="K1472" s="6"/>
    </row>
    <row r="1473" spans="3:11" x14ac:dyDescent="0.25">
      <c r="C1473" s="6"/>
      <c r="G1473" s="6"/>
      <c r="K1473" s="6"/>
    </row>
    <row r="1474" spans="3:11" x14ac:dyDescent="0.25">
      <c r="C1474" s="6"/>
      <c r="G1474" s="6"/>
      <c r="K1474" s="6"/>
    </row>
    <row r="1475" spans="3:11" x14ac:dyDescent="0.25">
      <c r="C1475" s="6"/>
      <c r="G1475" s="6"/>
      <c r="K1475" s="6"/>
    </row>
    <row r="1476" spans="3:11" x14ac:dyDescent="0.25">
      <c r="C1476" s="6"/>
      <c r="G1476" s="6"/>
      <c r="K1476" s="6"/>
    </row>
    <row r="1477" spans="3:11" x14ac:dyDescent="0.25">
      <c r="C1477" s="6"/>
      <c r="G1477" s="6"/>
      <c r="K1477" s="6"/>
    </row>
    <row r="1478" spans="3:11" x14ac:dyDescent="0.25">
      <c r="C1478" s="6"/>
      <c r="G1478" s="6"/>
      <c r="K1478" s="6"/>
    </row>
    <row r="1479" spans="3:11" x14ac:dyDescent="0.25">
      <c r="C1479" s="6"/>
      <c r="G1479" s="6"/>
      <c r="K1479" s="6"/>
    </row>
    <row r="1480" spans="3:11" x14ac:dyDescent="0.25">
      <c r="C1480" s="6"/>
      <c r="G1480" s="6"/>
      <c r="K1480" s="6"/>
    </row>
    <row r="1481" spans="3:11" x14ac:dyDescent="0.25">
      <c r="C1481" s="6"/>
      <c r="G1481" s="6"/>
      <c r="K1481" s="6"/>
    </row>
    <row r="1482" spans="3:11" x14ac:dyDescent="0.25">
      <c r="C1482" s="6"/>
      <c r="G1482" s="6"/>
      <c r="K1482" s="6"/>
    </row>
    <row r="1483" spans="3:11" x14ac:dyDescent="0.25">
      <c r="C1483" s="6"/>
      <c r="G1483" s="6"/>
      <c r="K1483" s="6"/>
    </row>
    <row r="1484" spans="3:11" x14ac:dyDescent="0.25">
      <c r="C1484" s="6"/>
      <c r="G1484" s="6"/>
      <c r="K1484" s="6"/>
    </row>
    <row r="1485" spans="3:11" x14ac:dyDescent="0.25">
      <c r="C1485" s="6"/>
      <c r="G1485" s="6"/>
      <c r="K1485" s="6"/>
    </row>
    <row r="1486" spans="3:11" x14ac:dyDescent="0.25">
      <c r="C1486" s="6"/>
      <c r="G1486" s="6"/>
      <c r="K1486" s="6"/>
    </row>
    <row r="1487" spans="3:11" x14ac:dyDescent="0.25">
      <c r="C1487" s="6"/>
      <c r="G1487" s="6"/>
      <c r="K1487" s="6"/>
    </row>
    <row r="1488" spans="3:11" x14ac:dyDescent="0.25">
      <c r="C1488" s="6"/>
      <c r="G1488" s="6"/>
      <c r="K1488" s="6"/>
    </row>
    <row r="1489" spans="3:11" x14ac:dyDescent="0.25">
      <c r="C1489" s="6"/>
      <c r="G1489" s="6"/>
      <c r="K1489" s="6"/>
    </row>
    <row r="1490" spans="3:11" x14ac:dyDescent="0.25">
      <c r="C1490" s="6"/>
      <c r="G1490" s="6"/>
      <c r="K1490" s="6"/>
    </row>
    <row r="1491" spans="3:11" x14ac:dyDescent="0.25">
      <c r="C1491" s="6"/>
      <c r="G1491" s="6"/>
      <c r="K1491" s="6"/>
    </row>
    <row r="1492" spans="3:11" x14ac:dyDescent="0.25">
      <c r="C1492" s="6"/>
      <c r="G1492" s="6"/>
      <c r="K1492" s="6"/>
    </row>
    <row r="1493" spans="3:11" x14ac:dyDescent="0.25">
      <c r="C1493" s="6"/>
      <c r="G1493" s="6"/>
      <c r="K1493" s="6"/>
    </row>
    <row r="1494" spans="3:11" x14ac:dyDescent="0.25">
      <c r="C1494" s="6"/>
      <c r="G1494" s="6"/>
      <c r="K1494" s="6"/>
    </row>
    <row r="1495" spans="3:11" x14ac:dyDescent="0.25">
      <c r="C1495" s="6"/>
      <c r="G1495" s="6"/>
      <c r="K1495" s="6"/>
    </row>
    <row r="1496" spans="3:11" x14ac:dyDescent="0.25">
      <c r="C1496" s="6"/>
      <c r="G1496" s="6"/>
      <c r="K1496" s="6"/>
    </row>
    <row r="1497" spans="3:11" x14ac:dyDescent="0.25">
      <c r="C1497" s="6"/>
      <c r="G1497" s="6"/>
      <c r="K1497" s="6"/>
    </row>
    <row r="1498" spans="3:11" x14ac:dyDescent="0.25">
      <c r="C1498" s="6"/>
      <c r="G1498" s="6"/>
      <c r="K1498" s="6"/>
    </row>
    <row r="1499" spans="3:11" x14ac:dyDescent="0.25">
      <c r="C1499" s="6"/>
      <c r="G1499" s="6"/>
      <c r="K1499" s="6"/>
    </row>
    <row r="1500" spans="3:11" x14ac:dyDescent="0.25">
      <c r="C1500" s="6"/>
      <c r="G1500" s="6"/>
      <c r="K1500" s="6"/>
    </row>
    <row r="1501" spans="3:11" x14ac:dyDescent="0.25">
      <c r="C1501" s="6"/>
      <c r="G1501" s="6"/>
      <c r="K1501" s="6"/>
    </row>
    <row r="1502" spans="3:11" x14ac:dyDescent="0.25">
      <c r="C1502" s="6"/>
      <c r="G1502" s="6"/>
      <c r="K1502" s="6"/>
    </row>
    <row r="1503" spans="3:11" x14ac:dyDescent="0.25">
      <c r="C1503" s="6"/>
      <c r="G1503" s="6"/>
      <c r="K1503" s="6"/>
    </row>
    <row r="1504" spans="3:11" x14ac:dyDescent="0.25">
      <c r="C1504" s="6"/>
      <c r="G1504" s="6"/>
      <c r="K1504" s="6"/>
    </row>
    <row r="1505" spans="3:11" x14ac:dyDescent="0.25">
      <c r="C1505" s="6"/>
      <c r="G1505" s="6"/>
      <c r="K1505" s="6"/>
    </row>
    <row r="1506" spans="3:11" x14ac:dyDescent="0.25">
      <c r="C1506" s="6"/>
      <c r="G1506" s="6"/>
      <c r="K1506" s="6"/>
    </row>
    <row r="1507" spans="3:11" x14ac:dyDescent="0.25">
      <c r="C1507" s="6"/>
      <c r="G1507" s="6"/>
      <c r="K1507" s="6"/>
    </row>
    <row r="1508" spans="3:11" x14ac:dyDescent="0.25">
      <c r="C1508" s="6"/>
      <c r="G1508" s="6"/>
      <c r="K1508" s="6"/>
    </row>
    <row r="1509" spans="3:11" x14ac:dyDescent="0.25">
      <c r="C1509" s="6"/>
      <c r="G1509" s="6"/>
      <c r="K1509" s="6"/>
    </row>
    <row r="1510" spans="3:11" x14ac:dyDescent="0.25">
      <c r="C1510" s="6"/>
      <c r="G1510" s="6"/>
      <c r="K1510" s="6"/>
    </row>
    <row r="1511" spans="3:11" x14ac:dyDescent="0.25">
      <c r="C1511" s="6"/>
      <c r="G1511" s="6"/>
      <c r="K1511" s="6"/>
    </row>
    <row r="1512" spans="3:11" x14ac:dyDescent="0.25">
      <c r="C1512" s="6"/>
      <c r="G1512" s="6"/>
      <c r="K1512" s="6"/>
    </row>
    <row r="1513" spans="3:11" x14ac:dyDescent="0.25">
      <c r="C1513" s="6"/>
      <c r="G1513" s="6"/>
      <c r="K1513" s="6"/>
    </row>
    <row r="1514" spans="3:11" x14ac:dyDescent="0.25">
      <c r="C1514" s="6"/>
      <c r="G1514" s="6"/>
      <c r="K1514" s="6"/>
    </row>
    <row r="1515" spans="3:11" x14ac:dyDescent="0.25">
      <c r="C1515" s="6"/>
      <c r="G1515" s="6"/>
      <c r="K1515" s="6"/>
    </row>
    <row r="1516" spans="3:11" x14ac:dyDescent="0.25">
      <c r="C1516" s="6"/>
      <c r="G1516" s="6"/>
      <c r="K1516" s="6"/>
    </row>
    <row r="1517" spans="3:11" x14ac:dyDescent="0.25">
      <c r="C1517" s="6"/>
      <c r="G1517" s="6"/>
      <c r="K1517" s="6"/>
    </row>
    <row r="1518" spans="3:11" x14ac:dyDescent="0.25">
      <c r="C1518" s="6"/>
      <c r="G1518" s="6"/>
      <c r="K1518" s="6"/>
    </row>
    <row r="1519" spans="3:11" x14ac:dyDescent="0.25">
      <c r="C1519" s="6"/>
      <c r="G1519" s="6"/>
      <c r="K1519" s="6"/>
    </row>
    <row r="1520" spans="3:11" x14ac:dyDescent="0.25">
      <c r="C1520" s="6"/>
      <c r="G1520" s="6"/>
      <c r="K1520" s="6"/>
    </row>
    <row r="1521" spans="3:11" x14ac:dyDescent="0.25">
      <c r="C1521" s="6"/>
      <c r="G1521" s="6"/>
      <c r="K1521" s="6"/>
    </row>
    <row r="1522" spans="3:11" x14ac:dyDescent="0.25">
      <c r="C1522" s="6"/>
      <c r="G1522" s="6"/>
      <c r="K1522" s="6"/>
    </row>
    <row r="1523" spans="3:11" x14ac:dyDescent="0.25">
      <c r="C1523" s="6"/>
      <c r="G1523" s="6"/>
      <c r="K1523" s="6"/>
    </row>
    <row r="1524" spans="3:11" x14ac:dyDescent="0.25">
      <c r="C1524" s="6"/>
      <c r="G1524" s="6"/>
      <c r="K1524" s="6"/>
    </row>
    <row r="1525" spans="3:11" x14ac:dyDescent="0.25">
      <c r="C1525" s="6"/>
      <c r="G1525" s="6"/>
      <c r="K1525" s="6"/>
    </row>
    <row r="1526" spans="3:11" x14ac:dyDescent="0.25">
      <c r="C1526" s="6"/>
      <c r="G1526" s="6"/>
      <c r="K1526" s="6"/>
    </row>
    <row r="1527" spans="3:11" x14ac:dyDescent="0.25">
      <c r="C1527" s="6"/>
      <c r="G1527" s="6"/>
      <c r="K1527" s="6"/>
    </row>
    <row r="1528" spans="3:11" x14ac:dyDescent="0.25">
      <c r="C1528" s="6"/>
      <c r="G1528" s="6"/>
      <c r="K1528" s="6"/>
    </row>
    <row r="1529" spans="3:11" x14ac:dyDescent="0.25">
      <c r="C1529" s="6"/>
      <c r="G1529" s="6"/>
      <c r="K1529" s="6"/>
    </row>
    <row r="1530" spans="3:11" x14ac:dyDescent="0.25">
      <c r="C1530" s="6"/>
      <c r="G1530" s="6"/>
      <c r="K1530" s="6"/>
    </row>
    <row r="1531" spans="3:11" x14ac:dyDescent="0.25">
      <c r="C1531" s="6"/>
      <c r="G1531" s="6"/>
      <c r="K1531" s="6"/>
    </row>
    <row r="1532" spans="3:11" x14ac:dyDescent="0.25">
      <c r="C1532" s="6"/>
      <c r="G1532" s="6"/>
      <c r="K1532" s="6"/>
    </row>
    <row r="1533" spans="3:11" x14ac:dyDescent="0.25">
      <c r="C1533" s="6"/>
      <c r="G1533" s="6"/>
      <c r="K1533" s="6"/>
    </row>
    <row r="1534" spans="3:11" x14ac:dyDescent="0.25">
      <c r="C1534" s="6"/>
      <c r="G1534" s="6"/>
      <c r="K1534" s="6"/>
    </row>
    <row r="1535" spans="3:11" x14ac:dyDescent="0.25">
      <c r="C1535" s="6"/>
      <c r="G1535" s="6"/>
      <c r="K1535" s="6"/>
    </row>
    <row r="1536" spans="3:11" x14ac:dyDescent="0.25">
      <c r="C1536" s="6"/>
      <c r="G1536" s="6"/>
      <c r="K1536" s="6"/>
    </row>
    <row r="1537" spans="3:11" x14ac:dyDescent="0.25">
      <c r="C1537" s="6"/>
      <c r="G1537" s="6"/>
      <c r="K1537" s="6"/>
    </row>
    <row r="1538" spans="3:11" x14ac:dyDescent="0.25">
      <c r="C1538" s="6"/>
      <c r="G1538" s="6"/>
      <c r="K1538" s="6"/>
    </row>
    <row r="1539" spans="3:11" x14ac:dyDescent="0.25">
      <c r="C1539" s="6"/>
      <c r="G1539" s="6"/>
      <c r="K1539" s="6"/>
    </row>
    <row r="1540" spans="3:11" x14ac:dyDescent="0.25">
      <c r="C1540" s="6"/>
      <c r="G1540" s="6"/>
      <c r="K1540" s="6"/>
    </row>
    <row r="1541" spans="3:11" x14ac:dyDescent="0.25">
      <c r="C1541" s="6"/>
      <c r="G1541" s="6"/>
      <c r="K1541" s="6"/>
    </row>
    <row r="1542" spans="3:11" x14ac:dyDescent="0.25">
      <c r="C1542" s="6"/>
      <c r="G1542" s="6"/>
      <c r="K1542" s="6"/>
    </row>
    <row r="1543" spans="3:11" x14ac:dyDescent="0.25">
      <c r="C1543" s="6"/>
      <c r="G1543" s="6"/>
      <c r="K1543" s="6"/>
    </row>
    <row r="1544" spans="3:11" x14ac:dyDescent="0.25">
      <c r="C1544" s="6"/>
      <c r="G1544" s="6"/>
      <c r="K1544" s="6"/>
    </row>
    <row r="1545" spans="3:11" x14ac:dyDescent="0.25">
      <c r="C1545" s="6"/>
      <c r="G1545" s="6"/>
      <c r="K1545" s="6"/>
    </row>
    <row r="1546" spans="3:11" x14ac:dyDescent="0.25">
      <c r="C1546" s="6"/>
      <c r="G1546" s="6"/>
      <c r="K1546" s="6"/>
    </row>
    <row r="1547" spans="3:11" x14ac:dyDescent="0.25">
      <c r="C1547" s="6"/>
      <c r="G1547" s="6"/>
      <c r="K1547" s="6"/>
    </row>
    <row r="1548" spans="3:11" x14ac:dyDescent="0.25">
      <c r="C1548" s="6"/>
      <c r="G1548" s="6"/>
      <c r="K1548" s="6"/>
    </row>
    <row r="1549" spans="3:11" x14ac:dyDescent="0.25">
      <c r="C1549" s="6"/>
      <c r="G1549" s="6"/>
      <c r="K1549" s="6"/>
    </row>
    <row r="1550" spans="3:11" x14ac:dyDescent="0.25">
      <c r="C1550" s="6"/>
      <c r="G1550" s="6"/>
      <c r="K1550" s="6"/>
    </row>
    <row r="1551" spans="3:11" x14ac:dyDescent="0.25">
      <c r="C1551" s="6"/>
      <c r="G1551" s="6"/>
      <c r="K1551" s="6"/>
    </row>
    <row r="1552" spans="3:11" x14ac:dyDescent="0.25">
      <c r="C1552" s="6"/>
      <c r="G1552" s="6"/>
      <c r="K1552" s="6"/>
    </row>
    <row r="1553" spans="3:11" x14ac:dyDescent="0.25">
      <c r="C1553" s="6"/>
      <c r="G1553" s="6"/>
      <c r="K1553" s="6"/>
    </row>
    <row r="1554" spans="3:11" x14ac:dyDescent="0.25">
      <c r="C1554" s="6"/>
      <c r="G1554" s="6"/>
      <c r="K1554" s="6"/>
    </row>
    <row r="1555" spans="3:11" x14ac:dyDescent="0.25">
      <c r="C1555" s="6"/>
      <c r="G1555" s="6"/>
      <c r="K1555" s="6"/>
    </row>
    <row r="1556" spans="3:11" x14ac:dyDescent="0.25">
      <c r="C1556" s="6"/>
      <c r="G1556" s="6"/>
      <c r="K1556" s="6"/>
    </row>
    <row r="1557" spans="3:11" x14ac:dyDescent="0.25">
      <c r="C1557" s="6"/>
      <c r="G1557" s="6"/>
      <c r="K1557" s="6"/>
    </row>
    <row r="1558" spans="3:11" x14ac:dyDescent="0.25">
      <c r="C1558" s="6"/>
      <c r="G1558" s="6"/>
      <c r="K1558" s="6"/>
    </row>
    <row r="1559" spans="3:11" x14ac:dyDescent="0.25">
      <c r="C1559" s="6"/>
      <c r="G1559" s="6"/>
      <c r="K1559" s="6"/>
    </row>
    <row r="1560" spans="3:11" x14ac:dyDescent="0.25">
      <c r="C1560" s="6"/>
      <c r="G1560" s="6"/>
      <c r="K1560" s="6"/>
    </row>
    <row r="1561" spans="3:11" x14ac:dyDescent="0.25">
      <c r="C1561" s="6"/>
      <c r="G1561" s="6"/>
      <c r="K1561" s="6"/>
    </row>
    <row r="1562" spans="3:11" x14ac:dyDescent="0.25">
      <c r="C1562" s="6"/>
      <c r="G1562" s="6"/>
      <c r="K1562" s="6"/>
    </row>
    <row r="1563" spans="3:11" x14ac:dyDescent="0.25">
      <c r="C1563" s="6"/>
      <c r="G1563" s="6"/>
      <c r="K1563" s="6"/>
    </row>
    <row r="1564" spans="3:11" x14ac:dyDescent="0.25">
      <c r="C1564" s="6"/>
      <c r="G1564" s="6"/>
      <c r="K1564" s="6"/>
    </row>
    <row r="1565" spans="3:11" x14ac:dyDescent="0.25">
      <c r="C1565" s="6"/>
      <c r="G1565" s="6"/>
      <c r="K1565" s="6"/>
    </row>
    <row r="1566" spans="3:11" x14ac:dyDescent="0.25">
      <c r="C1566" s="6"/>
      <c r="G1566" s="6"/>
      <c r="K1566" s="6"/>
    </row>
    <row r="1567" spans="3:11" x14ac:dyDescent="0.25">
      <c r="C1567" s="6"/>
      <c r="G1567" s="6"/>
      <c r="K1567" s="6"/>
    </row>
    <row r="1568" spans="3:11" x14ac:dyDescent="0.25">
      <c r="C1568" s="6"/>
      <c r="G1568" s="6"/>
      <c r="K1568" s="6"/>
    </row>
    <row r="1569" spans="3:11" x14ac:dyDescent="0.25">
      <c r="C1569" s="6"/>
      <c r="G1569" s="6"/>
      <c r="K1569" s="6"/>
    </row>
    <row r="1570" spans="3:11" x14ac:dyDescent="0.25">
      <c r="C1570" s="6"/>
      <c r="G1570" s="6"/>
      <c r="K1570" s="6"/>
    </row>
    <row r="1571" spans="3:11" x14ac:dyDescent="0.25">
      <c r="C1571" s="6"/>
      <c r="G1571" s="6"/>
      <c r="K1571" s="6"/>
    </row>
    <row r="1572" spans="3:11" x14ac:dyDescent="0.25">
      <c r="C1572" s="6"/>
      <c r="G1572" s="6"/>
      <c r="K1572" s="6"/>
    </row>
    <row r="1573" spans="3:11" x14ac:dyDescent="0.25">
      <c r="C1573" s="6"/>
      <c r="G1573" s="6"/>
      <c r="K1573" s="6"/>
    </row>
    <row r="1574" spans="3:11" x14ac:dyDescent="0.25">
      <c r="C1574" s="6"/>
      <c r="G1574" s="6"/>
      <c r="K1574" s="6"/>
    </row>
    <row r="1575" spans="3:11" x14ac:dyDescent="0.25">
      <c r="C1575" s="6"/>
      <c r="G1575" s="6"/>
      <c r="K1575" s="6"/>
    </row>
    <row r="1576" spans="3:11" x14ac:dyDescent="0.25">
      <c r="C1576" s="6"/>
      <c r="G1576" s="6"/>
      <c r="K1576" s="6"/>
    </row>
    <row r="1577" spans="3:11" x14ac:dyDescent="0.25">
      <c r="C1577" s="6"/>
      <c r="G1577" s="6"/>
      <c r="K1577" s="6"/>
    </row>
    <row r="1578" spans="3:11" x14ac:dyDescent="0.25">
      <c r="C1578" s="6"/>
      <c r="G1578" s="6"/>
      <c r="K1578" s="6"/>
    </row>
    <row r="1579" spans="3:11" x14ac:dyDescent="0.25">
      <c r="C1579" s="6"/>
      <c r="G1579" s="6"/>
      <c r="K1579" s="6"/>
    </row>
    <row r="1580" spans="3:11" x14ac:dyDescent="0.25">
      <c r="C1580" s="6"/>
      <c r="G1580" s="6"/>
      <c r="K1580" s="6"/>
    </row>
    <row r="1581" spans="3:11" x14ac:dyDescent="0.25">
      <c r="C1581" s="6"/>
      <c r="G1581" s="6"/>
      <c r="K1581" s="6"/>
    </row>
    <row r="1582" spans="3:11" x14ac:dyDescent="0.25">
      <c r="C1582" s="6"/>
      <c r="G1582" s="6"/>
      <c r="K1582" s="6"/>
    </row>
    <row r="1583" spans="3:11" x14ac:dyDescent="0.25">
      <c r="C1583" s="6"/>
      <c r="G1583" s="6"/>
      <c r="K1583" s="6"/>
    </row>
    <row r="1584" spans="3:11" x14ac:dyDescent="0.25">
      <c r="C1584" s="6"/>
      <c r="G1584" s="6"/>
      <c r="K1584" s="6"/>
    </row>
    <row r="1585" spans="3:11" x14ac:dyDescent="0.25">
      <c r="C1585" s="6"/>
      <c r="G1585" s="6"/>
      <c r="K1585" s="6"/>
    </row>
    <row r="1586" spans="3:11" x14ac:dyDescent="0.25">
      <c r="C1586" s="6"/>
      <c r="G1586" s="6"/>
      <c r="K1586" s="6"/>
    </row>
    <row r="1587" spans="3:11" x14ac:dyDescent="0.25">
      <c r="C1587" s="6"/>
      <c r="G1587" s="6"/>
      <c r="K1587" s="6"/>
    </row>
    <row r="1588" spans="3:11" x14ac:dyDescent="0.25">
      <c r="C1588" s="6"/>
      <c r="G1588" s="6"/>
      <c r="K1588" s="6"/>
    </row>
    <row r="1589" spans="3:11" x14ac:dyDescent="0.25">
      <c r="C1589" s="6"/>
      <c r="G1589" s="6"/>
      <c r="K1589" s="6"/>
    </row>
    <row r="1590" spans="3:11" x14ac:dyDescent="0.25">
      <c r="C1590" s="6"/>
      <c r="G1590" s="6"/>
      <c r="K1590" s="6"/>
    </row>
    <row r="1591" spans="3:11" x14ac:dyDescent="0.25">
      <c r="C1591" s="6"/>
      <c r="G1591" s="6"/>
      <c r="K1591" s="6"/>
    </row>
    <row r="1592" spans="3:11" x14ac:dyDescent="0.25">
      <c r="C1592" s="6"/>
      <c r="G1592" s="6"/>
      <c r="K1592" s="6"/>
    </row>
    <row r="1593" spans="3:11" x14ac:dyDescent="0.25">
      <c r="C1593" s="6"/>
      <c r="G1593" s="6"/>
      <c r="K1593" s="6"/>
    </row>
    <row r="1594" spans="3:11" x14ac:dyDescent="0.25">
      <c r="C1594" s="6"/>
      <c r="G1594" s="6"/>
      <c r="K1594" s="6"/>
    </row>
    <row r="1595" spans="3:11" x14ac:dyDescent="0.25">
      <c r="C1595" s="6"/>
      <c r="G1595" s="6"/>
      <c r="K1595" s="6"/>
    </row>
    <row r="1596" spans="3:11" x14ac:dyDescent="0.25">
      <c r="C1596" s="6"/>
      <c r="G1596" s="6"/>
      <c r="K1596" s="6"/>
    </row>
    <row r="1597" spans="3:11" x14ac:dyDescent="0.25">
      <c r="C1597" s="6"/>
      <c r="G1597" s="6"/>
      <c r="K1597" s="6"/>
    </row>
    <row r="1598" spans="3:11" x14ac:dyDescent="0.25">
      <c r="C1598" s="6"/>
      <c r="G1598" s="6"/>
      <c r="K1598" s="6"/>
    </row>
    <row r="1599" spans="3:11" x14ac:dyDescent="0.25">
      <c r="C1599" s="6"/>
      <c r="G1599" s="6"/>
      <c r="K1599" s="6"/>
    </row>
    <row r="1600" spans="3:11" x14ac:dyDescent="0.25">
      <c r="C1600" s="6"/>
      <c r="G1600" s="6"/>
      <c r="K1600" s="6"/>
    </row>
    <row r="1601" spans="3:11" x14ac:dyDescent="0.25">
      <c r="C1601" s="6"/>
      <c r="G1601" s="6"/>
      <c r="K1601" s="6"/>
    </row>
    <row r="1602" spans="3:11" x14ac:dyDescent="0.25">
      <c r="C1602" s="6"/>
      <c r="G1602" s="6"/>
      <c r="K1602" s="6"/>
    </row>
    <row r="1603" spans="3:11" x14ac:dyDescent="0.25">
      <c r="C1603" s="6"/>
      <c r="G1603" s="6"/>
      <c r="K1603" s="6"/>
    </row>
    <row r="1604" spans="3:11" x14ac:dyDescent="0.25">
      <c r="C1604" s="6"/>
      <c r="G1604" s="6"/>
      <c r="K1604" s="6"/>
    </row>
    <row r="1605" spans="3:11" x14ac:dyDescent="0.25">
      <c r="C1605" s="6"/>
      <c r="G1605" s="6"/>
      <c r="K1605" s="6"/>
    </row>
    <row r="1606" spans="3:11" x14ac:dyDescent="0.25">
      <c r="C1606" s="6"/>
      <c r="G1606" s="6"/>
      <c r="K1606" s="6"/>
    </row>
    <row r="1607" spans="3:11" x14ac:dyDescent="0.25">
      <c r="C1607" s="6"/>
      <c r="G1607" s="6"/>
      <c r="K1607" s="6"/>
    </row>
    <row r="1608" spans="3:11" x14ac:dyDescent="0.25">
      <c r="C1608" s="6"/>
      <c r="G1608" s="6"/>
      <c r="K1608" s="6"/>
    </row>
    <row r="1609" spans="3:11" x14ac:dyDescent="0.25">
      <c r="C1609" s="6"/>
      <c r="G1609" s="6"/>
      <c r="K1609" s="6"/>
    </row>
    <row r="1610" spans="3:11" x14ac:dyDescent="0.25">
      <c r="C1610" s="6"/>
      <c r="G1610" s="6"/>
      <c r="K1610" s="6"/>
    </row>
    <row r="1611" spans="3:11" x14ac:dyDescent="0.25">
      <c r="C1611" s="6"/>
      <c r="G1611" s="6"/>
      <c r="K1611" s="6"/>
    </row>
    <row r="1612" spans="3:11" x14ac:dyDescent="0.25">
      <c r="C1612" s="6"/>
      <c r="G1612" s="6"/>
      <c r="K1612" s="6"/>
    </row>
    <row r="1613" spans="3:11" x14ac:dyDescent="0.25">
      <c r="C1613" s="6"/>
      <c r="G1613" s="6"/>
      <c r="K1613" s="6"/>
    </row>
    <row r="1614" spans="3:11" x14ac:dyDescent="0.25">
      <c r="C1614" s="6"/>
      <c r="G1614" s="6"/>
      <c r="K1614" s="6"/>
    </row>
    <row r="1615" spans="3:11" x14ac:dyDescent="0.25">
      <c r="C1615" s="6"/>
      <c r="G1615" s="6"/>
      <c r="K1615" s="6"/>
    </row>
    <row r="1616" spans="3:11" x14ac:dyDescent="0.25">
      <c r="C1616" s="6"/>
      <c r="G1616" s="6"/>
      <c r="K1616" s="6"/>
    </row>
    <row r="1617" spans="3:11" x14ac:dyDescent="0.25">
      <c r="C1617" s="6"/>
      <c r="G1617" s="6"/>
      <c r="K1617" s="6"/>
    </row>
    <row r="1618" spans="3:11" x14ac:dyDescent="0.25">
      <c r="C1618" s="6"/>
      <c r="G1618" s="6"/>
      <c r="K1618" s="6"/>
    </row>
    <row r="1619" spans="3:11" x14ac:dyDescent="0.25">
      <c r="C1619" s="6"/>
      <c r="G1619" s="6"/>
      <c r="K1619" s="6"/>
    </row>
    <row r="1620" spans="3:11" x14ac:dyDescent="0.25">
      <c r="C1620" s="6"/>
      <c r="G1620" s="6"/>
      <c r="K1620" s="6"/>
    </row>
    <row r="1621" spans="3:11" x14ac:dyDescent="0.25">
      <c r="C1621" s="6"/>
      <c r="G1621" s="6"/>
      <c r="K1621" s="6"/>
    </row>
    <row r="1622" spans="3:11" x14ac:dyDescent="0.25">
      <c r="C1622" s="6"/>
      <c r="G1622" s="6"/>
      <c r="K1622" s="6"/>
    </row>
    <row r="1623" spans="3:11" x14ac:dyDescent="0.25">
      <c r="C1623" s="6"/>
      <c r="G1623" s="6"/>
      <c r="K1623" s="6"/>
    </row>
    <row r="1624" spans="3:11" x14ac:dyDescent="0.25">
      <c r="C1624" s="6"/>
      <c r="G1624" s="6"/>
      <c r="K1624" s="6"/>
    </row>
    <row r="1625" spans="3:11" x14ac:dyDescent="0.25">
      <c r="C1625" s="6"/>
      <c r="G1625" s="6"/>
      <c r="K1625" s="6"/>
    </row>
    <row r="1626" spans="3:11" x14ac:dyDescent="0.25">
      <c r="C1626" s="6"/>
      <c r="G1626" s="6"/>
      <c r="K1626" s="6"/>
    </row>
    <row r="1627" spans="3:11" x14ac:dyDescent="0.25">
      <c r="C1627" s="6"/>
      <c r="G1627" s="6"/>
      <c r="K1627" s="6"/>
    </row>
    <row r="1628" spans="3:11" x14ac:dyDescent="0.25">
      <c r="C1628" s="6"/>
      <c r="G1628" s="6"/>
      <c r="K1628" s="6"/>
    </row>
    <row r="1629" spans="3:11" x14ac:dyDescent="0.25">
      <c r="C1629" s="6"/>
      <c r="G1629" s="6"/>
      <c r="K1629" s="6"/>
    </row>
    <row r="1630" spans="3:11" x14ac:dyDescent="0.25">
      <c r="C1630" s="6"/>
      <c r="G1630" s="6"/>
      <c r="K1630" s="6"/>
    </row>
    <row r="1631" spans="3:11" x14ac:dyDescent="0.25">
      <c r="C1631" s="6"/>
      <c r="G1631" s="6"/>
      <c r="K1631" s="6"/>
    </row>
    <row r="1632" spans="3:11" x14ac:dyDescent="0.25">
      <c r="C1632" s="6"/>
      <c r="G1632" s="6"/>
      <c r="K1632" s="6"/>
    </row>
    <row r="1633" spans="3:11" x14ac:dyDescent="0.25">
      <c r="C1633" s="6"/>
      <c r="G1633" s="6"/>
      <c r="K1633" s="6"/>
    </row>
    <row r="1634" spans="3:11" x14ac:dyDescent="0.25">
      <c r="C1634" s="6"/>
      <c r="G1634" s="6"/>
      <c r="K1634" s="6"/>
    </row>
    <row r="1635" spans="3:11" x14ac:dyDescent="0.25">
      <c r="C1635" s="6"/>
      <c r="G1635" s="6"/>
      <c r="K1635" s="6"/>
    </row>
    <row r="1636" spans="3:11" x14ac:dyDescent="0.25">
      <c r="C1636" s="6"/>
      <c r="G1636" s="6"/>
      <c r="K1636" s="6"/>
    </row>
    <row r="1637" spans="3:11" x14ac:dyDescent="0.25">
      <c r="C1637" s="6"/>
      <c r="G1637" s="6"/>
      <c r="K1637" s="6"/>
    </row>
    <row r="1638" spans="3:11" x14ac:dyDescent="0.25">
      <c r="C1638" s="6"/>
      <c r="G1638" s="6"/>
      <c r="K1638" s="6"/>
    </row>
    <row r="1639" spans="3:11" x14ac:dyDescent="0.25">
      <c r="C1639" s="6"/>
      <c r="G1639" s="6"/>
      <c r="K1639" s="6"/>
    </row>
    <row r="1640" spans="3:11" x14ac:dyDescent="0.25">
      <c r="C1640" s="6"/>
      <c r="G1640" s="6"/>
      <c r="K1640" s="6"/>
    </row>
    <row r="1641" spans="3:11" x14ac:dyDescent="0.25">
      <c r="C1641" s="6"/>
      <c r="G1641" s="6"/>
      <c r="K1641" s="6"/>
    </row>
    <row r="1642" spans="3:11" x14ac:dyDescent="0.25">
      <c r="C1642" s="6"/>
      <c r="G1642" s="6"/>
      <c r="K1642" s="6"/>
    </row>
    <row r="1643" spans="3:11" x14ac:dyDescent="0.25">
      <c r="C1643" s="6"/>
      <c r="G1643" s="6"/>
      <c r="K1643" s="6"/>
    </row>
    <row r="1644" spans="3:11" x14ac:dyDescent="0.25">
      <c r="C1644" s="6"/>
      <c r="G1644" s="6"/>
      <c r="K1644" s="6"/>
    </row>
    <row r="1645" spans="3:11" x14ac:dyDescent="0.25">
      <c r="C1645" s="6"/>
      <c r="G1645" s="6"/>
      <c r="K1645" s="6"/>
    </row>
    <row r="1646" spans="3:11" x14ac:dyDescent="0.25">
      <c r="C1646" s="6"/>
      <c r="G1646" s="6"/>
      <c r="K1646" s="6"/>
    </row>
    <row r="1647" spans="3:11" x14ac:dyDescent="0.25">
      <c r="C1647" s="6"/>
      <c r="G1647" s="6"/>
      <c r="K1647" s="6"/>
    </row>
    <row r="1648" spans="3:11" x14ac:dyDescent="0.25">
      <c r="C1648" s="6"/>
      <c r="G1648" s="6"/>
      <c r="K1648" s="6"/>
    </row>
    <row r="1649" spans="3:11" x14ac:dyDescent="0.25">
      <c r="C1649" s="6"/>
      <c r="G1649" s="6"/>
      <c r="K1649" s="6"/>
    </row>
    <row r="1650" spans="3:11" x14ac:dyDescent="0.25">
      <c r="C1650" s="6"/>
      <c r="G1650" s="6"/>
      <c r="K1650" s="6"/>
    </row>
    <row r="1651" spans="3:11" x14ac:dyDescent="0.25">
      <c r="C1651" s="6"/>
      <c r="G1651" s="6"/>
      <c r="K1651" s="6"/>
    </row>
    <row r="1652" spans="3:11" x14ac:dyDescent="0.25">
      <c r="C1652" s="6"/>
      <c r="G1652" s="6"/>
      <c r="K1652" s="6"/>
    </row>
    <row r="1653" spans="3:11" x14ac:dyDescent="0.25">
      <c r="C1653" s="6"/>
      <c r="G1653" s="6"/>
      <c r="K1653" s="6"/>
    </row>
    <row r="1654" spans="3:11" x14ac:dyDescent="0.25">
      <c r="C1654" s="6"/>
      <c r="G1654" s="6"/>
      <c r="K1654" s="6"/>
    </row>
    <row r="1655" spans="3:11" x14ac:dyDescent="0.25">
      <c r="C1655" s="6"/>
      <c r="G1655" s="6"/>
      <c r="K1655" s="6"/>
    </row>
    <row r="1656" spans="3:11" x14ac:dyDescent="0.25">
      <c r="C1656" s="6"/>
      <c r="G1656" s="6"/>
      <c r="K1656" s="6"/>
    </row>
    <row r="1657" spans="3:11" x14ac:dyDescent="0.25">
      <c r="C1657" s="6"/>
      <c r="G1657" s="6"/>
      <c r="K1657" s="6"/>
    </row>
    <row r="1658" spans="3:11" x14ac:dyDescent="0.25">
      <c r="C1658" s="6"/>
      <c r="G1658" s="6"/>
      <c r="K1658" s="6"/>
    </row>
    <row r="1659" spans="3:11" x14ac:dyDescent="0.25">
      <c r="C1659" s="6"/>
      <c r="G1659" s="6"/>
      <c r="K1659" s="6"/>
    </row>
    <row r="1660" spans="3:11" x14ac:dyDescent="0.25">
      <c r="C1660" s="6"/>
      <c r="G1660" s="6"/>
      <c r="K1660" s="6"/>
    </row>
    <row r="1661" spans="3:11" x14ac:dyDescent="0.25">
      <c r="C1661" s="6"/>
      <c r="G1661" s="6"/>
      <c r="K1661" s="6"/>
    </row>
    <row r="1662" spans="3:11" x14ac:dyDescent="0.25">
      <c r="C1662" s="6"/>
      <c r="G1662" s="6"/>
      <c r="K1662" s="6"/>
    </row>
    <row r="1663" spans="3:11" x14ac:dyDescent="0.25">
      <c r="C1663" s="6"/>
      <c r="G1663" s="6"/>
      <c r="K1663" s="6"/>
    </row>
    <row r="1664" spans="3:11" x14ac:dyDescent="0.25">
      <c r="C1664" s="6"/>
      <c r="G1664" s="6"/>
      <c r="K1664" s="6"/>
    </row>
    <row r="1665" spans="3:11" x14ac:dyDescent="0.25">
      <c r="C1665" s="6"/>
      <c r="G1665" s="6"/>
      <c r="K1665" s="6"/>
    </row>
    <row r="1666" spans="3:11" x14ac:dyDescent="0.25">
      <c r="C1666" s="6"/>
      <c r="G1666" s="6"/>
      <c r="K1666" s="6"/>
    </row>
    <row r="1667" spans="3:11" x14ac:dyDescent="0.25">
      <c r="C1667" s="6"/>
      <c r="G1667" s="6"/>
      <c r="K1667" s="6"/>
    </row>
    <row r="1668" spans="3:11" x14ac:dyDescent="0.25">
      <c r="C1668" s="6"/>
      <c r="G1668" s="6"/>
      <c r="K1668" s="6"/>
    </row>
    <row r="1669" spans="3:11" x14ac:dyDescent="0.25">
      <c r="C1669" s="6"/>
      <c r="G1669" s="6"/>
      <c r="K1669" s="6"/>
    </row>
    <row r="1670" spans="3:11" x14ac:dyDescent="0.25">
      <c r="C1670" s="6"/>
      <c r="G1670" s="6"/>
      <c r="K1670" s="6"/>
    </row>
    <row r="1671" spans="3:11" x14ac:dyDescent="0.25">
      <c r="C1671" s="6"/>
      <c r="G1671" s="6"/>
      <c r="K1671" s="6"/>
    </row>
    <row r="1672" spans="3:11" x14ac:dyDescent="0.25">
      <c r="C1672" s="6"/>
      <c r="G1672" s="6"/>
      <c r="K1672" s="6"/>
    </row>
    <row r="1673" spans="3:11" x14ac:dyDescent="0.25">
      <c r="C1673" s="6"/>
      <c r="G1673" s="6"/>
      <c r="K1673" s="6"/>
    </row>
    <row r="1674" spans="3:11" x14ac:dyDescent="0.25">
      <c r="C1674" s="6"/>
      <c r="G1674" s="6"/>
      <c r="K1674" s="6"/>
    </row>
    <row r="1675" spans="3:11" x14ac:dyDescent="0.25">
      <c r="C1675" s="6"/>
      <c r="G1675" s="6"/>
      <c r="K1675" s="6"/>
    </row>
    <row r="1676" spans="3:11" x14ac:dyDescent="0.25">
      <c r="C1676" s="6"/>
      <c r="G1676" s="6"/>
      <c r="K1676" s="6"/>
    </row>
    <row r="1677" spans="3:11" x14ac:dyDescent="0.25">
      <c r="C1677" s="6"/>
      <c r="G1677" s="6"/>
      <c r="K1677" s="6"/>
    </row>
    <row r="1678" spans="3:11" x14ac:dyDescent="0.25">
      <c r="C1678" s="6"/>
      <c r="G1678" s="6"/>
      <c r="K1678" s="6"/>
    </row>
    <row r="1679" spans="3:11" x14ac:dyDescent="0.25">
      <c r="C1679" s="6"/>
      <c r="G1679" s="6"/>
      <c r="K1679" s="6"/>
    </row>
    <row r="1680" spans="3:11" x14ac:dyDescent="0.25">
      <c r="C1680" s="6"/>
      <c r="G1680" s="6"/>
      <c r="K1680" s="6"/>
    </row>
    <row r="1681" spans="3:11" x14ac:dyDescent="0.25">
      <c r="C1681" s="6"/>
      <c r="G1681" s="6"/>
      <c r="K1681" s="6"/>
    </row>
    <row r="1682" spans="3:11" x14ac:dyDescent="0.25">
      <c r="C1682" s="6"/>
      <c r="G1682" s="6"/>
      <c r="K1682" s="6"/>
    </row>
    <row r="1683" spans="3:11" x14ac:dyDescent="0.25">
      <c r="C1683" s="6"/>
      <c r="G1683" s="6"/>
      <c r="K1683" s="6"/>
    </row>
    <row r="1684" spans="3:11" x14ac:dyDescent="0.25">
      <c r="C1684" s="6"/>
      <c r="G1684" s="6"/>
      <c r="K1684" s="6"/>
    </row>
    <row r="1685" spans="3:11" x14ac:dyDescent="0.25">
      <c r="C1685" s="6"/>
      <c r="G1685" s="6"/>
      <c r="K1685" s="6"/>
    </row>
    <row r="1686" spans="3:11" x14ac:dyDescent="0.25">
      <c r="C1686" s="6"/>
      <c r="G1686" s="6"/>
      <c r="K1686" s="6"/>
    </row>
    <row r="1687" spans="3:11" x14ac:dyDescent="0.25">
      <c r="C1687" s="6"/>
      <c r="G1687" s="6"/>
      <c r="K1687" s="6"/>
    </row>
    <row r="1688" spans="3:11" x14ac:dyDescent="0.25">
      <c r="C1688" s="6"/>
      <c r="G1688" s="6"/>
      <c r="K1688" s="6"/>
    </row>
    <row r="1689" spans="3:11" x14ac:dyDescent="0.25">
      <c r="C1689" s="6"/>
      <c r="G1689" s="6"/>
      <c r="K1689" s="6"/>
    </row>
    <row r="1690" spans="3:11" x14ac:dyDescent="0.25">
      <c r="C1690" s="6"/>
      <c r="G1690" s="6"/>
      <c r="K1690" s="6"/>
    </row>
    <row r="1691" spans="3:11" x14ac:dyDescent="0.25">
      <c r="C1691" s="6"/>
      <c r="G1691" s="6"/>
      <c r="K1691" s="6"/>
    </row>
    <row r="1692" spans="3:11" x14ac:dyDescent="0.25">
      <c r="C1692" s="6"/>
      <c r="G1692" s="6"/>
      <c r="K1692" s="6"/>
    </row>
    <row r="1693" spans="3:11" x14ac:dyDescent="0.25">
      <c r="C1693" s="6"/>
      <c r="G1693" s="6"/>
      <c r="K1693" s="6"/>
    </row>
    <row r="1694" spans="3:11" x14ac:dyDescent="0.25">
      <c r="C1694" s="6"/>
      <c r="G1694" s="6"/>
      <c r="K1694" s="6"/>
    </row>
    <row r="1695" spans="3:11" x14ac:dyDescent="0.25">
      <c r="C1695" s="6"/>
      <c r="G1695" s="6"/>
      <c r="K1695" s="6"/>
    </row>
    <row r="1696" spans="3:11" x14ac:dyDescent="0.25">
      <c r="C1696" s="6"/>
      <c r="G1696" s="6"/>
      <c r="K1696" s="6"/>
    </row>
    <row r="1697" spans="3:11" x14ac:dyDescent="0.25">
      <c r="C1697" s="6"/>
      <c r="G1697" s="6"/>
      <c r="K1697" s="6"/>
    </row>
    <row r="1698" spans="3:11" x14ac:dyDescent="0.25">
      <c r="C1698" s="6"/>
      <c r="G1698" s="6"/>
      <c r="K1698" s="6"/>
    </row>
    <row r="1699" spans="3:11" x14ac:dyDescent="0.25">
      <c r="C1699" s="6"/>
      <c r="G1699" s="6"/>
      <c r="K1699" s="6"/>
    </row>
    <row r="1700" spans="3:11" x14ac:dyDescent="0.25">
      <c r="C1700" s="6"/>
      <c r="G1700" s="6"/>
      <c r="K1700" s="6"/>
    </row>
    <row r="1701" spans="3:11" x14ac:dyDescent="0.25">
      <c r="C1701" s="6"/>
      <c r="G1701" s="6"/>
      <c r="K1701" s="6"/>
    </row>
    <row r="1702" spans="3:11" x14ac:dyDescent="0.25">
      <c r="C1702" s="6"/>
      <c r="G1702" s="6"/>
      <c r="K1702" s="6"/>
    </row>
    <row r="1703" spans="3:11" x14ac:dyDescent="0.25">
      <c r="C1703" s="6"/>
      <c r="G1703" s="6"/>
      <c r="K1703" s="6"/>
    </row>
    <row r="1704" spans="3:11" x14ac:dyDescent="0.25">
      <c r="C1704" s="6"/>
      <c r="G1704" s="6"/>
      <c r="K1704" s="6"/>
    </row>
    <row r="1705" spans="3:11" x14ac:dyDescent="0.25">
      <c r="C1705" s="6"/>
      <c r="G1705" s="6"/>
      <c r="K1705" s="6"/>
    </row>
    <row r="1706" spans="3:11" x14ac:dyDescent="0.25">
      <c r="C1706" s="6"/>
      <c r="G1706" s="6"/>
      <c r="K1706" s="6"/>
    </row>
    <row r="1707" spans="3:11" x14ac:dyDescent="0.25">
      <c r="C1707" s="6"/>
      <c r="G1707" s="6"/>
      <c r="K1707" s="6"/>
    </row>
    <row r="1708" spans="3:11" x14ac:dyDescent="0.25">
      <c r="C1708" s="6"/>
      <c r="G1708" s="6"/>
      <c r="K1708" s="6"/>
    </row>
    <row r="1709" spans="3:11" x14ac:dyDescent="0.25">
      <c r="C1709" s="6"/>
      <c r="G1709" s="6"/>
      <c r="K1709" s="6"/>
    </row>
    <row r="1710" spans="3:11" x14ac:dyDescent="0.25">
      <c r="C1710" s="6"/>
      <c r="G1710" s="6"/>
      <c r="K1710" s="6"/>
    </row>
    <row r="1711" spans="3:11" x14ac:dyDescent="0.25">
      <c r="C1711" s="6"/>
      <c r="G1711" s="6"/>
      <c r="K1711" s="6"/>
    </row>
    <row r="1712" spans="3:11" x14ac:dyDescent="0.25">
      <c r="C1712" s="6"/>
      <c r="G1712" s="6"/>
      <c r="K1712" s="6"/>
    </row>
    <row r="1713" spans="3:11" x14ac:dyDescent="0.25">
      <c r="C1713" s="6"/>
      <c r="G1713" s="6"/>
      <c r="K1713" s="6"/>
    </row>
    <row r="1714" spans="3:11" x14ac:dyDescent="0.25">
      <c r="C1714" s="6"/>
      <c r="G1714" s="6"/>
      <c r="K1714" s="6"/>
    </row>
    <row r="1715" spans="3:11" x14ac:dyDescent="0.25">
      <c r="C1715" s="6"/>
      <c r="G1715" s="6"/>
      <c r="K1715" s="6"/>
    </row>
    <row r="1716" spans="3:11" x14ac:dyDescent="0.25">
      <c r="C1716" s="6"/>
      <c r="G1716" s="6"/>
      <c r="K1716" s="6"/>
    </row>
    <row r="1717" spans="3:11" x14ac:dyDescent="0.25">
      <c r="C1717" s="6"/>
      <c r="G1717" s="6"/>
      <c r="K1717" s="6"/>
    </row>
    <row r="1718" spans="3:11" x14ac:dyDescent="0.25">
      <c r="C1718" s="6"/>
      <c r="G1718" s="6"/>
      <c r="K1718" s="6"/>
    </row>
    <row r="1719" spans="3:11" x14ac:dyDescent="0.25">
      <c r="C1719" s="6"/>
      <c r="G1719" s="6"/>
      <c r="K1719" s="6"/>
    </row>
    <row r="1720" spans="3:11" x14ac:dyDescent="0.25">
      <c r="C1720" s="6"/>
      <c r="G1720" s="6"/>
      <c r="K1720" s="6"/>
    </row>
    <row r="1721" spans="3:11" x14ac:dyDescent="0.25">
      <c r="C1721" s="6"/>
      <c r="G1721" s="6"/>
      <c r="K1721" s="6"/>
    </row>
    <row r="1722" spans="3:11" x14ac:dyDescent="0.25">
      <c r="C1722" s="6"/>
      <c r="G1722" s="6"/>
      <c r="K1722" s="6"/>
    </row>
    <row r="1723" spans="3:11" x14ac:dyDescent="0.25">
      <c r="C1723" s="6"/>
      <c r="G1723" s="6"/>
      <c r="K1723" s="6"/>
    </row>
    <row r="1724" spans="3:11" x14ac:dyDescent="0.25">
      <c r="C1724" s="6"/>
      <c r="G1724" s="6"/>
      <c r="K1724" s="6"/>
    </row>
    <row r="1725" spans="3:11" x14ac:dyDescent="0.25">
      <c r="C1725" s="6"/>
      <c r="G1725" s="6"/>
      <c r="K1725" s="6"/>
    </row>
    <row r="1726" spans="3:11" x14ac:dyDescent="0.25">
      <c r="C1726" s="6"/>
      <c r="G1726" s="6"/>
      <c r="K1726" s="6"/>
    </row>
    <row r="1727" spans="3:11" x14ac:dyDescent="0.25">
      <c r="C1727" s="6"/>
      <c r="G1727" s="6"/>
      <c r="K1727" s="6"/>
    </row>
    <row r="1728" spans="3:11" x14ac:dyDescent="0.25">
      <c r="C1728" s="6"/>
      <c r="G1728" s="6"/>
      <c r="K1728" s="6"/>
    </row>
    <row r="1729" spans="3:11" x14ac:dyDescent="0.25">
      <c r="C1729" s="6"/>
      <c r="G1729" s="6"/>
      <c r="K1729" s="6"/>
    </row>
    <row r="1730" spans="3:11" x14ac:dyDescent="0.25">
      <c r="C1730" s="6"/>
      <c r="G1730" s="6"/>
      <c r="K1730" s="6"/>
    </row>
    <row r="1731" spans="3:11" x14ac:dyDescent="0.25">
      <c r="C1731" s="6"/>
      <c r="G1731" s="6"/>
      <c r="K1731" s="6"/>
    </row>
    <row r="1732" spans="3:11" x14ac:dyDescent="0.25">
      <c r="C1732" s="6"/>
      <c r="G1732" s="6"/>
      <c r="K1732" s="6"/>
    </row>
    <row r="1733" spans="3:11" x14ac:dyDescent="0.25">
      <c r="C1733" s="6"/>
      <c r="G1733" s="6"/>
      <c r="K1733" s="6"/>
    </row>
    <row r="1734" spans="3:11" x14ac:dyDescent="0.25">
      <c r="C1734" s="6"/>
      <c r="G1734" s="6"/>
      <c r="K1734" s="6"/>
    </row>
    <row r="1735" spans="3:11" x14ac:dyDescent="0.25">
      <c r="C1735" s="6"/>
      <c r="G1735" s="6"/>
      <c r="K1735" s="6"/>
    </row>
    <row r="1736" spans="3:11" x14ac:dyDescent="0.25">
      <c r="C1736" s="6"/>
      <c r="G1736" s="6"/>
      <c r="K1736" s="6"/>
    </row>
    <row r="1737" spans="3:11" x14ac:dyDescent="0.25">
      <c r="C1737" s="6"/>
      <c r="G1737" s="6"/>
      <c r="K1737" s="6"/>
    </row>
    <row r="1738" spans="3:11" x14ac:dyDescent="0.25">
      <c r="C1738" s="6"/>
      <c r="G1738" s="6"/>
      <c r="K1738" s="6"/>
    </row>
    <row r="1739" spans="3:11" x14ac:dyDescent="0.25">
      <c r="C1739" s="6"/>
      <c r="G1739" s="6"/>
      <c r="K1739" s="6"/>
    </row>
    <row r="1740" spans="3:11" x14ac:dyDescent="0.25">
      <c r="C1740" s="6"/>
      <c r="G1740" s="6"/>
      <c r="K1740" s="6"/>
    </row>
    <row r="1741" spans="3:11" x14ac:dyDescent="0.25">
      <c r="C1741" s="6"/>
      <c r="G1741" s="6"/>
      <c r="K1741" s="6"/>
    </row>
    <row r="1742" spans="3:11" x14ac:dyDescent="0.25">
      <c r="C1742" s="6"/>
      <c r="G1742" s="6"/>
      <c r="K1742" s="6"/>
    </row>
    <row r="1743" spans="3:11" x14ac:dyDescent="0.25">
      <c r="C1743" s="6"/>
      <c r="G1743" s="6"/>
      <c r="K1743" s="6"/>
    </row>
    <row r="1744" spans="3:11" x14ac:dyDescent="0.25">
      <c r="C1744" s="6"/>
      <c r="G1744" s="6"/>
      <c r="K1744" s="6"/>
    </row>
    <row r="1745" spans="3:11" x14ac:dyDescent="0.25">
      <c r="C1745" s="6"/>
      <c r="G1745" s="6"/>
      <c r="K1745" s="6"/>
    </row>
    <row r="1746" spans="3:11" x14ac:dyDescent="0.25">
      <c r="C1746" s="6"/>
      <c r="G1746" s="6"/>
      <c r="K1746" s="6"/>
    </row>
    <row r="1747" spans="3:11" x14ac:dyDescent="0.25">
      <c r="C1747" s="6"/>
      <c r="G1747" s="6"/>
      <c r="K1747" s="6"/>
    </row>
    <row r="1748" spans="3:11" x14ac:dyDescent="0.25">
      <c r="C1748" s="6"/>
      <c r="G1748" s="6"/>
      <c r="K1748" s="6"/>
    </row>
    <row r="1749" spans="3:11" x14ac:dyDescent="0.25">
      <c r="C1749" s="6"/>
      <c r="G1749" s="6"/>
      <c r="K1749" s="6"/>
    </row>
    <row r="1750" spans="3:11" x14ac:dyDescent="0.25">
      <c r="C1750" s="6"/>
      <c r="G1750" s="6"/>
      <c r="K1750" s="6"/>
    </row>
    <row r="1751" spans="3:11" x14ac:dyDescent="0.25">
      <c r="C1751" s="6"/>
      <c r="G1751" s="6"/>
      <c r="K1751" s="6"/>
    </row>
    <row r="1752" spans="3:11" x14ac:dyDescent="0.25">
      <c r="C1752" s="6"/>
      <c r="G1752" s="6"/>
      <c r="K1752" s="6"/>
    </row>
    <row r="1753" spans="3:11" x14ac:dyDescent="0.25">
      <c r="C1753" s="6"/>
      <c r="G1753" s="6"/>
      <c r="K1753" s="6"/>
    </row>
    <row r="1754" spans="3:11" x14ac:dyDescent="0.25">
      <c r="C1754" s="6"/>
      <c r="G1754" s="6"/>
      <c r="K1754" s="6"/>
    </row>
    <row r="1755" spans="3:11" x14ac:dyDescent="0.25">
      <c r="C1755" s="6"/>
      <c r="G1755" s="6"/>
      <c r="K1755" s="6"/>
    </row>
    <row r="1756" spans="3:11" x14ac:dyDescent="0.25">
      <c r="C1756" s="6"/>
      <c r="G1756" s="6"/>
      <c r="K1756" s="6"/>
    </row>
    <row r="1757" spans="3:11" x14ac:dyDescent="0.25">
      <c r="C1757" s="6"/>
      <c r="G1757" s="6"/>
      <c r="K1757" s="6"/>
    </row>
    <row r="1758" spans="3:11" x14ac:dyDescent="0.25">
      <c r="C1758" s="6"/>
      <c r="G1758" s="6"/>
      <c r="K1758" s="6"/>
    </row>
    <row r="1759" spans="3:11" x14ac:dyDescent="0.25">
      <c r="C1759" s="6"/>
      <c r="G1759" s="6"/>
      <c r="K1759" s="6"/>
    </row>
    <row r="1760" spans="3:11" x14ac:dyDescent="0.25">
      <c r="C1760" s="6"/>
      <c r="G1760" s="6"/>
      <c r="K1760" s="6"/>
    </row>
    <row r="1761" spans="3:11" x14ac:dyDescent="0.25">
      <c r="C1761" s="6"/>
      <c r="G1761" s="6"/>
      <c r="K1761" s="6"/>
    </row>
    <row r="1762" spans="3:11" x14ac:dyDescent="0.25">
      <c r="C1762" s="6"/>
      <c r="G1762" s="6"/>
      <c r="K1762" s="6"/>
    </row>
    <row r="1763" spans="3:11" x14ac:dyDescent="0.25">
      <c r="C1763" s="6"/>
      <c r="G1763" s="6"/>
      <c r="K1763" s="6"/>
    </row>
    <row r="1764" spans="3:11" x14ac:dyDescent="0.25">
      <c r="C1764" s="6"/>
      <c r="G1764" s="6"/>
      <c r="K1764" s="6"/>
    </row>
    <row r="1765" spans="3:11" x14ac:dyDescent="0.25">
      <c r="C1765" s="6"/>
      <c r="G1765" s="6"/>
      <c r="K1765" s="6"/>
    </row>
    <row r="1766" spans="3:11" x14ac:dyDescent="0.25">
      <c r="C1766" s="6"/>
      <c r="G1766" s="6"/>
      <c r="K1766" s="6"/>
    </row>
    <row r="1767" spans="3:11" x14ac:dyDescent="0.25">
      <c r="C1767" s="6"/>
      <c r="G1767" s="6"/>
      <c r="K1767" s="6"/>
    </row>
    <row r="1768" spans="3:11" x14ac:dyDescent="0.25">
      <c r="C1768" s="6"/>
      <c r="G1768" s="6"/>
      <c r="K1768" s="6"/>
    </row>
    <row r="1769" spans="3:11" x14ac:dyDescent="0.25">
      <c r="C1769" s="6"/>
      <c r="G1769" s="6"/>
      <c r="K1769" s="6"/>
    </row>
    <row r="1770" spans="3:11" x14ac:dyDescent="0.25">
      <c r="C1770" s="6"/>
      <c r="G1770" s="6"/>
      <c r="K1770" s="6"/>
    </row>
    <row r="1771" spans="3:11" x14ac:dyDescent="0.25">
      <c r="C1771" s="6"/>
      <c r="G1771" s="6"/>
      <c r="K1771" s="6"/>
    </row>
    <row r="1772" spans="3:11" x14ac:dyDescent="0.25">
      <c r="C1772" s="6"/>
      <c r="G1772" s="6"/>
      <c r="K1772" s="6"/>
    </row>
    <row r="1773" spans="3:11" x14ac:dyDescent="0.25">
      <c r="C1773" s="6"/>
      <c r="G1773" s="6"/>
      <c r="K1773" s="6"/>
    </row>
    <row r="1774" spans="3:11" x14ac:dyDescent="0.25">
      <c r="C1774" s="6"/>
      <c r="G1774" s="6"/>
      <c r="K1774" s="6"/>
    </row>
    <row r="1775" spans="3:11" x14ac:dyDescent="0.25">
      <c r="C1775" s="6"/>
      <c r="G1775" s="6"/>
      <c r="K1775" s="6"/>
    </row>
    <row r="1776" spans="3:11" x14ac:dyDescent="0.25">
      <c r="C1776" s="6"/>
      <c r="G1776" s="6"/>
      <c r="K1776" s="6"/>
    </row>
    <row r="1777" spans="3:11" x14ac:dyDescent="0.25">
      <c r="C1777" s="6"/>
      <c r="G1777" s="6"/>
      <c r="K1777" s="6"/>
    </row>
    <row r="1778" spans="3:11" x14ac:dyDescent="0.25">
      <c r="C1778" s="6"/>
      <c r="G1778" s="6"/>
      <c r="K1778" s="6"/>
    </row>
    <row r="1779" spans="3:11" x14ac:dyDescent="0.25">
      <c r="C1779" s="6"/>
      <c r="G1779" s="6"/>
      <c r="K1779" s="6"/>
    </row>
    <row r="1780" spans="3:11" x14ac:dyDescent="0.25">
      <c r="C1780" s="6"/>
      <c r="G1780" s="6"/>
      <c r="K1780" s="6"/>
    </row>
    <row r="1781" spans="3:11" x14ac:dyDescent="0.25">
      <c r="C1781" s="6"/>
      <c r="G1781" s="6"/>
      <c r="K1781" s="6"/>
    </row>
    <row r="1782" spans="3:11" x14ac:dyDescent="0.25">
      <c r="C1782" s="6"/>
      <c r="G1782" s="6"/>
      <c r="K1782" s="6"/>
    </row>
    <row r="1783" spans="3:11" x14ac:dyDescent="0.25">
      <c r="C1783" s="6"/>
      <c r="G1783" s="6"/>
      <c r="K1783" s="6"/>
    </row>
    <row r="1784" spans="3:11" x14ac:dyDescent="0.25">
      <c r="C1784" s="6"/>
      <c r="G1784" s="6"/>
      <c r="K1784" s="6"/>
    </row>
    <row r="1785" spans="3:11" x14ac:dyDescent="0.25">
      <c r="C1785" s="6"/>
      <c r="G1785" s="6"/>
      <c r="K1785" s="6"/>
    </row>
    <row r="1786" spans="3:11" x14ac:dyDescent="0.25">
      <c r="C1786" s="6"/>
      <c r="G1786" s="6"/>
      <c r="K1786" s="6"/>
    </row>
    <row r="1787" spans="3:11" x14ac:dyDescent="0.25">
      <c r="C1787" s="6"/>
      <c r="G1787" s="6"/>
      <c r="K1787" s="6"/>
    </row>
    <row r="1788" spans="3:11" x14ac:dyDescent="0.25">
      <c r="C1788" s="6"/>
      <c r="G1788" s="6"/>
      <c r="K1788" s="6"/>
    </row>
    <row r="1789" spans="3:11" x14ac:dyDescent="0.25">
      <c r="C1789" s="6"/>
      <c r="G1789" s="6"/>
      <c r="K1789" s="6"/>
    </row>
    <row r="1790" spans="3:11" x14ac:dyDescent="0.25">
      <c r="C1790" s="6"/>
      <c r="G1790" s="6"/>
      <c r="K1790" s="6"/>
    </row>
    <row r="1791" spans="3:11" x14ac:dyDescent="0.25">
      <c r="C1791" s="6"/>
      <c r="G1791" s="6"/>
      <c r="K1791" s="6"/>
    </row>
    <row r="1792" spans="3:11" x14ac:dyDescent="0.25">
      <c r="C1792" s="6"/>
      <c r="G1792" s="6"/>
      <c r="K1792" s="6"/>
    </row>
    <row r="1793" spans="3:11" x14ac:dyDescent="0.25">
      <c r="C1793" s="6"/>
      <c r="G1793" s="6"/>
      <c r="K1793" s="6"/>
    </row>
    <row r="1794" spans="3:11" x14ac:dyDescent="0.25">
      <c r="C1794" s="6"/>
      <c r="G1794" s="6"/>
      <c r="K1794" s="6"/>
    </row>
    <row r="1795" spans="3:11" x14ac:dyDescent="0.25">
      <c r="C1795" s="6"/>
      <c r="G1795" s="6"/>
      <c r="K1795" s="6"/>
    </row>
    <row r="1796" spans="3:11" x14ac:dyDescent="0.25">
      <c r="C1796" s="6"/>
      <c r="G1796" s="6"/>
      <c r="K1796" s="6"/>
    </row>
    <row r="1797" spans="3:11" x14ac:dyDescent="0.25">
      <c r="C1797" s="6"/>
      <c r="G1797" s="6"/>
      <c r="K1797" s="6"/>
    </row>
    <row r="1798" spans="3:11" x14ac:dyDescent="0.25">
      <c r="C1798" s="6"/>
      <c r="G1798" s="6"/>
      <c r="K1798" s="6"/>
    </row>
    <row r="1799" spans="3:11" x14ac:dyDescent="0.25">
      <c r="C1799" s="6"/>
      <c r="G1799" s="6"/>
      <c r="K1799" s="6"/>
    </row>
    <row r="1800" spans="3:11" x14ac:dyDescent="0.25">
      <c r="C1800" s="6"/>
      <c r="G1800" s="6"/>
      <c r="K1800" s="6"/>
    </row>
    <row r="1801" spans="3:11" x14ac:dyDescent="0.25">
      <c r="C1801" s="6"/>
      <c r="G1801" s="6"/>
      <c r="K1801" s="6"/>
    </row>
    <row r="1802" spans="3:11" x14ac:dyDescent="0.25">
      <c r="C1802" s="6"/>
      <c r="G1802" s="6"/>
      <c r="K1802" s="6"/>
    </row>
    <row r="1803" spans="3:11" x14ac:dyDescent="0.25">
      <c r="C1803" s="6"/>
      <c r="G1803" s="6"/>
      <c r="K1803" s="6"/>
    </row>
    <row r="1804" spans="3:11" x14ac:dyDescent="0.25">
      <c r="C1804" s="6"/>
      <c r="G1804" s="6"/>
      <c r="K1804" s="6"/>
    </row>
    <row r="1805" spans="3:11" x14ac:dyDescent="0.25">
      <c r="C1805" s="6"/>
      <c r="G1805" s="6"/>
      <c r="K1805" s="6"/>
    </row>
    <row r="1806" spans="3:11" x14ac:dyDescent="0.25">
      <c r="C1806" s="6"/>
      <c r="G1806" s="6"/>
      <c r="K1806" s="6"/>
    </row>
    <row r="1807" spans="3:11" x14ac:dyDescent="0.25">
      <c r="C1807" s="6"/>
      <c r="G1807" s="6"/>
      <c r="K1807" s="6"/>
    </row>
    <row r="1808" spans="3:11" x14ac:dyDescent="0.25">
      <c r="C1808" s="6"/>
      <c r="G1808" s="6"/>
      <c r="K1808" s="6"/>
    </row>
    <row r="1809" spans="3:11" x14ac:dyDescent="0.25">
      <c r="C1809" s="6"/>
      <c r="G1809" s="6"/>
      <c r="K1809" s="6"/>
    </row>
    <row r="1810" spans="3:11" x14ac:dyDescent="0.25">
      <c r="C1810" s="6"/>
      <c r="G1810" s="6"/>
      <c r="K1810" s="6"/>
    </row>
    <row r="1811" spans="3:11" x14ac:dyDescent="0.25">
      <c r="C1811" s="6"/>
      <c r="G1811" s="6"/>
      <c r="K1811" s="6"/>
    </row>
    <row r="1812" spans="3:11" x14ac:dyDescent="0.25">
      <c r="C1812" s="6"/>
      <c r="G1812" s="6"/>
      <c r="K1812" s="6"/>
    </row>
    <row r="1813" spans="3:11" x14ac:dyDescent="0.25">
      <c r="C1813" s="6"/>
      <c r="G1813" s="6"/>
      <c r="K1813" s="6"/>
    </row>
    <row r="1814" spans="3:11" x14ac:dyDescent="0.25">
      <c r="C1814" s="6"/>
      <c r="G1814" s="6"/>
      <c r="K1814" s="6"/>
    </row>
    <row r="1815" spans="3:11" x14ac:dyDescent="0.25">
      <c r="C1815" s="6"/>
      <c r="G1815" s="6"/>
      <c r="K1815" s="6"/>
    </row>
    <row r="1816" spans="3:11" x14ac:dyDescent="0.25">
      <c r="C1816" s="6"/>
      <c r="G1816" s="6"/>
      <c r="K1816" s="6"/>
    </row>
    <row r="1817" spans="3:11" x14ac:dyDescent="0.25">
      <c r="C1817" s="6"/>
      <c r="G1817" s="6"/>
      <c r="K1817" s="6"/>
    </row>
    <row r="1818" spans="3:11" x14ac:dyDescent="0.25">
      <c r="C1818" s="6"/>
      <c r="G1818" s="6"/>
      <c r="K1818" s="6"/>
    </row>
    <row r="1819" spans="3:11" x14ac:dyDescent="0.25">
      <c r="C1819" s="6"/>
      <c r="G1819" s="6"/>
      <c r="K1819" s="6"/>
    </row>
    <row r="1820" spans="3:11" x14ac:dyDescent="0.25">
      <c r="C1820" s="6"/>
      <c r="G1820" s="6"/>
      <c r="K1820" s="6"/>
    </row>
    <row r="1821" spans="3:11" x14ac:dyDescent="0.25">
      <c r="C1821" s="6"/>
      <c r="G1821" s="6"/>
      <c r="K1821" s="6"/>
    </row>
    <row r="1822" spans="3:11" x14ac:dyDescent="0.25">
      <c r="C1822" s="6"/>
      <c r="G1822" s="6"/>
      <c r="K1822" s="6"/>
    </row>
    <row r="1823" spans="3:11" x14ac:dyDescent="0.25">
      <c r="C1823" s="6"/>
      <c r="G1823" s="6"/>
      <c r="K1823" s="6"/>
    </row>
    <row r="1824" spans="3:11" x14ac:dyDescent="0.25">
      <c r="C1824" s="6"/>
      <c r="G1824" s="6"/>
      <c r="K1824" s="6"/>
    </row>
    <row r="1825" spans="3:11" x14ac:dyDescent="0.25">
      <c r="C1825" s="6"/>
      <c r="G1825" s="6"/>
      <c r="K1825" s="6"/>
    </row>
    <row r="1826" spans="3:11" x14ac:dyDescent="0.25">
      <c r="C1826" s="6"/>
      <c r="G1826" s="6"/>
      <c r="K1826" s="6"/>
    </row>
    <row r="1827" spans="3:11" x14ac:dyDescent="0.25">
      <c r="C1827" s="6"/>
      <c r="G1827" s="6"/>
      <c r="K1827" s="6"/>
    </row>
    <row r="1828" spans="3:11" x14ac:dyDescent="0.25">
      <c r="C1828" s="6"/>
      <c r="G1828" s="6"/>
      <c r="K1828" s="6"/>
    </row>
    <row r="1829" spans="3:11" x14ac:dyDescent="0.25">
      <c r="C1829" s="6"/>
      <c r="G1829" s="6"/>
      <c r="K1829" s="6"/>
    </row>
    <row r="1830" spans="3:11" x14ac:dyDescent="0.25">
      <c r="C1830" s="6"/>
      <c r="G1830" s="6"/>
      <c r="K1830" s="6"/>
    </row>
    <row r="1831" spans="3:11" x14ac:dyDescent="0.25">
      <c r="C1831" s="6"/>
      <c r="G1831" s="6"/>
      <c r="K1831" s="6"/>
    </row>
    <row r="1832" spans="3:11" x14ac:dyDescent="0.25">
      <c r="C1832" s="6"/>
      <c r="G1832" s="6"/>
      <c r="K1832" s="6"/>
    </row>
    <row r="1833" spans="3:11" x14ac:dyDescent="0.25">
      <c r="C1833" s="6"/>
      <c r="G1833" s="6"/>
      <c r="K1833" s="6"/>
    </row>
    <row r="1834" spans="3:11" x14ac:dyDescent="0.25">
      <c r="C1834" s="6"/>
      <c r="G1834" s="6"/>
      <c r="K1834" s="6"/>
    </row>
    <row r="1835" spans="3:11" x14ac:dyDescent="0.25">
      <c r="C1835" s="6"/>
      <c r="G1835" s="6"/>
      <c r="K1835" s="6"/>
    </row>
    <row r="1836" spans="3:11" x14ac:dyDescent="0.25">
      <c r="C1836" s="6"/>
      <c r="G1836" s="6"/>
      <c r="K1836" s="6"/>
    </row>
    <row r="1837" spans="3:11" x14ac:dyDescent="0.25">
      <c r="C1837" s="6"/>
      <c r="G1837" s="6"/>
      <c r="K1837" s="6"/>
    </row>
    <row r="1838" spans="3:11" x14ac:dyDescent="0.25">
      <c r="C1838" s="6"/>
      <c r="G1838" s="6"/>
      <c r="K1838" s="6"/>
    </row>
    <row r="1839" spans="3:11" x14ac:dyDescent="0.25">
      <c r="C1839" s="6"/>
      <c r="G1839" s="6"/>
      <c r="K1839" s="6"/>
    </row>
    <row r="1840" spans="3:11" x14ac:dyDescent="0.25">
      <c r="C1840" s="6"/>
      <c r="G1840" s="6"/>
      <c r="K1840" s="6"/>
    </row>
    <row r="1841" spans="3:11" x14ac:dyDescent="0.25">
      <c r="C1841" s="6"/>
      <c r="G1841" s="6"/>
      <c r="K1841" s="6"/>
    </row>
    <row r="1842" spans="3:11" x14ac:dyDescent="0.25">
      <c r="C1842" s="6"/>
      <c r="G1842" s="6"/>
      <c r="K1842" s="6"/>
    </row>
    <row r="1843" spans="3:11" x14ac:dyDescent="0.25">
      <c r="C1843" s="6"/>
      <c r="G1843" s="6"/>
      <c r="K1843" s="6"/>
    </row>
    <row r="1844" spans="3:11" x14ac:dyDescent="0.25">
      <c r="C1844" s="6"/>
      <c r="G1844" s="6"/>
      <c r="K1844" s="6"/>
    </row>
    <row r="1845" spans="3:11" x14ac:dyDescent="0.25">
      <c r="C1845" s="6"/>
      <c r="G1845" s="6"/>
      <c r="K1845" s="6"/>
    </row>
    <row r="1846" spans="3:11" x14ac:dyDescent="0.25">
      <c r="C1846" s="6"/>
      <c r="G1846" s="6"/>
      <c r="K1846" s="6"/>
    </row>
    <row r="1847" spans="3:11" x14ac:dyDescent="0.25">
      <c r="C1847" s="6"/>
      <c r="G1847" s="6"/>
      <c r="K1847" s="6"/>
    </row>
    <row r="1848" spans="3:11" x14ac:dyDescent="0.25">
      <c r="C1848" s="6"/>
      <c r="G1848" s="6"/>
      <c r="K1848" s="6"/>
    </row>
    <row r="1849" spans="3:11" x14ac:dyDescent="0.25">
      <c r="C1849" s="6"/>
      <c r="G1849" s="6"/>
      <c r="K1849" s="6"/>
    </row>
    <row r="1850" spans="3:11" x14ac:dyDescent="0.25">
      <c r="C1850" s="6"/>
      <c r="G1850" s="6"/>
      <c r="K1850" s="6"/>
    </row>
    <row r="1851" spans="3:11" x14ac:dyDescent="0.25">
      <c r="C1851" s="6"/>
      <c r="G1851" s="6"/>
      <c r="K1851" s="6"/>
    </row>
    <row r="1852" spans="3:11" x14ac:dyDescent="0.25">
      <c r="C1852" s="6"/>
      <c r="G1852" s="6"/>
      <c r="K1852" s="6"/>
    </row>
    <row r="1853" spans="3:11" x14ac:dyDescent="0.25">
      <c r="C1853" s="6"/>
      <c r="G1853" s="6"/>
      <c r="K1853" s="6"/>
    </row>
    <row r="1854" spans="3:11" x14ac:dyDescent="0.25">
      <c r="C1854" s="6"/>
      <c r="G1854" s="6"/>
      <c r="K1854" s="6"/>
    </row>
    <row r="1855" spans="3:11" x14ac:dyDescent="0.25">
      <c r="C1855" s="6"/>
      <c r="G1855" s="6"/>
      <c r="K1855" s="6"/>
    </row>
    <row r="1856" spans="3:11" x14ac:dyDescent="0.25">
      <c r="C1856" s="6"/>
      <c r="G1856" s="6"/>
      <c r="K1856" s="6"/>
    </row>
    <row r="1857" spans="3:11" x14ac:dyDescent="0.25">
      <c r="C1857" s="6"/>
      <c r="G1857" s="6"/>
      <c r="K1857" s="6"/>
    </row>
    <row r="1858" spans="3:11" x14ac:dyDescent="0.25">
      <c r="C1858" s="6"/>
      <c r="G1858" s="6"/>
      <c r="K1858" s="6"/>
    </row>
    <row r="1859" spans="3:11" x14ac:dyDescent="0.25">
      <c r="C1859" s="6"/>
      <c r="G1859" s="6"/>
      <c r="K1859" s="6"/>
    </row>
    <row r="1860" spans="3:11" x14ac:dyDescent="0.25">
      <c r="C1860" s="6"/>
      <c r="G1860" s="6"/>
      <c r="K1860" s="6"/>
    </row>
    <row r="1861" spans="3:11" x14ac:dyDescent="0.25">
      <c r="C1861" s="6"/>
      <c r="G1861" s="6"/>
      <c r="K1861" s="6"/>
    </row>
    <row r="1862" spans="3:11" x14ac:dyDescent="0.25">
      <c r="C1862" s="6"/>
      <c r="G1862" s="6"/>
      <c r="K1862" s="6"/>
    </row>
    <row r="1863" spans="3:11" x14ac:dyDescent="0.25">
      <c r="C1863" s="6"/>
      <c r="G1863" s="6"/>
      <c r="K1863" s="6"/>
    </row>
    <row r="1864" spans="3:11" x14ac:dyDescent="0.25">
      <c r="C1864" s="6"/>
      <c r="G1864" s="6"/>
      <c r="K1864" s="6"/>
    </row>
    <row r="1865" spans="3:11" x14ac:dyDescent="0.25">
      <c r="C1865" s="6"/>
      <c r="G1865" s="6"/>
      <c r="K1865" s="6"/>
    </row>
    <row r="1866" spans="3:11" x14ac:dyDescent="0.25">
      <c r="C1866" s="6"/>
      <c r="G1866" s="6"/>
      <c r="K1866" s="6"/>
    </row>
    <row r="1867" spans="3:11" x14ac:dyDescent="0.25">
      <c r="C1867" s="6"/>
      <c r="G1867" s="6"/>
      <c r="K1867" s="6"/>
    </row>
    <row r="1868" spans="3:11" x14ac:dyDescent="0.25">
      <c r="C1868" s="6"/>
      <c r="G1868" s="6"/>
      <c r="K1868" s="6"/>
    </row>
    <row r="1869" spans="3:11" x14ac:dyDescent="0.25">
      <c r="C1869" s="6"/>
      <c r="G1869" s="6"/>
      <c r="K1869" s="6"/>
    </row>
    <row r="1870" spans="3:11" x14ac:dyDescent="0.25">
      <c r="C1870" s="6"/>
      <c r="G1870" s="6"/>
      <c r="K1870" s="6"/>
    </row>
    <row r="1871" spans="3:11" x14ac:dyDescent="0.25">
      <c r="C1871" s="6"/>
      <c r="G1871" s="6"/>
      <c r="K1871" s="6"/>
    </row>
    <row r="1872" spans="3:11" x14ac:dyDescent="0.25">
      <c r="C1872" s="6"/>
      <c r="G1872" s="6"/>
      <c r="K1872" s="6"/>
    </row>
    <row r="1873" spans="3:11" x14ac:dyDescent="0.25">
      <c r="C1873" s="6"/>
      <c r="G1873" s="6"/>
      <c r="K1873" s="6"/>
    </row>
    <row r="1874" spans="3:11" x14ac:dyDescent="0.25">
      <c r="C1874" s="6"/>
      <c r="G1874" s="6"/>
      <c r="K1874" s="6"/>
    </row>
    <row r="1875" spans="3:11" x14ac:dyDescent="0.25">
      <c r="C1875" s="6"/>
      <c r="G1875" s="6"/>
      <c r="K1875" s="6"/>
    </row>
    <row r="1876" spans="3:11" x14ac:dyDescent="0.25">
      <c r="C1876" s="6"/>
      <c r="G1876" s="6"/>
      <c r="K1876" s="6"/>
    </row>
    <row r="1877" spans="3:11" x14ac:dyDescent="0.25">
      <c r="C1877" s="6"/>
      <c r="G1877" s="6"/>
      <c r="K1877" s="6"/>
    </row>
    <row r="1878" spans="3:11" x14ac:dyDescent="0.25">
      <c r="C1878" s="6"/>
      <c r="G1878" s="6"/>
      <c r="K1878" s="6"/>
    </row>
    <row r="1879" spans="3:11" x14ac:dyDescent="0.25">
      <c r="C1879" s="6"/>
      <c r="G1879" s="6"/>
      <c r="K1879" s="6"/>
    </row>
    <row r="1880" spans="3:11" x14ac:dyDescent="0.25">
      <c r="C1880" s="6"/>
      <c r="G1880" s="6"/>
      <c r="K1880" s="6"/>
    </row>
    <row r="1881" spans="3:11" x14ac:dyDescent="0.25">
      <c r="C1881" s="6"/>
      <c r="G1881" s="6"/>
      <c r="K1881" s="6"/>
    </row>
    <row r="1882" spans="3:11" x14ac:dyDescent="0.25">
      <c r="C1882" s="6"/>
      <c r="G1882" s="6"/>
      <c r="K1882" s="6"/>
    </row>
    <row r="1883" spans="3:11" x14ac:dyDescent="0.25">
      <c r="C1883" s="6"/>
      <c r="G1883" s="6"/>
      <c r="K1883" s="6"/>
    </row>
    <row r="1884" spans="3:11" x14ac:dyDescent="0.25">
      <c r="C1884" s="6"/>
      <c r="G1884" s="6"/>
      <c r="K1884" s="6"/>
    </row>
    <row r="1885" spans="3:11" x14ac:dyDescent="0.25">
      <c r="C1885" s="6"/>
      <c r="G1885" s="6"/>
      <c r="K1885" s="6"/>
    </row>
    <row r="1886" spans="3:11" x14ac:dyDescent="0.25">
      <c r="C1886" s="6"/>
      <c r="G1886" s="6"/>
      <c r="K1886" s="6"/>
    </row>
    <row r="1887" spans="3:11" x14ac:dyDescent="0.25">
      <c r="C1887" s="6"/>
      <c r="G1887" s="6"/>
      <c r="K1887" s="6"/>
    </row>
    <row r="1888" spans="3:11" x14ac:dyDescent="0.25">
      <c r="C1888" s="6"/>
      <c r="G1888" s="6"/>
      <c r="K1888" s="6"/>
    </row>
    <row r="1889" spans="3:11" x14ac:dyDescent="0.25">
      <c r="C1889" s="6"/>
      <c r="G1889" s="6"/>
      <c r="K1889" s="6"/>
    </row>
    <row r="1890" spans="3:11" x14ac:dyDescent="0.25">
      <c r="C1890" s="6"/>
      <c r="G1890" s="6"/>
      <c r="K1890" s="6"/>
    </row>
    <row r="1891" spans="3:11" x14ac:dyDescent="0.25">
      <c r="C1891" s="6"/>
      <c r="G1891" s="6"/>
      <c r="K1891" s="6"/>
    </row>
    <row r="1892" spans="3:11" x14ac:dyDescent="0.25">
      <c r="C1892" s="6"/>
      <c r="G1892" s="6"/>
      <c r="K1892" s="6"/>
    </row>
    <row r="1893" spans="3:11" x14ac:dyDescent="0.25">
      <c r="C1893" s="6"/>
      <c r="G1893" s="6"/>
      <c r="K1893" s="6"/>
    </row>
    <row r="1894" spans="3:11" x14ac:dyDescent="0.25">
      <c r="C1894" s="6"/>
      <c r="G1894" s="6"/>
      <c r="K1894" s="6"/>
    </row>
    <row r="1895" spans="3:11" x14ac:dyDescent="0.25">
      <c r="C1895" s="6"/>
      <c r="G1895" s="6"/>
      <c r="K1895" s="6"/>
    </row>
    <row r="1896" spans="3:11" x14ac:dyDescent="0.25">
      <c r="C1896" s="6"/>
      <c r="G1896" s="6"/>
      <c r="K1896" s="6"/>
    </row>
    <row r="1897" spans="3:11" x14ac:dyDescent="0.25">
      <c r="C1897" s="6"/>
      <c r="G1897" s="6"/>
      <c r="K1897" s="6"/>
    </row>
    <row r="1898" spans="3:11" x14ac:dyDescent="0.25">
      <c r="C1898" s="6"/>
      <c r="G1898" s="6"/>
      <c r="K1898" s="6"/>
    </row>
    <row r="1899" spans="3:11" x14ac:dyDescent="0.25">
      <c r="C1899" s="6"/>
      <c r="G1899" s="6"/>
      <c r="K1899" s="6"/>
    </row>
    <row r="1900" spans="3:11" x14ac:dyDescent="0.25">
      <c r="C1900" s="6"/>
      <c r="G1900" s="6"/>
      <c r="K1900" s="6"/>
    </row>
    <row r="1901" spans="3:11" x14ac:dyDescent="0.25">
      <c r="C1901" s="6"/>
      <c r="G1901" s="6"/>
      <c r="K1901" s="6"/>
    </row>
    <row r="1902" spans="3:11" x14ac:dyDescent="0.25">
      <c r="C1902" s="6"/>
      <c r="G1902" s="6"/>
      <c r="K1902" s="6"/>
    </row>
    <row r="1903" spans="3:11" x14ac:dyDescent="0.25">
      <c r="C1903" s="6"/>
      <c r="G1903" s="6"/>
      <c r="K1903" s="6"/>
    </row>
    <row r="1904" spans="3:11" x14ac:dyDescent="0.25">
      <c r="C1904" s="6"/>
      <c r="G1904" s="6"/>
      <c r="K1904" s="6"/>
    </row>
    <row r="1905" spans="3:11" x14ac:dyDescent="0.25">
      <c r="C1905" s="6"/>
      <c r="G1905" s="6"/>
      <c r="K1905" s="6"/>
    </row>
    <row r="1906" spans="3:11" x14ac:dyDescent="0.25">
      <c r="C1906" s="6"/>
      <c r="G1906" s="6"/>
      <c r="K1906" s="6"/>
    </row>
    <row r="1907" spans="3:11" x14ac:dyDescent="0.25">
      <c r="C1907" s="6"/>
      <c r="G1907" s="6"/>
      <c r="K1907" s="6"/>
    </row>
    <row r="1908" spans="3:11" x14ac:dyDescent="0.25">
      <c r="C1908" s="6"/>
      <c r="G1908" s="6"/>
      <c r="K1908" s="6"/>
    </row>
    <row r="1909" spans="3:11" x14ac:dyDescent="0.25">
      <c r="C1909" s="6"/>
      <c r="G1909" s="6"/>
      <c r="K1909" s="6"/>
    </row>
    <row r="1910" spans="3:11" x14ac:dyDescent="0.25">
      <c r="C1910" s="6"/>
      <c r="G1910" s="6"/>
      <c r="K1910" s="6"/>
    </row>
    <row r="1911" spans="3:11" x14ac:dyDescent="0.25">
      <c r="C1911" s="6"/>
      <c r="G1911" s="6"/>
      <c r="K1911" s="6"/>
    </row>
    <row r="1912" spans="3:11" x14ac:dyDescent="0.25">
      <c r="C1912" s="6"/>
      <c r="G1912" s="6"/>
      <c r="K1912" s="6"/>
    </row>
    <row r="1913" spans="3:11" x14ac:dyDescent="0.25">
      <c r="C1913" s="6"/>
      <c r="G1913" s="6"/>
      <c r="K1913" s="6"/>
    </row>
    <row r="1914" spans="3:11" x14ac:dyDescent="0.25">
      <c r="C1914" s="6"/>
      <c r="G1914" s="6"/>
      <c r="K1914" s="6"/>
    </row>
    <row r="1915" spans="3:11" x14ac:dyDescent="0.25">
      <c r="C1915" s="6"/>
      <c r="G1915" s="6"/>
      <c r="K1915" s="6"/>
    </row>
    <row r="1916" spans="3:11" x14ac:dyDescent="0.25">
      <c r="C1916" s="6"/>
      <c r="G1916" s="6"/>
      <c r="K1916" s="6"/>
    </row>
    <row r="1917" spans="3:11" x14ac:dyDescent="0.25">
      <c r="C1917" s="6"/>
      <c r="G1917" s="6"/>
      <c r="K1917" s="6"/>
    </row>
    <row r="1918" spans="3:11" x14ac:dyDescent="0.25">
      <c r="C1918" s="6"/>
      <c r="G1918" s="6"/>
      <c r="K1918" s="6"/>
    </row>
    <row r="1919" spans="3:11" x14ac:dyDescent="0.25">
      <c r="C1919" s="6"/>
      <c r="G1919" s="6"/>
      <c r="K1919" s="6"/>
    </row>
    <row r="1920" spans="3:11" x14ac:dyDescent="0.25">
      <c r="C1920" s="6"/>
      <c r="G1920" s="6"/>
      <c r="K1920" s="6"/>
    </row>
    <row r="1921" spans="3:11" x14ac:dyDescent="0.25">
      <c r="C1921" s="6"/>
      <c r="G1921" s="6"/>
      <c r="K1921" s="6"/>
    </row>
    <row r="1922" spans="3:11" x14ac:dyDescent="0.25">
      <c r="C1922" s="6"/>
      <c r="G1922" s="6"/>
      <c r="K1922" s="6"/>
    </row>
    <row r="1923" spans="3:11" x14ac:dyDescent="0.25">
      <c r="C1923" s="6"/>
      <c r="G1923" s="6"/>
      <c r="K1923" s="6"/>
    </row>
    <row r="1924" spans="3:11" x14ac:dyDescent="0.25">
      <c r="C1924" s="6"/>
      <c r="G1924" s="6"/>
      <c r="K1924" s="6"/>
    </row>
    <row r="1925" spans="3:11" x14ac:dyDescent="0.25">
      <c r="C1925" s="6"/>
      <c r="G1925" s="6"/>
      <c r="K1925" s="6"/>
    </row>
    <row r="1926" spans="3:11" x14ac:dyDescent="0.25">
      <c r="C1926" s="6"/>
      <c r="G1926" s="6"/>
      <c r="K1926" s="6"/>
    </row>
    <row r="1927" spans="3:11" x14ac:dyDescent="0.25">
      <c r="C1927" s="6"/>
      <c r="G1927" s="6"/>
      <c r="K1927" s="6"/>
    </row>
    <row r="1928" spans="3:11" x14ac:dyDescent="0.25">
      <c r="C1928" s="6"/>
      <c r="G1928" s="6"/>
      <c r="K1928" s="6"/>
    </row>
    <row r="1929" spans="3:11" x14ac:dyDescent="0.25">
      <c r="C1929" s="6"/>
      <c r="G1929" s="6"/>
      <c r="K1929" s="6"/>
    </row>
    <row r="1930" spans="3:11" x14ac:dyDescent="0.25">
      <c r="C1930" s="6"/>
      <c r="G1930" s="6"/>
      <c r="K1930" s="6"/>
    </row>
    <row r="1931" spans="3:11" x14ac:dyDescent="0.25">
      <c r="C1931" s="6"/>
      <c r="G1931" s="6"/>
      <c r="K1931" s="6"/>
    </row>
    <row r="1932" spans="3:11" x14ac:dyDescent="0.25">
      <c r="C1932" s="6"/>
      <c r="G1932" s="6"/>
      <c r="K1932" s="6"/>
    </row>
    <row r="1933" spans="3:11" x14ac:dyDescent="0.25">
      <c r="C1933" s="6"/>
      <c r="G1933" s="6"/>
      <c r="K1933" s="6"/>
    </row>
    <row r="1934" spans="3:11" x14ac:dyDescent="0.25">
      <c r="C1934" s="6"/>
      <c r="G1934" s="6"/>
      <c r="K1934" s="6"/>
    </row>
    <row r="1935" spans="3:11" x14ac:dyDescent="0.25">
      <c r="C1935" s="6"/>
      <c r="G1935" s="6"/>
      <c r="K1935" s="6"/>
    </row>
    <row r="1936" spans="3:11" x14ac:dyDescent="0.25">
      <c r="C1936" s="6"/>
      <c r="G1936" s="6"/>
      <c r="K1936" s="6"/>
    </row>
    <row r="1937" spans="3:11" x14ac:dyDescent="0.25">
      <c r="C1937" s="6"/>
      <c r="G1937" s="6"/>
      <c r="K1937" s="6"/>
    </row>
    <row r="1938" spans="3:11" x14ac:dyDescent="0.25">
      <c r="C1938" s="6"/>
      <c r="G1938" s="6"/>
      <c r="K1938" s="6"/>
    </row>
    <row r="1939" spans="3:11" x14ac:dyDescent="0.25">
      <c r="C1939" s="6"/>
      <c r="G1939" s="6"/>
      <c r="K1939" s="6"/>
    </row>
    <row r="1940" spans="3:11" x14ac:dyDescent="0.25">
      <c r="C1940" s="6"/>
      <c r="G1940" s="6"/>
      <c r="K1940" s="6"/>
    </row>
    <row r="1941" spans="3:11" x14ac:dyDescent="0.25">
      <c r="C1941" s="6"/>
      <c r="G1941" s="6"/>
      <c r="K1941" s="6"/>
    </row>
    <row r="1942" spans="3:11" x14ac:dyDescent="0.25">
      <c r="C1942" s="6"/>
      <c r="G1942" s="6"/>
      <c r="K1942" s="6"/>
    </row>
    <row r="1943" spans="3:11" x14ac:dyDescent="0.25">
      <c r="C1943" s="6"/>
      <c r="G1943" s="6"/>
      <c r="K1943" s="6"/>
    </row>
    <row r="1944" spans="3:11" x14ac:dyDescent="0.25">
      <c r="C1944" s="6"/>
      <c r="G1944" s="6"/>
      <c r="K1944" s="6"/>
    </row>
    <row r="1945" spans="3:11" x14ac:dyDescent="0.25">
      <c r="C1945" s="6"/>
      <c r="G1945" s="6"/>
      <c r="K1945" s="6"/>
    </row>
    <row r="1946" spans="3:11" x14ac:dyDescent="0.25">
      <c r="C1946" s="6"/>
      <c r="G1946" s="6"/>
      <c r="K1946" s="6"/>
    </row>
    <row r="1947" spans="3:11" x14ac:dyDescent="0.25">
      <c r="C1947" s="6"/>
      <c r="G1947" s="6"/>
      <c r="K1947" s="6"/>
    </row>
    <row r="1948" spans="3:11" x14ac:dyDescent="0.25">
      <c r="C1948" s="6"/>
      <c r="G1948" s="6"/>
      <c r="K1948" s="6"/>
    </row>
    <row r="1949" spans="3:11" x14ac:dyDescent="0.25">
      <c r="C1949" s="6"/>
      <c r="G1949" s="6"/>
      <c r="K1949" s="6"/>
    </row>
    <row r="1950" spans="3:11" x14ac:dyDescent="0.25">
      <c r="C1950" s="6"/>
      <c r="G1950" s="6"/>
      <c r="K1950" s="6"/>
    </row>
    <row r="1951" spans="3:11" x14ac:dyDescent="0.25">
      <c r="C1951" s="6"/>
      <c r="G1951" s="6"/>
      <c r="K1951" s="6"/>
    </row>
    <row r="1952" spans="3:11" x14ac:dyDescent="0.25">
      <c r="C1952" s="6"/>
      <c r="G1952" s="6"/>
      <c r="K1952" s="6"/>
    </row>
    <row r="1953" spans="3:11" x14ac:dyDescent="0.25">
      <c r="C1953" s="6"/>
      <c r="G1953" s="6"/>
      <c r="K1953" s="6"/>
    </row>
    <row r="1954" spans="3:11" x14ac:dyDescent="0.25">
      <c r="C1954" s="6"/>
      <c r="G1954" s="6"/>
      <c r="K1954" s="6"/>
    </row>
    <row r="1955" spans="3:11" x14ac:dyDescent="0.25">
      <c r="C1955" s="6"/>
      <c r="G1955" s="6"/>
      <c r="K1955" s="6"/>
    </row>
    <row r="1956" spans="3:11" x14ac:dyDescent="0.25">
      <c r="C1956" s="6"/>
      <c r="G1956" s="6"/>
      <c r="K1956" s="6"/>
    </row>
    <row r="1957" spans="3:11" x14ac:dyDescent="0.25">
      <c r="C1957" s="6"/>
      <c r="G1957" s="6"/>
      <c r="K1957" s="6"/>
    </row>
    <row r="1958" spans="3:11" x14ac:dyDescent="0.25">
      <c r="C1958" s="6"/>
      <c r="G1958" s="6"/>
      <c r="K1958" s="6"/>
    </row>
    <row r="1959" spans="3:11" x14ac:dyDescent="0.25">
      <c r="C1959" s="6"/>
      <c r="G1959" s="6"/>
      <c r="K1959" s="6"/>
    </row>
    <row r="1960" spans="3:11" x14ac:dyDescent="0.25">
      <c r="C1960" s="6"/>
      <c r="G1960" s="6"/>
      <c r="K1960" s="6"/>
    </row>
    <row r="1961" spans="3:11" x14ac:dyDescent="0.25">
      <c r="C1961" s="6"/>
      <c r="G1961" s="6"/>
      <c r="K1961" s="6"/>
    </row>
    <row r="1962" spans="3:11" x14ac:dyDescent="0.25">
      <c r="C1962" s="6"/>
      <c r="G1962" s="6"/>
      <c r="K1962" s="6"/>
    </row>
    <row r="1963" spans="3:11" x14ac:dyDescent="0.25">
      <c r="C1963" s="6"/>
      <c r="G1963" s="6"/>
      <c r="K1963" s="6"/>
    </row>
    <row r="1964" spans="3:11" x14ac:dyDescent="0.25">
      <c r="C1964" s="6"/>
      <c r="G1964" s="6"/>
      <c r="K1964" s="6"/>
    </row>
    <row r="1965" spans="3:11" x14ac:dyDescent="0.25">
      <c r="C1965" s="6"/>
      <c r="G1965" s="6"/>
      <c r="K1965" s="6"/>
    </row>
    <row r="1966" spans="3:11" x14ac:dyDescent="0.25">
      <c r="C1966" s="6"/>
      <c r="G1966" s="6"/>
      <c r="K1966" s="6"/>
    </row>
    <row r="1967" spans="3:11" x14ac:dyDescent="0.25">
      <c r="C1967" s="6"/>
      <c r="G1967" s="6"/>
      <c r="K1967" s="6"/>
    </row>
    <row r="1968" spans="3:11" x14ac:dyDescent="0.25">
      <c r="C1968" s="6"/>
      <c r="G1968" s="6"/>
      <c r="K1968" s="6"/>
    </row>
    <row r="1969" spans="3:11" x14ac:dyDescent="0.25">
      <c r="C1969" s="6"/>
      <c r="G1969" s="6"/>
      <c r="K1969" s="6"/>
    </row>
    <row r="1970" spans="3:11" x14ac:dyDescent="0.25">
      <c r="C1970" s="6"/>
      <c r="G1970" s="6"/>
      <c r="K1970" s="6"/>
    </row>
    <row r="1971" spans="3:11" x14ac:dyDescent="0.25">
      <c r="C1971" s="6"/>
      <c r="G1971" s="6"/>
      <c r="K1971" s="6"/>
    </row>
    <row r="1972" spans="3:11" x14ac:dyDescent="0.25">
      <c r="C1972" s="6"/>
      <c r="G1972" s="6"/>
      <c r="K1972" s="6"/>
    </row>
    <row r="1973" spans="3:11" x14ac:dyDescent="0.25">
      <c r="C1973" s="6"/>
      <c r="G1973" s="6"/>
      <c r="K1973" s="6"/>
    </row>
    <row r="1974" spans="3:11" x14ac:dyDescent="0.25">
      <c r="C1974" s="6"/>
      <c r="G1974" s="6"/>
      <c r="K1974" s="6"/>
    </row>
    <row r="1975" spans="3:11" x14ac:dyDescent="0.25">
      <c r="C1975" s="6"/>
      <c r="G1975" s="6"/>
      <c r="K1975" s="6"/>
    </row>
    <row r="1976" spans="3:11" x14ac:dyDescent="0.25">
      <c r="C1976" s="6"/>
      <c r="G1976" s="6"/>
      <c r="K1976" s="6"/>
    </row>
    <row r="1977" spans="3:11" x14ac:dyDescent="0.25">
      <c r="C1977" s="6"/>
      <c r="G1977" s="6"/>
      <c r="K1977" s="6"/>
    </row>
    <row r="1978" spans="3:11" x14ac:dyDescent="0.25">
      <c r="C1978" s="6"/>
      <c r="G1978" s="6"/>
      <c r="K1978" s="6"/>
    </row>
    <row r="1979" spans="3:11" x14ac:dyDescent="0.25">
      <c r="C1979" s="6"/>
      <c r="G1979" s="6"/>
      <c r="K1979" s="6"/>
    </row>
    <row r="1980" spans="3:11" x14ac:dyDescent="0.25">
      <c r="C1980" s="6"/>
      <c r="G1980" s="6"/>
      <c r="K1980" s="6"/>
    </row>
    <row r="1981" spans="3:11" x14ac:dyDescent="0.25">
      <c r="C1981" s="6"/>
      <c r="G1981" s="6"/>
      <c r="K1981" s="6"/>
    </row>
    <row r="1982" spans="3:11" x14ac:dyDescent="0.25">
      <c r="C1982" s="6"/>
      <c r="G1982" s="6"/>
      <c r="K1982" s="6"/>
    </row>
    <row r="1983" spans="3:11" x14ac:dyDescent="0.25">
      <c r="C1983" s="6"/>
      <c r="G1983" s="6"/>
      <c r="K1983" s="6"/>
    </row>
    <row r="1984" spans="3:11" x14ac:dyDescent="0.25">
      <c r="C1984" s="6"/>
      <c r="G1984" s="6"/>
      <c r="K1984" s="6"/>
    </row>
    <row r="1985" spans="3:11" x14ac:dyDescent="0.25">
      <c r="C1985" s="6"/>
      <c r="G1985" s="6"/>
      <c r="K1985" s="6"/>
    </row>
    <row r="1986" spans="3:11" x14ac:dyDescent="0.25">
      <c r="C1986" s="6"/>
      <c r="G1986" s="6"/>
      <c r="K1986" s="6"/>
    </row>
    <row r="1987" spans="3:11" x14ac:dyDescent="0.25">
      <c r="C1987" s="6"/>
      <c r="G1987" s="6"/>
      <c r="K1987" s="6"/>
    </row>
    <row r="1988" spans="3:11" x14ac:dyDescent="0.25">
      <c r="C1988" s="6"/>
      <c r="G1988" s="6"/>
      <c r="K1988" s="6"/>
    </row>
    <row r="1989" spans="3:11" x14ac:dyDescent="0.25">
      <c r="C1989" s="6"/>
      <c r="G1989" s="6"/>
      <c r="K1989" s="6"/>
    </row>
    <row r="1990" spans="3:11" x14ac:dyDescent="0.25">
      <c r="C1990" s="6"/>
      <c r="G1990" s="6"/>
      <c r="K1990" s="6"/>
    </row>
    <row r="1991" spans="3:11" x14ac:dyDescent="0.25">
      <c r="C1991" s="6"/>
      <c r="G1991" s="6"/>
      <c r="K1991" s="6"/>
    </row>
    <row r="1992" spans="3:11" x14ac:dyDescent="0.25">
      <c r="C1992" s="6"/>
      <c r="G1992" s="6"/>
      <c r="K1992" s="6"/>
    </row>
    <row r="1993" spans="3:11" x14ac:dyDescent="0.25">
      <c r="C1993" s="6"/>
      <c r="G1993" s="6"/>
      <c r="K1993" s="6"/>
    </row>
    <row r="1994" spans="3:11" x14ac:dyDescent="0.25">
      <c r="C1994" s="6"/>
      <c r="G1994" s="6"/>
      <c r="K1994" s="6"/>
    </row>
    <row r="1995" spans="3:11" x14ac:dyDescent="0.25">
      <c r="C1995" s="6"/>
      <c r="G1995" s="6"/>
      <c r="K1995" s="6"/>
    </row>
    <row r="1996" spans="3:11" x14ac:dyDescent="0.25">
      <c r="C1996" s="6"/>
      <c r="G1996" s="6"/>
      <c r="K1996" s="6"/>
    </row>
    <row r="1997" spans="3:11" x14ac:dyDescent="0.25">
      <c r="C1997" s="6"/>
      <c r="G1997" s="6"/>
      <c r="K1997" s="6"/>
    </row>
    <row r="1998" spans="3:11" x14ac:dyDescent="0.25">
      <c r="C1998" s="6"/>
      <c r="G1998" s="6"/>
      <c r="K1998" s="6"/>
    </row>
    <row r="1999" spans="3:11" x14ac:dyDescent="0.25">
      <c r="C1999" s="6"/>
      <c r="G1999" s="6"/>
      <c r="K1999" s="6"/>
    </row>
    <row r="2000" spans="3:11" x14ac:dyDescent="0.25">
      <c r="C2000" s="6"/>
      <c r="G2000" s="6"/>
      <c r="K2000" s="6"/>
    </row>
    <row r="2001" spans="3:11" x14ac:dyDescent="0.25">
      <c r="C2001" s="6"/>
      <c r="G2001" s="6"/>
      <c r="K2001" s="6"/>
    </row>
    <row r="2002" spans="3:11" x14ac:dyDescent="0.25">
      <c r="C2002" s="6"/>
      <c r="G2002" s="6"/>
      <c r="K2002" s="6"/>
    </row>
    <row r="2003" spans="3:11" x14ac:dyDescent="0.25">
      <c r="C2003" s="6"/>
      <c r="G2003" s="6"/>
      <c r="K2003" s="6"/>
    </row>
    <row r="2004" spans="3:11" x14ac:dyDescent="0.25">
      <c r="C2004" s="6"/>
      <c r="G2004" s="6"/>
      <c r="K2004" s="6"/>
    </row>
    <row r="2005" spans="3:11" x14ac:dyDescent="0.25">
      <c r="C2005" s="6"/>
      <c r="G2005" s="6"/>
      <c r="K2005" s="6"/>
    </row>
    <row r="2006" spans="3:11" x14ac:dyDescent="0.25">
      <c r="C2006" s="6"/>
      <c r="G2006" s="6"/>
      <c r="K2006" s="6"/>
    </row>
    <row r="2007" spans="3:11" x14ac:dyDescent="0.25">
      <c r="C2007" s="6"/>
      <c r="G2007" s="6"/>
      <c r="K2007" s="6"/>
    </row>
    <row r="2008" spans="3:11" x14ac:dyDescent="0.25">
      <c r="C2008" s="6"/>
      <c r="G2008" s="6"/>
      <c r="K2008" s="6"/>
    </row>
    <row r="2009" spans="3:11" x14ac:dyDescent="0.25">
      <c r="C2009" s="6"/>
      <c r="G2009" s="6"/>
      <c r="K2009" s="6"/>
    </row>
    <row r="2010" spans="3:11" x14ac:dyDescent="0.25">
      <c r="C2010" s="6"/>
      <c r="G2010" s="6"/>
      <c r="K2010" s="6"/>
    </row>
    <row r="2011" spans="3:11" x14ac:dyDescent="0.25">
      <c r="C2011" s="6"/>
      <c r="G2011" s="6"/>
      <c r="K2011" s="6"/>
    </row>
    <row r="2012" spans="3:11" x14ac:dyDescent="0.25">
      <c r="C2012" s="6"/>
      <c r="G2012" s="6"/>
      <c r="K2012" s="6"/>
    </row>
    <row r="2013" spans="3:11" x14ac:dyDescent="0.25">
      <c r="C2013" s="6"/>
      <c r="G2013" s="6"/>
      <c r="K2013" s="6"/>
    </row>
    <row r="2014" spans="3:11" x14ac:dyDescent="0.25">
      <c r="C2014" s="6"/>
      <c r="G2014" s="6"/>
      <c r="K2014" s="6"/>
    </row>
    <row r="2015" spans="3:11" x14ac:dyDescent="0.25">
      <c r="C2015" s="6"/>
      <c r="G2015" s="6"/>
      <c r="K2015" s="6"/>
    </row>
    <row r="2016" spans="3:11" x14ac:dyDescent="0.25">
      <c r="C2016" s="6"/>
      <c r="G2016" s="6"/>
      <c r="K2016" s="6"/>
    </row>
    <row r="2017" spans="3:11" x14ac:dyDescent="0.25">
      <c r="C2017" s="6"/>
      <c r="G2017" s="6"/>
      <c r="K2017" s="6"/>
    </row>
    <row r="2018" spans="3:11" x14ac:dyDescent="0.25">
      <c r="C2018" s="6"/>
      <c r="G2018" s="6"/>
      <c r="K2018" s="6"/>
    </row>
    <row r="2019" spans="3:11" x14ac:dyDescent="0.25">
      <c r="C2019" s="6"/>
      <c r="G2019" s="6"/>
      <c r="K2019" s="6"/>
    </row>
    <row r="2020" spans="3:11" x14ac:dyDescent="0.25">
      <c r="C2020" s="6"/>
      <c r="G2020" s="6"/>
      <c r="K2020" s="6"/>
    </row>
    <row r="2021" spans="3:11" x14ac:dyDescent="0.25">
      <c r="C2021" s="6"/>
      <c r="G2021" s="6"/>
      <c r="K2021" s="6"/>
    </row>
    <row r="2022" spans="3:11" x14ac:dyDescent="0.25">
      <c r="C2022" s="6"/>
      <c r="G2022" s="6"/>
      <c r="K2022" s="6"/>
    </row>
    <row r="2023" spans="3:11" x14ac:dyDescent="0.25">
      <c r="C2023" s="6"/>
      <c r="G2023" s="6"/>
      <c r="K2023" s="6"/>
    </row>
    <row r="2024" spans="3:11" x14ac:dyDescent="0.25">
      <c r="C2024" s="6"/>
      <c r="G2024" s="6"/>
      <c r="K2024" s="6"/>
    </row>
    <row r="2025" spans="3:11" x14ac:dyDescent="0.25">
      <c r="C2025" s="6"/>
      <c r="G2025" s="6"/>
      <c r="K2025" s="6"/>
    </row>
    <row r="2026" spans="3:11" x14ac:dyDescent="0.25">
      <c r="C2026" s="6"/>
      <c r="G2026" s="6"/>
      <c r="K2026" s="6"/>
    </row>
    <row r="2027" spans="3:11" x14ac:dyDescent="0.25">
      <c r="C2027" s="6"/>
      <c r="G2027" s="6"/>
      <c r="K2027" s="6"/>
    </row>
    <row r="2028" spans="3:11" x14ac:dyDescent="0.25">
      <c r="C2028" s="6"/>
      <c r="G2028" s="6"/>
      <c r="K2028" s="6"/>
    </row>
    <row r="2029" spans="3:11" x14ac:dyDescent="0.25">
      <c r="C2029" s="6"/>
      <c r="G2029" s="6"/>
      <c r="K2029" s="6"/>
    </row>
    <row r="2030" spans="3:11" x14ac:dyDescent="0.25">
      <c r="C2030" s="6"/>
      <c r="G2030" s="6"/>
      <c r="K2030" s="6"/>
    </row>
    <row r="2031" spans="3:11" x14ac:dyDescent="0.25">
      <c r="C2031" s="6"/>
      <c r="G2031" s="6"/>
      <c r="K2031" s="6"/>
    </row>
    <row r="2032" spans="3:11" x14ac:dyDescent="0.25">
      <c r="C2032" s="6"/>
      <c r="G2032" s="6"/>
      <c r="K2032" s="6"/>
    </row>
    <row r="2033" spans="3:11" x14ac:dyDescent="0.25">
      <c r="C2033" s="6"/>
      <c r="G2033" s="6"/>
      <c r="K2033" s="6"/>
    </row>
    <row r="2034" spans="3:11" x14ac:dyDescent="0.25">
      <c r="C2034" s="6"/>
      <c r="G2034" s="6"/>
      <c r="K2034" s="6"/>
    </row>
    <row r="2035" spans="3:11" x14ac:dyDescent="0.25">
      <c r="C2035" s="6"/>
      <c r="G2035" s="6"/>
      <c r="K2035" s="6"/>
    </row>
    <row r="2036" spans="3:11" x14ac:dyDescent="0.25">
      <c r="C2036" s="6"/>
      <c r="G2036" s="6"/>
      <c r="K2036" s="6"/>
    </row>
    <row r="2037" spans="3:11" x14ac:dyDescent="0.25">
      <c r="C2037" s="6"/>
      <c r="G2037" s="6"/>
      <c r="K2037" s="6"/>
    </row>
    <row r="2038" spans="3:11" x14ac:dyDescent="0.25">
      <c r="C2038" s="6"/>
      <c r="G2038" s="6"/>
      <c r="K2038" s="6"/>
    </row>
    <row r="2039" spans="3:11" x14ac:dyDescent="0.25">
      <c r="C2039" s="6"/>
      <c r="G2039" s="6"/>
      <c r="K2039" s="6"/>
    </row>
    <row r="2040" spans="3:11" x14ac:dyDescent="0.25">
      <c r="C2040" s="6"/>
      <c r="G2040" s="6"/>
      <c r="K2040" s="6"/>
    </row>
    <row r="2041" spans="3:11" x14ac:dyDescent="0.25">
      <c r="C2041" s="6"/>
      <c r="G2041" s="6"/>
      <c r="K2041" s="6"/>
    </row>
    <row r="2042" spans="3:11" x14ac:dyDescent="0.25">
      <c r="C2042" s="6"/>
      <c r="G2042" s="6"/>
      <c r="K2042" s="6"/>
    </row>
    <row r="2043" spans="3:11" x14ac:dyDescent="0.25">
      <c r="C2043" s="6"/>
      <c r="G2043" s="6"/>
      <c r="K2043" s="6"/>
    </row>
    <row r="2044" spans="3:11" x14ac:dyDescent="0.25">
      <c r="C2044" s="6"/>
      <c r="G2044" s="6"/>
      <c r="K2044" s="6"/>
    </row>
    <row r="2045" spans="3:11" x14ac:dyDescent="0.25">
      <c r="C2045" s="6"/>
      <c r="G2045" s="6"/>
      <c r="K2045" s="6"/>
    </row>
    <row r="2046" spans="3:11" x14ac:dyDescent="0.25">
      <c r="C2046" s="6"/>
      <c r="G2046" s="6"/>
      <c r="K2046" s="6"/>
    </row>
    <row r="2047" spans="3:11" x14ac:dyDescent="0.25">
      <c r="C2047" s="6"/>
      <c r="G2047" s="6"/>
      <c r="K2047" s="6"/>
    </row>
    <row r="2048" spans="3:11" x14ac:dyDescent="0.25">
      <c r="C2048" s="6"/>
      <c r="G2048" s="6"/>
      <c r="K2048" s="6"/>
    </row>
    <row r="2049" spans="3:11" x14ac:dyDescent="0.25">
      <c r="C2049" s="6"/>
      <c r="G2049" s="6"/>
      <c r="K2049" s="6"/>
    </row>
    <row r="2050" spans="3:11" x14ac:dyDescent="0.25">
      <c r="C2050" s="6"/>
      <c r="G2050" s="6"/>
      <c r="K2050" s="6"/>
    </row>
    <row r="2051" spans="3:11" x14ac:dyDescent="0.25">
      <c r="C2051" s="6"/>
      <c r="G2051" s="6"/>
      <c r="K2051" s="6"/>
    </row>
    <row r="2052" spans="3:11" x14ac:dyDescent="0.25">
      <c r="C2052" s="6"/>
      <c r="G2052" s="6"/>
      <c r="K2052" s="6"/>
    </row>
    <row r="2053" spans="3:11" x14ac:dyDescent="0.25">
      <c r="C2053" s="6"/>
      <c r="G2053" s="6"/>
      <c r="K2053" s="6"/>
    </row>
    <row r="2054" spans="3:11" x14ac:dyDescent="0.25">
      <c r="C2054" s="6"/>
      <c r="G2054" s="6"/>
      <c r="K2054" s="6"/>
    </row>
    <row r="2055" spans="3:11" x14ac:dyDescent="0.25">
      <c r="C2055" s="6"/>
      <c r="G2055" s="6"/>
      <c r="K2055" s="6"/>
    </row>
    <row r="2056" spans="3:11" x14ac:dyDescent="0.25">
      <c r="C2056" s="6"/>
      <c r="G2056" s="6"/>
      <c r="K2056" s="6"/>
    </row>
    <row r="2057" spans="3:11" x14ac:dyDescent="0.25">
      <c r="C2057" s="6"/>
      <c r="G2057" s="6"/>
      <c r="K2057" s="6"/>
    </row>
    <row r="2058" spans="3:11" x14ac:dyDescent="0.25">
      <c r="C2058" s="6"/>
      <c r="G2058" s="6"/>
      <c r="K2058" s="6"/>
    </row>
    <row r="2059" spans="3:11" x14ac:dyDescent="0.25">
      <c r="C2059" s="6"/>
      <c r="G2059" s="6"/>
      <c r="K2059" s="6"/>
    </row>
    <row r="2060" spans="3:11" x14ac:dyDescent="0.25">
      <c r="C2060" s="6"/>
      <c r="G2060" s="6"/>
      <c r="K2060" s="6"/>
    </row>
    <row r="2061" spans="3:11" x14ac:dyDescent="0.25">
      <c r="C2061" s="6"/>
      <c r="G2061" s="6"/>
      <c r="K2061" s="6"/>
    </row>
    <row r="2062" spans="3:11" x14ac:dyDescent="0.25">
      <c r="C2062" s="6"/>
      <c r="G2062" s="6"/>
      <c r="K2062" s="6"/>
    </row>
    <row r="2063" spans="3:11" x14ac:dyDescent="0.25">
      <c r="C2063" s="6"/>
      <c r="G2063" s="6"/>
      <c r="K2063" s="6"/>
    </row>
    <row r="2064" spans="3:11" x14ac:dyDescent="0.25">
      <c r="C2064" s="6"/>
      <c r="G2064" s="6"/>
      <c r="K2064" s="6"/>
    </row>
    <row r="2065" spans="3:11" x14ac:dyDescent="0.25">
      <c r="C2065" s="6"/>
      <c r="G2065" s="6"/>
      <c r="K2065" s="6"/>
    </row>
    <row r="2066" spans="3:11" x14ac:dyDescent="0.25">
      <c r="C2066" s="6"/>
      <c r="G2066" s="6"/>
      <c r="K2066" s="6"/>
    </row>
    <row r="2067" spans="3:11" x14ac:dyDescent="0.25">
      <c r="C2067" s="6"/>
      <c r="G2067" s="6"/>
      <c r="K2067" s="6"/>
    </row>
    <row r="2068" spans="3:11" x14ac:dyDescent="0.25">
      <c r="C2068" s="6"/>
      <c r="G2068" s="6"/>
      <c r="K2068" s="6"/>
    </row>
    <row r="2069" spans="3:11" x14ac:dyDescent="0.25">
      <c r="C2069" s="6"/>
      <c r="G2069" s="6"/>
      <c r="K2069" s="6"/>
    </row>
    <row r="2070" spans="3:11" x14ac:dyDescent="0.25">
      <c r="C2070" s="6"/>
      <c r="G2070" s="6"/>
      <c r="K2070" s="6"/>
    </row>
    <row r="2071" spans="3:11" x14ac:dyDescent="0.25">
      <c r="C2071" s="6"/>
      <c r="G2071" s="6"/>
      <c r="K2071" s="6"/>
    </row>
    <row r="2072" spans="3:11" x14ac:dyDescent="0.25">
      <c r="C2072" s="6"/>
      <c r="G2072" s="6"/>
      <c r="K2072" s="6"/>
    </row>
    <row r="2073" spans="3:11" x14ac:dyDescent="0.25">
      <c r="C2073" s="6"/>
      <c r="G2073" s="6"/>
      <c r="K2073" s="6"/>
    </row>
    <row r="2074" spans="3:11" x14ac:dyDescent="0.25">
      <c r="C2074" s="6"/>
      <c r="G2074" s="6"/>
      <c r="K2074" s="6"/>
    </row>
    <row r="2075" spans="3:11" x14ac:dyDescent="0.25">
      <c r="C2075" s="6"/>
      <c r="G2075" s="6"/>
      <c r="K2075" s="6"/>
    </row>
    <row r="2076" spans="3:11" x14ac:dyDescent="0.25">
      <c r="C2076" s="6"/>
      <c r="G2076" s="6"/>
      <c r="K2076" s="6"/>
    </row>
    <row r="2077" spans="3:11" x14ac:dyDescent="0.25">
      <c r="C2077" s="6"/>
      <c r="G2077" s="6"/>
      <c r="K2077" s="6"/>
    </row>
    <row r="2078" spans="3:11" x14ac:dyDescent="0.25">
      <c r="C2078" s="6"/>
      <c r="G2078" s="6"/>
      <c r="K2078" s="6"/>
    </row>
    <row r="2079" spans="3:11" x14ac:dyDescent="0.25">
      <c r="C2079" s="6"/>
      <c r="G2079" s="6"/>
      <c r="K2079" s="6"/>
    </row>
    <row r="2080" spans="3:11" x14ac:dyDescent="0.25">
      <c r="C2080" s="6"/>
      <c r="G2080" s="6"/>
      <c r="K2080" s="6"/>
    </row>
    <row r="2081" spans="3:11" x14ac:dyDescent="0.25">
      <c r="C2081" s="6"/>
      <c r="G2081" s="6"/>
      <c r="K2081" s="6"/>
    </row>
    <row r="2082" spans="3:11" x14ac:dyDescent="0.25">
      <c r="C2082" s="6"/>
      <c r="G2082" s="6"/>
      <c r="K2082" s="6"/>
    </row>
    <row r="2083" spans="3:11" x14ac:dyDescent="0.25">
      <c r="C2083" s="6"/>
      <c r="G2083" s="6"/>
      <c r="K2083" s="6"/>
    </row>
    <row r="2084" spans="3:11" x14ac:dyDescent="0.25">
      <c r="C2084" s="6"/>
      <c r="G2084" s="6"/>
      <c r="K2084" s="6"/>
    </row>
    <row r="2085" spans="3:11" x14ac:dyDescent="0.25">
      <c r="C2085" s="6"/>
      <c r="G2085" s="6"/>
      <c r="K2085" s="6"/>
    </row>
    <row r="2086" spans="3:11" x14ac:dyDescent="0.25">
      <c r="C2086" s="6"/>
      <c r="G2086" s="6"/>
      <c r="K2086" s="6"/>
    </row>
    <row r="2087" spans="3:11" x14ac:dyDescent="0.25">
      <c r="C2087" s="6"/>
      <c r="G2087" s="6"/>
      <c r="K2087" s="6"/>
    </row>
    <row r="2088" spans="3:11" x14ac:dyDescent="0.25">
      <c r="C2088" s="6"/>
      <c r="G2088" s="6"/>
      <c r="K2088" s="6"/>
    </row>
    <row r="2089" spans="3:11" x14ac:dyDescent="0.25">
      <c r="C2089" s="6"/>
      <c r="G2089" s="6"/>
      <c r="K2089" s="6"/>
    </row>
    <row r="2090" spans="3:11" x14ac:dyDescent="0.25">
      <c r="C2090" s="6"/>
      <c r="G2090" s="6"/>
      <c r="K2090" s="6"/>
    </row>
    <row r="2091" spans="3:11" x14ac:dyDescent="0.25">
      <c r="C2091" s="6"/>
      <c r="G2091" s="6"/>
      <c r="K2091" s="6"/>
    </row>
    <row r="2092" spans="3:11" x14ac:dyDescent="0.25">
      <c r="C2092" s="6"/>
      <c r="G2092" s="6"/>
      <c r="K2092" s="6"/>
    </row>
    <row r="2093" spans="3:11" x14ac:dyDescent="0.25">
      <c r="C2093" s="6"/>
      <c r="G2093" s="6"/>
      <c r="K2093" s="6"/>
    </row>
    <row r="2094" spans="3:11" x14ac:dyDescent="0.25">
      <c r="C2094" s="6"/>
      <c r="G2094" s="6"/>
      <c r="K2094" s="6"/>
    </row>
    <row r="2095" spans="3:11" x14ac:dyDescent="0.25">
      <c r="C2095" s="6"/>
      <c r="G2095" s="6"/>
      <c r="K2095" s="6"/>
    </row>
    <row r="2096" spans="3:11" x14ac:dyDescent="0.25">
      <c r="C2096" s="6"/>
      <c r="G2096" s="6"/>
      <c r="K2096" s="6"/>
    </row>
    <row r="2097" spans="3:11" x14ac:dyDescent="0.25">
      <c r="C2097" s="6"/>
      <c r="G2097" s="6"/>
      <c r="K2097" s="6"/>
    </row>
    <row r="2098" spans="3:11" x14ac:dyDescent="0.25">
      <c r="C2098" s="6"/>
      <c r="G2098" s="6"/>
      <c r="K2098" s="6"/>
    </row>
    <row r="2099" spans="3:11" x14ac:dyDescent="0.25">
      <c r="C2099" s="6"/>
      <c r="G2099" s="6"/>
      <c r="K2099" s="6"/>
    </row>
    <row r="2100" spans="3:11" x14ac:dyDescent="0.25">
      <c r="C2100" s="6"/>
      <c r="G2100" s="6"/>
      <c r="K2100" s="6"/>
    </row>
    <row r="2101" spans="3:11" x14ac:dyDescent="0.25">
      <c r="C2101" s="6"/>
      <c r="G2101" s="6"/>
      <c r="K2101" s="6"/>
    </row>
    <row r="2102" spans="3:11" x14ac:dyDescent="0.25">
      <c r="C2102" s="6"/>
      <c r="G2102" s="6"/>
      <c r="K2102" s="6"/>
    </row>
    <row r="2103" spans="3:11" x14ac:dyDescent="0.25">
      <c r="C2103" s="6"/>
      <c r="G2103" s="6"/>
      <c r="K2103" s="6"/>
    </row>
    <row r="2104" spans="3:11" x14ac:dyDescent="0.25">
      <c r="C2104" s="6"/>
      <c r="G2104" s="6"/>
      <c r="K2104" s="6"/>
    </row>
    <row r="2105" spans="3:11" x14ac:dyDescent="0.25">
      <c r="C2105" s="6"/>
      <c r="G2105" s="6"/>
      <c r="K2105" s="6"/>
    </row>
    <row r="2106" spans="3:11" x14ac:dyDescent="0.25">
      <c r="C2106" s="6"/>
      <c r="G2106" s="6"/>
      <c r="K2106" s="6"/>
    </row>
    <row r="2107" spans="3:11" x14ac:dyDescent="0.25">
      <c r="C2107" s="6"/>
      <c r="G2107" s="6"/>
      <c r="K2107" s="6"/>
    </row>
    <row r="2108" spans="3:11" x14ac:dyDescent="0.25">
      <c r="C2108" s="6"/>
      <c r="G2108" s="6"/>
      <c r="K2108" s="6"/>
    </row>
    <row r="2109" spans="3:11" x14ac:dyDescent="0.25">
      <c r="C2109" s="6"/>
      <c r="G2109" s="6"/>
      <c r="K2109" s="6"/>
    </row>
    <row r="2110" spans="3:11" x14ac:dyDescent="0.25">
      <c r="C2110" s="6"/>
      <c r="G2110" s="6"/>
      <c r="K2110" s="6"/>
    </row>
    <row r="2111" spans="3:11" x14ac:dyDescent="0.25">
      <c r="C2111" s="6"/>
      <c r="G2111" s="6"/>
      <c r="K2111" s="6"/>
    </row>
    <row r="2112" spans="3:11" x14ac:dyDescent="0.25">
      <c r="C2112" s="6"/>
      <c r="G2112" s="6"/>
      <c r="K2112" s="6"/>
    </row>
    <row r="2113" spans="3:11" x14ac:dyDescent="0.25">
      <c r="C2113" s="6"/>
      <c r="G2113" s="6"/>
      <c r="K2113" s="6"/>
    </row>
    <row r="2114" spans="3:11" x14ac:dyDescent="0.25">
      <c r="C2114" s="6"/>
      <c r="G2114" s="6"/>
      <c r="K2114" s="6"/>
    </row>
    <row r="2115" spans="3:11" x14ac:dyDescent="0.25">
      <c r="C2115" s="6"/>
      <c r="G2115" s="6"/>
      <c r="K2115" s="6"/>
    </row>
    <row r="2116" spans="3:11" x14ac:dyDescent="0.25">
      <c r="C2116" s="6"/>
      <c r="G2116" s="6"/>
      <c r="K2116" s="6"/>
    </row>
    <row r="2117" spans="3:11" x14ac:dyDescent="0.25">
      <c r="C2117" s="6"/>
      <c r="G2117" s="6"/>
      <c r="K2117" s="6"/>
    </row>
    <row r="2118" spans="3:11" x14ac:dyDescent="0.25">
      <c r="C2118" s="6"/>
      <c r="G2118" s="6"/>
      <c r="K2118" s="6"/>
    </row>
    <row r="2119" spans="3:11" x14ac:dyDescent="0.25">
      <c r="C2119" s="6"/>
      <c r="G2119" s="6"/>
      <c r="K2119" s="6"/>
    </row>
    <row r="2120" spans="3:11" x14ac:dyDescent="0.25">
      <c r="C2120" s="6"/>
      <c r="G2120" s="6"/>
      <c r="K2120" s="6"/>
    </row>
    <row r="2121" spans="3:11" x14ac:dyDescent="0.25">
      <c r="C2121" s="6"/>
      <c r="G2121" s="6"/>
      <c r="K2121" s="6"/>
    </row>
    <row r="2122" spans="3:11" x14ac:dyDescent="0.25">
      <c r="C2122" s="6"/>
      <c r="G2122" s="6"/>
      <c r="K2122" s="6"/>
    </row>
    <row r="2123" spans="3:11" x14ac:dyDescent="0.25">
      <c r="C2123" s="6"/>
      <c r="G2123" s="6"/>
      <c r="K2123" s="6"/>
    </row>
    <row r="2124" spans="3:11" x14ac:dyDescent="0.25">
      <c r="C2124" s="6"/>
      <c r="G2124" s="6"/>
      <c r="K2124" s="6"/>
    </row>
    <row r="2125" spans="3:11" x14ac:dyDescent="0.25">
      <c r="C2125" s="6"/>
      <c r="G2125" s="6"/>
      <c r="K2125" s="6"/>
    </row>
    <row r="2126" spans="3:11" x14ac:dyDescent="0.25">
      <c r="C2126" s="6"/>
      <c r="G2126" s="6"/>
      <c r="K2126" s="6"/>
    </row>
    <row r="2127" spans="3:11" x14ac:dyDescent="0.25">
      <c r="C2127" s="6"/>
      <c r="G2127" s="6"/>
      <c r="K2127" s="6"/>
    </row>
    <row r="2128" spans="3:11" x14ac:dyDescent="0.25">
      <c r="C2128" s="6"/>
      <c r="G2128" s="6"/>
      <c r="K2128" s="6"/>
    </row>
    <row r="2129" spans="3:11" x14ac:dyDescent="0.25">
      <c r="C2129" s="6"/>
      <c r="G2129" s="6"/>
      <c r="K2129" s="6"/>
    </row>
    <row r="2130" spans="3:11" x14ac:dyDescent="0.25">
      <c r="C2130" s="6"/>
      <c r="G2130" s="6"/>
      <c r="K2130" s="6"/>
    </row>
    <row r="2131" spans="3:11" x14ac:dyDescent="0.25">
      <c r="C2131" s="6"/>
      <c r="G2131" s="6"/>
      <c r="K2131" s="6"/>
    </row>
    <row r="2132" spans="3:11" x14ac:dyDescent="0.25">
      <c r="C2132" s="6"/>
      <c r="G2132" s="6"/>
      <c r="K2132" s="6"/>
    </row>
    <row r="2133" spans="3:11" x14ac:dyDescent="0.25">
      <c r="C2133" s="6"/>
      <c r="G2133" s="6"/>
      <c r="K2133" s="6"/>
    </row>
    <row r="2134" spans="3:11" x14ac:dyDescent="0.25">
      <c r="C2134" s="6"/>
      <c r="G2134" s="6"/>
      <c r="K2134" s="6"/>
    </row>
    <row r="2135" spans="3:11" x14ac:dyDescent="0.25">
      <c r="C2135" s="6"/>
      <c r="G2135" s="6"/>
      <c r="K2135" s="6"/>
    </row>
    <row r="2136" spans="3:11" x14ac:dyDescent="0.25">
      <c r="C2136" s="6"/>
      <c r="G2136" s="6"/>
      <c r="K2136" s="6"/>
    </row>
    <row r="2137" spans="3:11" x14ac:dyDescent="0.25">
      <c r="C2137" s="6"/>
      <c r="G2137" s="6"/>
      <c r="K2137" s="6"/>
    </row>
    <row r="2138" spans="3:11" x14ac:dyDescent="0.25">
      <c r="C2138" s="6"/>
      <c r="G2138" s="6"/>
      <c r="K2138" s="6"/>
    </row>
    <row r="2139" spans="3:11" x14ac:dyDescent="0.25">
      <c r="C2139" s="6"/>
      <c r="G2139" s="6"/>
      <c r="K2139" s="6"/>
    </row>
    <row r="2140" spans="3:11" x14ac:dyDescent="0.25">
      <c r="C2140" s="6"/>
      <c r="G2140" s="6"/>
      <c r="K2140" s="6"/>
    </row>
    <row r="2141" spans="3:11" x14ac:dyDescent="0.25">
      <c r="C2141" s="6"/>
      <c r="G2141" s="6"/>
      <c r="K2141" s="6"/>
    </row>
    <row r="2142" spans="3:11" x14ac:dyDescent="0.25">
      <c r="C2142" s="6"/>
      <c r="G2142" s="6"/>
      <c r="K2142" s="6"/>
    </row>
    <row r="2143" spans="3:11" x14ac:dyDescent="0.25">
      <c r="C2143" s="6"/>
      <c r="G2143" s="6"/>
      <c r="K2143" s="6"/>
    </row>
    <row r="2144" spans="3:11" x14ac:dyDescent="0.25">
      <c r="C2144" s="6"/>
      <c r="G2144" s="6"/>
      <c r="K2144" s="6"/>
    </row>
    <row r="2145" spans="3:11" x14ac:dyDescent="0.25">
      <c r="C2145" s="6"/>
      <c r="G2145" s="6"/>
      <c r="K2145" s="6"/>
    </row>
    <row r="2146" spans="3:11" x14ac:dyDescent="0.25">
      <c r="C2146" s="6"/>
      <c r="G2146" s="6"/>
      <c r="K2146" s="6"/>
    </row>
    <row r="2147" spans="3:11" x14ac:dyDescent="0.25">
      <c r="C2147" s="6"/>
      <c r="G2147" s="6"/>
      <c r="K2147" s="6"/>
    </row>
    <row r="2148" spans="3:11" x14ac:dyDescent="0.25">
      <c r="C2148" s="6"/>
      <c r="G2148" s="6"/>
      <c r="K2148" s="6"/>
    </row>
    <row r="2149" spans="3:11" x14ac:dyDescent="0.25">
      <c r="C2149" s="6"/>
      <c r="G2149" s="6"/>
      <c r="K2149" s="6"/>
    </row>
    <row r="2150" spans="3:11" x14ac:dyDescent="0.25">
      <c r="C2150" s="6"/>
      <c r="G2150" s="6"/>
      <c r="K2150" s="6"/>
    </row>
    <row r="2151" spans="3:11" x14ac:dyDescent="0.25">
      <c r="C2151" s="6"/>
      <c r="G2151" s="6"/>
      <c r="K2151" s="6"/>
    </row>
    <row r="2152" spans="3:11" x14ac:dyDescent="0.25">
      <c r="C2152" s="6"/>
      <c r="G2152" s="6"/>
      <c r="K2152" s="6"/>
    </row>
    <row r="2153" spans="3:11" x14ac:dyDescent="0.25">
      <c r="C2153" s="6"/>
      <c r="G2153" s="6"/>
      <c r="K2153" s="6"/>
    </row>
    <row r="2154" spans="3:11" x14ac:dyDescent="0.25">
      <c r="C2154" s="6"/>
      <c r="G2154" s="6"/>
      <c r="K2154" s="6"/>
    </row>
    <row r="2155" spans="3:11" x14ac:dyDescent="0.25">
      <c r="C2155" s="6"/>
      <c r="G2155" s="6"/>
      <c r="K2155" s="6"/>
    </row>
    <row r="2156" spans="3:11" x14ac:dyDescent="0.25">
      <c r="C2156" s="6"/>
      <c r="G2156" s="6"/>
      <c r="K2156" s="6"/>
    </row>
    <row r="2157" spans="3:11" x14ac:dyDescent="0.25">
      <c r="C2157" s="6"/>
      <c r="G2157" s="6"/>
      <c r="K2157" s="6"/>
    </row>
    <row r="2158" spans="3:11" x14ac:dyDescent="0.25">
      <c r="C2158" s="6"/>
      <c r="G2158" s="6"/>
      <c r="K2158" s="6"/>
    </row>
    <row r="2159" spans="3:11" x14ac:dyDescent="0.25">
      <c r="C2159" s="6"/>
      <c r="G2159" s="6"/>
      <c r="K2159" s="6"/>
    </row>
    <row r="2160" spans="3:11" x14ac:dyDescent="0.25">
      <c r="C2160" s="6"/>
      <c r="G2160" s="6"/>
      <c r="K2160" s="6"/>
    </row>
    <row r="2161" spans="3:11" x14ac:dyDescent="0.25">
      <c r="C2161" s="6"/>
      <c r="G2161" s="6"/>
      <c r="K2161" s="6"/>
    </row>
    <row r="2162" spans="3:11" x14ac:dyDescent="0.25">
      <c r="C2162" s="6"/>
      <c r="G2162" s="6"/>
      <c r="K2162" s="6"/>
    </row>
    <row r="2163" spans="3:11" x14ac:dyDescent="0.25">
      <c r="C2163" s="6"/>
      <c r="G2163" s="6"/>
      <c r="K2163" s="6"/>
    </row>
    <row r="2164" spans="3:11" x14ac:dyDescent="0.25">
      <c r="C2164" s="6"/>
      <c r="G2164" s="6"/>
      <c r="K2164" s="6"/>
    </row>
    <row r="2165" spans="3:11" x14ac:dyDescent="0.25">
      <c r="C2165" s="6"/>
      <c r="G2165" s="6"/>
      <c r="K2165" s="6"/>
    </row>
    <row r="2166" spans="3:11" x14ac:dyDescent="0.25">
      <c r="C2166" s="6"/>
      <c r="G2166" s="6"/>
      <c r="K2166" s="6"/>
    </row>
    <row r="2167" spans="3:11" x14ac:dyDescent="0.25">
      <c r="C2167" s="6"/>
      <c r="G2167" s="6"/>
      <c r="K2167" s="6"/>
    </row>
    <row r="2168" spans="3:11" x14ac:dyDescent="0.25">
      <c r="C2168" s="6"/>
      <c r="G2168" s="6"/>
      <c r="K2168" s="6"/>
    </row>
    <row r="2169" spans="3:11" x14ac:dyDescent="0.25">
      <c r="C2169" s="6"/>
      <c r="G2169" s="6"/>
      <c r="K2169" s="6"/>
    </row>
    <row r="2170" spans="3:11" x14ac:dyDescent="0.25">
      <c r="C2170" s="6"/>
      <c r="G2170" s="6"/>
      <c r="K2170" s="6"/>
    </row>
    <row r="2171" spans="3:11" x14ac:dyDescent="0.25">
      <c r="C2171" s="6"/>
      <c r="G2171" s="6"/>
      <c r="K2171" s="6"/>
    </row>
    <row r="2172" spans="3:11" x14ac:dyDescent="0.25">
      <c r="C2172" s="6"/>
      <c r="G2172" s="6"/>
      <c r="K2172" s="6"/>
    </row>
    <row r="2173" spans="3:11" x14ac:dyDescent="0.25">
      <c r="C2173" s="6"/>
      <c r="G2173" s="6"/>
      <c r="K2173" s="6"/>
    </row>
    <row r="2174" spans="3:11" x14ac:dyDescent="0.25">
      <c r="C2174" s="6"/>
      <c r="G2174" s="6"/>
      <c r="K2174" s="6"/>
    </row>
    <row r="2175" spans="3:11" x14ac:dyDescent="0.25">
      <c r="C2175" s="6"/>
      <c r="G2175" s="6"/>
      <c r="K2175" s="6"/>
    </row>
    <row r="2176" spans="3:11" x14ac:dyDescent="0.25">
      <c r="C2176" s="6"/>
      <c r="G2176" s="6"/>
      <c r="K2176" s="6"/>
    </row>
    <row r="2177" spans="3:11" x14ac:dyDescent="0.25">
      <c r="C2177" s="6"/>
      <c r="G2177" s="6"/>
      <c r="K2177" s="6"/>
    </row>
    <row r="2178" spans="3:11" x14ac:dyDescent="0.25">
      <c r="C2178" s="6"/>
      <c r="G2178" s="6"/>
      <c r="K2178" s="6"/>
    </row>
    <row r="2179" spans="3:11" x14ac:dyDescent="0.25">
      <c r="C2179" s="6"/>
      <c r="G2179" s="6"/>
      <c r="K2179" s="6"/>
    </row>
    <row r="2180" spans="3:11" x14ac:dyDescent="0.25">
      <c r="C2180" s="6"/>
      <c r="G2180" s="6"/>
      <c r="K2180" s="6"/>
    </row>
    <row r="2181" spans="3:11" x14ac:dyDescent="0.25">
      <c r="C2181" s="6"/>
      <c r="G2181" s="6"/>
      <c r="K2181" s="6"/>
    </row>
    <row r="2182" spans="3:11" x14ac:dyDescent="0.25">
      <c r="C2182" s="6"/>
      <c r="G2182" s="6"/>
      <c r="K2182" s="6"/>
    </row>
    <row r="2183" spans="3:11" x14ac:dyDescent="0.25">
      <c r="C2183" s="6"/>
      <c r="G2183" s="6"/>
      <c r="K2183" s="6"/>
    </row>
    <row r="2184" spans="3:11" x14ac:dyDescent="0.25">
      <c r="C2184" s="6"/>
      <c r="G2184" s="6"/>
      <c r="K2184" s="6"/>
    </row>
    <row r="2185" spans="3:11" x14ac:dyDescent="0.25">
      <c r="C2185" s="6"/>
      <c r="G2185" s="6"/>
      <c r="K2185" s="6"/>
    </row>
    <row r="2186" spans="3:11" x14ac:dyDescent="0.25">
      <c r="C2186" s="6"/>
      <c r="G2186" s="6"/>
      <c r="K2186" s="6"/>
    </row>
    <row r="2187" spans="3:11" x14ac:dyDescent="0.25">
      <c r="C2187" s="6"/>
      <c r="G2187" s="6"/>
      <c r="K2187" s="6"/>
    </row>
    <row r="2188" spans="3:11" x14ac:dyDescent="0.25">
      <c r="C2188" s="6"/>
      <c r="G2188" s="6"/>
      <c r="K2188" s="6"/>
    </row>
    <row r="2189" spans="3:11" x14ac:dyDescent="0.25">
      <c r="C2189" s="6"/>
      <c r="G2189" s="6"/>
      <c r="K2189" s="6"/>
    </row>
    <row r="2190" spans="3:11" x14ac:dyDescent="0.25">
      <c r="C2190" s="6"/>
      <c r="G2190" s="6"/>
      <c r="K2190" s="6"/>
    </row>
    <row r="2191" spans="3:11" x14ac:dyDescent="0.25">
      <c r="C2191" s="6"/>
      <c r="G2191" s="6"/>
      <c r="K2191" s="6"/>
    </row>
    <row r="2192" spans="3:11" x14ac:dyDescent="0.25">
      <c r="C2192" s="6"/>
      <c r="G2192" s="6"/>
      <c r="K2192" s="6"/>
    </row>
    <row r="2193" spans="3:11" x14ac:dyDescent="0.25">
      <c r="C2193" s="6"/>
      <c r="G2193" s="6"/>
      <c r="K2193" s="6"/>
    </row>
    <row r="2194" spans="3:11" x14ac:dyDescent="0.25">
      <c r="C2194" s="6"/>
      <c r="G2194" s="6"/>
      <c r="K2194" s="6"/>
    </row>
    <row r="2195" spans="3:11" x14ac:dyDescent="0.25">
      <c r="C2195" s="6"/>
      <c r="G2195" s="6"/>
      <c r="K2195" s="6"/>
    </row>
    <row r="2196" spans="3:11" x14ac:dyDescent="0.25">
      <c r="C2196" s="6"/>
      <c r="G2196" s="6"/>
      <c r="K2196" s="6"/>
    </row>
    <row r="2197" spans="3:11" x14ac:dyDescent="0.25">
      <c r="C2197" s="6"/>
      <c r="G2197" s="6"/>
      <c r="K2197" s="6"/>
    </row>
    <row r="2198" spans="3:11" x14ac:dyDescent="0.25">
      <c r="C2198" s="6"/>
      <c r="G2198" s="6"/>
      <c r="K2198" s="6"/>
    </row>
    <row r="2199" spans="3:11" x14ac:dyDescent="0.25">
      <c r="C2199" s="6"/>
      <c r="G2199" s="6"/>
      <c r="K2199" s="6"/>
    </row>
    <row r="2200" spans="3:11" x14ac:dyDescent="0.25">
      <c r="C2200" s="6"/>
      <c r="G2200" s="6"/>
      <c r="K2200" s="6"/>
    </row>
    <row r="2201" spans="3:11" x14ac:dyDescent="0.25">
      <c r="C2201" s="6"/>
      <c r="G2201" s="6"/>
      <c r="K2201" s="6"/>
    </row>
    <row r="2202" spans="3:11" x14ac:dyDescent="0.25">
      <c r="C2202" s="6"/>
      <c r="G2202" s="6"/>
      <c r="K2202" s="6"/>
    </row>
    <row r="2203" spans="3:11" x14ac:dyDescent="0.25">
      <c r="C2203" s="6"/>
      <c r="G2203" s="6"/>
      <c r="K2203" s="6"/>
    </row>
    <row r="2204" spans="3:11" x14ac:dyDescent="0.25">
      <c r="C2204" s="6"/>
      <c r="G2204" s="6"/>
      <c r="K2204" s="6"/>
    </row>
    <row r="2205" spans="3:11" x14ac:dyDescent="0.25">
      <c r="C2205" s="6"/>
      <c r="G2205" s="6"/>
      <c r="K2205" s="6"/>
    </row>
    <row r="2206" spans="3:11" x14ac:dyDescent="0.25">
      <c r="C2206" s="6"/>
      <c r="G2206" s="6"/>
      <c r="K2206" s="6"/>
    </row>
    <row r="2207" spans="3:11" x14ac:dyDescent="0.25">
      <c r="C2207" s="6"/>
      <c r="G2207" s="6"/>
      <c r="K2207" s="6"/>
    </row>
    <row r="2208" spans="3:11" x14ac:dyDescent="0.25">
      <c r="C2208" s="6"/>
      <c r="G2208" s="6"/>
      <c r="K2208" s="6"/>
    </row>
    <row r="2209" spans="3:11" x14ac:dyDescent="0.25">
      <c r="C2209" s="6"/>
      <c r="G2209" s="6"/>
      <c r="K2209" s="6"/>
    </row>
    <row r="2210" spans="3:11" x14ac:dyDescent="0.25">
      <c r="C2210" s="6"/>
      <c r="G2210" s="6"/>
      <c r="K2210" s="6"/>
    </row>
    <row r="2211" spans="3:11" x14ac:dyDescent="0.25">
      <c r="C2211" s="6"/>
      <c r="G2211" s="6"/>
      <c r="K2211" s="6"/>
    </row>
    <row r="2212" spans="3:11" x14ac:dyDescent="0.25">
      <c r="C2212" s="6"/>
      <c r="G2212" s="6"/>
      <c r="K2212" s="6"/>
    </row>
    <row r="2213" spans="3:11" x14ac:dyDescent="0.25">
      <c r="C2213" s="6"/>
      <c r="G2213" s="6"/>
      <c r="K2213" s="6"/>
    </row>
    <row r="2214" spans="3:11" x14ac:dyDescent="0.25">
      <c r="C2214" s="6"/>
      <c r="G2214" s="6"/>
      <c r="K2214" s="6"/>
    </row>
    <row r="2215" spans="3:11" x14ac:dyDescent="0.25">
      <c r="C2215" s="6"/>
      <c r="G2215" s="6"/>
      <c r="K2215" s="6"/>
    </row>
    <row r="2216" spans="3:11" x14ac:dyDescent="0.25">
      <c r="C2216" s="6"/>
      <c r="G2216" s="6"/>
      <c r="K2216" s="6"/>
    </row>
    <row r="2217" spans="3:11" x14ac:dyDescent="0.25">
      <c r="C2217" s="6"/>
      <c r="G2217" s="6"/>
      <c r="K2217" s="6"/>
    </row>
    <row r="2218" spans="3:11" x14ac:dyDescent="0.25">
      <c r="C2218" s="6"/>
      <c r="G2218" s="6"/>
      <c r="K2218" s="6"/>
    </row>
    <row r="2219" spans="3:11" x14ac:dyDescent="0.25">
      <c r="C2219" s="6"/>
      <c r="G2219" s="6"/>
      <c r="K2219" s="6"/>
    </row>
    <row r="2220" spans="3:11" x14ac:dyDescent="0.25">
      <c r="C2220" s="6"/>
      <c r="G2220" s="6"/>
      <c r="K2220" s="6"/>
    </row>
    <row r="2221" spans="3:11" x14ac:dyDescent="0.25">
      <c r="C2221" s="6"/>
      <c r="G2221" s="6"/>
      <c r="K2221" s="6"/>
    </row>
    <row r="2222" spans="3:11" x14ac:dyDescent="0.25">
      <c r="C2222" s="6"/>
      <c r="G2222" s="6"/>
      <c r="K2222" s="6"/>
    </row>
    <row r="2223" spans="3:11" x14ac:dyDescent="0.25">
      <c r="C2223" s="6"/>
      <c r="G2223" s="6"/>
      <c r="K2223" s="6"/>
    </row>
    <row r="2224" spans="3:11" x14ac:dyDescent="0.25">
      <c r="C2224" s="6"/>
      <c r="G2224" s="6"/>
      <c r="K2224" s="6"/>
    </row>
    <row r="2225" spans="3:11" x14ac:dyDescent="0.25">
      <c r="C2225" s="6"/>
      <c r="G2225" s="6"/>
      <c r="K2225" s="6"/>
    </row>
    <row r="2226" spans="3:11" x14ac:dyDescent="0.25">
      <c r="C2226" s="6"/>
      <c r="G2226" s="6"/>
      <c r="K2226" s="6"/>
    </row>
    <row r="2227" spans="3:11" x14ac:dyDescent="0.25">
      <c r="C2227" s="6"/>
      <c r="G2227" s="6"/>
      <c r="K2227" s="6"/>
    </row>
    <row r="2228" spans="3:11" x14ac:dyDescent="0.25">
      <c r="C2228" s="6"/>
      <c r="G2228" s="6"/>
      <c r="K2228" s="6"/>
    </row>
    <row r="2229" spans="3:11" x14ac:dyDescent="0.25">
      <c r="C2229" s="6"/>
      <c r="G2229" s="6"/>
      <c r="K2229" s="6"/>
    </row>
    <row r="2230" spans="3:11" x14ac:dyDescent="0.25">
      <c r="C2230" s="6"/>
      <c r="G2230" s="6"/>
      <c r="K2230" s="6"/>
    </row>
    <row r="2231" spans="3:11" x14ac:dyDescent="0.25">
      <c r="C2231" s="6"/>
      <c r="G2231" s="6"/>
      <c r="K2231" s="6"/>
    </row>
    <row r="2232" spans="3:11" x14ac:dyDescent="0.25">
      <c r="C2232" s="6"/>
      <c r="G2232" s="6"/>
      <c r="K2232" s="6"/>
    </row>
    <row r="2233" spans="3:11" x14ac:dyDescent="0.25">
      <c r="C2233" s="6"/>
      <c r="G2233" s="6"/>
      <c r="K2233" s="6"/>
    </row>
    <row r="2234" spans="3:11" x14ac:dyDescent="0.25">
      <c r="C2234" s="6"/>
      <c r="G2234" s="6"/>
      <c r="K2234" s="6"/>
    </row>
    <row r="2235" spans="3:11" x14ac:dyDescent="0.25">
      <c r="C2235" s="6"/>
      <c r="G2235" s="6"/>
      <c r="K2235" s="6"/>
    </row>
    <row r="2236" spans="3:11" x14ac:dyDescent="0.25">
      <c r="C2236" s="6"/>
      <c r="G2236" s="6"/>
      <c r="K2236" s="6"/>
    </row>
    <row r="2237" spans="3:11" x14ac:dyDescent="0.25">
      <c r="C2237" s="6"/>
      <c r="G2237" s="6"/>
      <c r="K2237" s="6"/>
    </row>
    <row r="2238" spans="3:11" x14ac:dyDescent="0.25">
      <c r="C2238" s="6"/>
      <c r="G2238" s="6"/>
      <c r="K2238" s="6"/>
    </row>
    <row r="2239" spans="3:11" x14ac:dyDescent="0.25">
      <c r="C2239" s="6"/>
      <c r="G2239" s="6"/>
      <c r="K2239" s="6"/>
    </row>
    <row r="2240" spans="3:11" x14ac:dyDescent="0.25">
      <c r="C2240" s="6"/>
      <c r="G2240" s="6"/>
      <c r="K2240" s="6"/>
    </row>
    <row r="2241" spans="3:11" x14ac:dyDescent="0.25">
      <c r="C2241" s="6"/>
      <c r="G2241" s="6"/>
      <c r="K2241" s="6"/>
    </row>
    <row r="2242" spans="3:11" x14ac:dyDescent="0.25">
      <c r="C2242" s="6"/>
      <c r="G2242" s="6"/>
      <c r="K2242" s="6"/>
    </row>
    <row r="2243" spans="3:11" x14ac:dyDescent="0.25">
      <c r="C2243" s="6"/>
      <c r="G2243" s="6"/>
      <c r="K2243" s="6"/>
    </row>
    <row r="2244" spans="3:11" x14ac:dyDescent="0.25">
      <c r="C2244" s="6"/>
      <c r="G2244" s="6"/>
      <c r="K2244" s="6"/>
    </row>
    <row r="2245" spans="3:11" x14ac:dyDescent="0.25">
      <c r="C2245" s="6"/>
      <c r="G2245" s="6"/>
      <c r="K2245" s="6"/>
    </row>
    <row r="2246" spans="3:11" x14ac:dyDescent="0.25">
      <c r="C2246" s="6"/>
      <c r="G2246" s="6"/>
      <c r="K2246" s="6"/>
    </row>
    <row r="2247" spans="3:11" x14ac:dyDescent="0.25">
      <c r="C2247" s="6"/>
      <c r="G2247" s="6"/>
      <c r="K2247" s="6"/>
    </row>
    <row r="2248" spans="3:11" x14ac:dyDescent="0.25">
      <c r="C2248" s="6"/>
      <c r="G2248" s="6"/>
      <c r="K2248" s="6"/>
    </row>
    <row r="2249" spans="3:11" x14ac:dyDescent="0.25">
      <c r="C2249" s="6"/>
      <c r="G2249" s="6"/>
      <c r="K2249" s="6"/>
    </row>
    <row r="2250" spans="3:11" x14ac:dyDescent="0.25">
      <c r="C2250" s="6"/>
      <c r="G2250" s="6"/>
      <c r="K2250" s="6"/>
    </row>
    <row r="2251" spans="3:11" x14ac:dyDescent="0.25">
      <c r="C2251" s="6"/>
      <c r="G2251" s="6"/>
      <c r="K2251" s="6"/>
    </row>
    <row r="2252" spans="3:11" x14ac:dyDescent="0.25">
      <c r="C2252" s="6"/>
      <c r="G2252" s="6"/>
      <c r="K2252" s="6"/>
    </row>
    <row r="2253" spans="3:11" x14ac:dyDescent="0.25">
      <c r="C2253" s="6"/>
      <c r="G2253" s="6"/>
      <c r="K2253" s="6"/>
    </row>
    <row r="2254" spans="3:11" x14ac:dyDescent="0.25">
      <c r="C2254" s="6"/>
      <c r="G2254" s="6"/>
      <c r="K2254" s="6"/>
    </row>
    <row r="2255" spans="3:11" x14ac:dyDescent="0.25">
      <c r="C2255" s="6"/>
      <c r="G2255" s="6"/>
      <c r="K2255" s="6"/>
    </row>
    <row r="2256" spans="3:11" x14ac:dyDescent="0.25">
      <c r="C2256" s="6"/>
      <c r="G2256" s="6"/>
      <c r="K2256" s="6"/>
    </row>
    <row r="2257" spans="3:11" x14ac:dyDescent="0.25">
      <c r="C2257" s="6"/>
      <c r="G2257" s="6"/>
      <c r="K2257" s="6"/>
    </row>
    <row r="2258" spans="3:11" x14ac:dyDescent="0.25">
      <c r="C2258" s="6"/>
      <c r="G2258" s="6"/>
      <c r="K2258" s="6"/>
    </row>
    <row r="2259" spans="3:11" x14ac:dyDescent="0.25">
      <c r="C2259" s="6"/>
      <c r="G2259" s="6"/>
      <c r="K2259" s="6"/>
    </row>
    <row r="2260" spans="3:11" x14ac:dyDescent="0.25">
      <c r="C2260" s="6"/>
      <c r="G2260" s="6"/>
      <c r="K2260" s="6"/>
    </row>
    <row r="2261" spans="3:11" x14ac:dyDescent="0.25">
      <c r="C2261" s="6"/>
      <c r="G2261" s="6"/>
      <c r="K2261" s="6"/>
    </row>
    <row r="2262" spans="3:11" x14ac:dyDescent="0.25">
      <c r="C2262" s="6"/>
      <c r="G2262" s="6"/>
      <c r="K2262" s="6"/>
    </row>
    <row r="2263" spans="3:11" x14ac:dyDescent="0.25">
      <c r="C2263" s="6"/>
      <c r="G2263" s="6"/>
      <c r="K2263" s="6"/>
    </row>
    <row r="2264" spans="3:11" x14ac:dyDescent="0.25">
      <c r="C2264" s="6"/>
      <c r="G2264" s="6"/>
      <c r="K2264" s="6"/>
    </row>
    <row r="2265" spans="3:11" x14ac:dyDescent="0.25">
      <c r="C2265" s="6"/>
      <c r="G2265" s="6"/>
      <c r="K2265" s="6"/>
    </row>
    <row r="2266" spans="3:11" x14ac:dyDescent="0.25">
      <c r="C2266" s="6"/>
      <c r="G2266" s="6"/>
      <c r="K2266" s="6"/>
    </row>
    <row r="2267" spans="3:11" x14ac:dyDescent="0.25">
      <c r="C2267" s="6"/>
      <c r="G2267" s="6"/>
      <c r="K2267" s="6"/>
    </row>
    <row r="2268" spans="3:11" x14ac:dyDescent="0.25">
      <c r="C2268" s="6"/>
      <c r="G2268" s="6"/>
      <c r="K2268" s="6"/>
    </row>
    <row r="2269" spans="3:11" x14ac:dyDescent="0.25">
      <c r="C2269" s="6"/>
      <c r="G2269" s="6"/>
      <c r="K2269" s="6"/>
    </row>
    <row r="2270" spans="3:11" x14ac:dyDescent="0.25">
      <c r="C2270" s="6"/>
      <c r="G2270" s="6"/>
      <c r="K2270" s="6"/>
    </row>
    <row r="2271" spans="3:11" x14ac:dyDescent="0.25">
      <c r="C2271" s="6"/>
      <c r="G2271" s="6"/>
      <c r="K2271" s="6"/>
    </row>
    <row r="2272" spans="3:11" x14ac:dyDescent="0.25">
      <c r="C2272" s="6"/>
      <c r="G2272" s="6"/>
      <c r="K2272" s="6"/>
    </row>
    <row r="2273" spans="3:11" x14ac:dyDescent="0.25">
      <c r="C2273" s="6"/>
      <c r="G2273" s="6"/>
      <c r="K2273" s="6"/>
    </row>
    <row r="2274" spans="3:11" x14ac:dyDescent="0.25">
      <c r="C2274" s="6"/>
      <c r="G2274" s="6"/>
      <c r="K2274" s="6"/>
    </row>
    <row r="2275" spans="3:11" x14ac:dyDescent="0.25">
      <c r="C2275" s="6"/>
      <c r="G2275" s="6"/>
      <c r="K2275" s="6"/>
    </row>
    <row r="2276" spans="3:11" x14ac:dyDescent="0.25">
      <c r="C2276" s="6"/>
      <c r="G2276" s="6"/>
      <c r="K2276" s="6"/>
    </row>
    <row r="2277" spans="3:11" x14ac:dyDescent="0.25">
      <c r="C2277" s="6"/>
      <c r="G2277" s="6"/>
      <c r="K2277" s="6"/>
    </row>
    <row r="2278" spans="3:11" x14ac:dyDescent="0.25">
      <c r="C2278" s="6"/>
      <c r="G2278" s="6"/>
      <c r="K2278" s="6"/>
    </row>
    <row r="2279" spans="3:11" x14ac:dyDescent="0.25">
      <c r="C2279" s="6"/>
      <c r="G2279" s="6"/>
      <c r="K2279" s="6"/>
    </row>
    <row r="2280" spans="3:11" x14ac:dyDescent="0.25">
      <c r="C2280" s="6"/>
      <c r="G2280" s="6"/>
      <c r="K2280" s="6"/>
    </row>
    <row r="2281" spans="3:11" x14ac:dyDescent="0.25">
      <c r="C2281" s="6"/>
      <c r="G2281" s="6"/>
      <c r="K2281" s="6"/>
    </row>
    <row r="2282" spans="3:11" x14ac:dyDescent="0.25">
      <c r="C2282" s="6"/>
      <c r="G2282" s="6"/>
      <c r="K2282" s="6"/>
    </row>
    <row r="2283" spans="3:11" x14ac:dyDescent="0.25">
      <c r="C2283" s="6"/>
      <c r="G2283" s="6"/>
      <c r="K2283" s="6"/>
    </row>
    <row r="2284" spans="3:11" x14ac:dyDescent="0.25">
      <c r="C2284" s="6"/>
      <c r="G2284" s="6"/>
      <c r="K2284" s="6"/>
    </row>
    <row r="2285" spans="3:11" x14ac:dyDescent="0.25">
      <c r="C2285" s="6"/>
      <c r="G2285" s="6"/>
      <c r="K2285" s="6"/>
    </row>
    <row r="2286" spans="3:11" x14ac:dyDescent="0.25">
      <c r="C2286" s="6"/>
      <c r="G2286" s="6"/>
      <c r="K2286" s="6"/>
    </row>
    <row r="2287" spans="3:11" x14ac:dyDescent="0.25">
      <c r="C2287" s="6"/>
      <c r="G2287" s="6"/>
      <c r="K2287" s="6"/>
    </row>
    <row r="2288" spans="3:11" x14ac:dyDescent="0.25">
      <c r="C2288" s="6"/>
      <c r="G2288" s="6"/>
      <c r="K2288" s="6"/>
    </row>
    <row r="2289" spans="3:11" x14ac:dyDescent="0.25">
      <c r="C2289" s="6"/>
      <c r="G2289" s="6"/>
      <c r="K2289" s="6"/>
    </row>
    <row r="2290" spans="3:11" x14ac:dyDescent="0.25">
      <c r="C2290" s="6"/>
      <c r="G2290" s="6"/>
      <c r="K2290" s="6"/>
    </row>
    <row r="2291" spans="3:11" x14ac:dyDescent="0.25">
      <c r="C2291" s="6"/>
      <c r="G2291" s="6"/>
      <c r="K2291" s="6"/>
    </row>
    <row r="2292" spans="3:11" x14ac:dyDescent="0.25">
      <c r="C2292" s="6"/>
      <c r="G2292" s="6"/>
      <c r="K2292" s="6"/>
    </row>
    <row r="2293" spans="3:11" x14ac:dyDescent="0.25">
      <c r="C2293" s="6"/>
      <c r="G2293" s="6"/>
      <c r="K2293" s="6"/>
    </row>
    <row r="2294" spans="3:11" x14ac:dyDescent="0.25">
      <c r="C2294" s="6"/>
      <c r="G2294" s="6"/>
      <c r="K2294" s="6"/>
    </row>
    <row r="2295" spans="3:11" x14ac:dyDescent="0.25">
      <c r="C2295" s="6"/>
      <c r="G2295" s="6"/>
      <c r="K2295" s="6"/>
    </row>
    <row r="2296" spans="3:11" x14ac:dyDescent="0.25">
      <c r="C2296" s="6"/>
      <c r="G2296" s="6"/>
      <c r="K2296" s="6"/>
    </row>
    <row r="2297" spans="3:11" x14ac:dyDescent="0.25">
      <c r="C2297" s="6"/>
      <c r="G2297" s="6"/>
      <c r="K2297" s="6"/>
    </row>
    <row r="2298" spans="3:11" x14ac:dyDescent="0.25">
      <c r="C2298" s="6"/>
      <c r="G2298" s="6"/>
      <c r="K2298" s="6"/>
    </row>
    <row r="2299" spans="3:11" x14ac:dyDescent="0.25">
      <c r="C2299" s="6"/>
      <c r="G2299" s="6"/>
      <c r="K2299" s="6"/>
    </row>
    <row r="2300" spans="3:11" x14ac:dyDescent="0.25">
      <c r="C2300" s="6"/>
      <c r="G2300" s="6"/>
      <c r="K2300" s="6"/>
    </row>
    <row r="2301" spans="3:11" x14ac:dyDescent="0.25">
      <c r="C2301" s="6"/>
      <c r="G2301" s="6"/>
      <c r="K2301" s="6"/>
    </row>
    <row r="2302" spans="3:11" x14ac:dyDescent="0.25">
      <c r="C2302" s="6"/>
      <c r="G2302" s="6"/>
      <c r="K2302" s="6"/>
    </row>
    <row r="2303" spans="3:11" x14ac:dyDescent="0.25">
      <c r="C2303" s="6"/>
      <c r="G2303" s="6"/>
      <c r="K2303" s="6"/>
    </row>
    <row r="2304" spans="3:11" x14ac:dyDescent="0.25">
      <c r="C2304" s="6"/>
      <c r="G2304" s="6"/>
      <c r="K2304" s="6"/>
    </row>
    <row r="2305" spans="3:11" x14ac:dyDescent="0.25">
      <c r="C2305" s="6"/>
      <c r="G2305" s="6"/>
      <c r="K2305" s="6"/>
    </row>
    <row r="2306" spans="3:11" x14ac:dyDescent="0.25">
      <c r="C2306" s="6"/>
      <c r="G2306" s="6"/>
      <c r="K2306" s="6"/>
    </row>
    <row r="2307" spans="3:11" x14ac:dyDescent="0.25">
      <c r="C2307" s="6"/>
      <c r="G2307" s="6"/>
      <c r="K2307" s="6"/>
    </row>
    <row r="2308" spans="3:11" x14ac:dyDescent="0.25">
      <c r="C2308" s="6"/>
      <c r="G2308" s="6"/>
      <c r="K2308" s="6"/>
    </row>
    <row r="2309" spans="3:11" x14ac:dyDescent="0.25">
      <c r="C2309" s="6"/>
      <c r="G2309" s="6"/>
      <c r="K2309" s="6"/>
    </row>
    <row r="2310" spans="3:11" x14ac:dyDescent="0.25">
      <c r="C2310" s="6"/>
      <c r="G2310" s="6"/>
      <c r="K2310" s="6"/>
    </row>
    <row r="2311" spans="3:11" x14ac:dyDescent="0.25">
      <c r="C2311" s="6"/>
      <c r="G2311" s="6"/>
      <c r="K2311" s="6"/>
    </row>
    <row r="2312" spans="3:11" x14ac:dyDescent="0.25">
      <c r="C2312" s="6"/>
      <c r="G2312" s="6"/>
      <c r="K2312" s="6"/>
    </row>
    <row r="2313" spans="3:11" x14ac:dyDescent="0.25">
      <c r="C2313" s="6"/>
      <c r="G2313" s="6"/>
      <c r="K2313" s="6"/>
    </row>
    <row r="2314" spans="3:11" x14ac:dyDescent="0.25">
      <c r="C2314" s="6"/>
      <c r="G2314" s="6"/>
      <c r="K2314" s="6"/>
    </row>
    <row r="2315" spans="3:11" x14ac:dyDescent="0.25">
      <c r="C2315" s="6"/>
      <c r="G2315" s="6"/>
      <c r="K2315" s="6"/>
    </row>
    <row r="2316" spans="3:11" x14ac:dyDescent="0.25">
      <c r="C2316" s="6"/>
      <c r="G2316" s="6"/>
      <c r="K2316" s="6"/>
    </row>
    <row r="2317" spans="3:11" x14ac:dyDescent="0.25">
      <c r="C2317" s="6"/>
      <c r="G2317" s="6"/>
      <c r="K2317" s="6"/>
    </row>
    <row r="2318" spans="3:11" x14ac:dyDescent="0.25">
      <c r="C2318" s="6"/>
      <c r="G2318" s="6"/>
      <c r="K2318" s="6"/>
    </row>
    <row r="2319" spans="3:11" x14ac:dyDescent="0.25">
      <c r="C2319" s="6"/>
      <c r="G2319" s="6"/>
      <c r="K2319" s="6"/>
    </row>
    <row r="2320" spans="3:11" x14ac:dyDescent="0.25">
      <c r="C2320" s="6"/>
      <c r="G2320" s="6"/>
      <c r="K2320" s="6"/>
    </row>
    <row r="2321" spans="3:11" x14ac:dyDescent="0.25">
      <c r="C2321" s="6"/>
      <c r="G2321" s="6"/>
      <c r="K2321" s="6"/>
    </row>
    <row r="2322" spans="3:11" x14ac:dyDescent="0.25">
      <c r="C2322" s="6"/>
      <c r="G2322" s="6"/>
      <c r="K2322" s="6"/>
    </row>
    <row r="2323" spans="3:11" x14ac:dyDescent="0.25">
      <c r="C2323" s="6"/>
      <c r="G2323" s="6"/>
      <c r="K2323" s="6"/>
    </row>
    <row r="2324" spans="3:11" x14ac:dyDescent="0.25">
      <c r="C2324" s="6"/>
      <c r="G2324" s="6"/>
      <c r="K2324" s="6"/>
    </row>
    <row r="2325" spans="3:11" x14ac:dyDescent="0.25">
      <c r="C2325" s="6"/>
      <c r="G2325" s="6"/>
      <c r="K2325" s="6"/>
    </row>
    <row r="2326" spans="3:11" x14ac:dyDescent="0.25">
      <c r="C2326" s="6"/>
      <c r="G2326" s="6"/>
      <c r="K2326" s="6"/>
    </row>
    <row r="2327" spans="3:11" x14ac:dyDescent="0.25">
      <c r="C2327" s="6"/>
      <c r="G2327" s="6"/>
      <c r="K2327" s="6"/>
    </row>
    <row r="2328" spans="3:11" x14ac:dyDescent="0.25">
      <c r="C2328" s="6"/>
      <c r="G2328" s="6"/>
      <c r="K2328" s="6"/>
    </row>
    <row r="2329" spans="3:11" x14ac:dyDescent="0.25">
      <c r="C2329" s="6"/>
      <c r="G2329" s="6"/>
      <c r="K2329" s="6"/>
    </row>
    <row r="2330" spans="3:11" x14ac:dyDescent="0.25">
      <c r="C2330" s="6"/>
      <c r="G2330" s="6"/>
      <c r="K2330" s="6"/>
    </row>
    <row r="2331" spans="3:11" x14ac:dyDescent="0.25">
      <c r="C2331" s="6"/>
      <c r="G2331" s="6"/>
      <c r="K2331" s="6"/>
    </row>
    <row r="2332" spans="3:11" x14ac:dyDescent="0.25">
      <c r="C2332" s="6"/>
      <c r="G2332" s="6"/>
      <c r="K2332" s="6"/>
    </row>
    <row r="2333" spans="3:11" x14ac:dyDescent="0.25">
      <c r="C2333" s="6"/>
      <c r="G2333" s="6"/>
      <c r="K2333" s="6"/>
    </row>
    <row r="2334" spans="3:11" x14ac:dyDescent="0.25">
      <c r="C2334" s="6"/>
      <c r="G2334" s="6"/>
      <c r="K2334" s="6"/>
    </row>
    <row r="2335" spans="3:11" x14ac:dyDescent="0.25">
      <c r="C2335" s="6"/>
      <c r="G2335" s="6"/>
      <c r="K2335" s="6"/>
    </row>
    <row r="2336" spans="3:11" x14ac:dyDescent="0.25">
      <c r="C2336" s="6"/>
      <c r="G2336" s="6"/>
      <c r="K2336" s="6"/>
    </row>
    <row r="2337" spans="3:11" x14ac:dyDescent="0.25">
      <c r="C2337" s="6"/>
      <c r="G2337" s="6"/>
      <c r="K2337" s="6"/>
    </row>
    <row r="2338" spans="3:11" x14ac:dyDescent="0.25">
      <c r="C2338" s="6"/>
      <c r="G2338" s="6"/>
      <c r="K2338" s="6"/>
    </row>
    <row r="2339" spans="3:11" x14ac:dyDescent="0.25">
      <c r="C2339" s="6"/>
      <c r="G2339" s="6"/>
      <c r="K2339" s="6"/>
    </row>
    <row r="2340" spans="3:11" x14ac:dyDescent="0.25">
      <c r="C2340" s="6"/>
      <c r="G2340" s="6"/>
      <c r="K2340" s="6"/>
    </row>
    <row r="2341" spans="3:11" x14ac:dyDescent="0.25">
      <c r="C2341" s="6"/>
      <c r="G2341" s="6"/>
      <c r="K2341" s="6"/>
    </row>
    <row r="2342" spans="3:11" x14ac:dyDescent="0.25">
      <c r="C2342" s="6"/>
      <c r="G2342" s="6"/>
      <c r="K2342" s="6"/>
    </row>
    <row r="2343" spans="3:11" x14ac:dyDescent="0.25">
      <c r="C2343" s="6"/>
      <c r="G2343" s="6"/>
      <c r="K2343" s="6"/>
    </row>
    <row r="2344" spans="3:11" x14ac:dyDescent="0.25">
      <c r="C2344" s="6"/>
      <c r="G2344" s="6"/>
      <c r="K2344" s="6"/>
    </row>
    <row r="2345" spans="3:11" x14ac:dyDescent="0.25">
      <c r="C2345" s="6"/>
      <c r="G2345" s="6"/>
      <c r="K2345" s="6"/>
    </row>
    <row r="2346" spans="3:11" x14ac:dyDescent="0.25">
      <c r="C2346" s="6"/>
      <c r="G2346" s="6"/>
      <c r="K2346" s="6"/>
    </row>
    <row r="2347" spans="3:11" x14ac:dyDescent="0.25">
      <c r="C2347" s="6"/>
      <c r="G2347" s="6"/>
      <c r="K2347" s="6"/>
    </row>
    <row r="2348" spans="3:11" x14ac:dyDescent="0.25">
      <c r="C2348" s="6"/>
      <c r="G2348" s="6"/>
      <c r="K2348" s="6"/>
    </row>
    <row r="2349" spans="3:11" x14ac:dyDescent="0.25">
      <c r="C2349" s="6"/>
      <c r="G2349" s="6"/>
      <c r="K2349" s="6"/>
    </row>
    <row r="2350" spans="3:11" x14ac:dyDescent="0.25">
      <c r="C2350" s="6"/>
      <c r="G2350" s="6"/>
      <c r="K2350" s="6"/>
    </row>
    <row r="2351" spans="3:11" x14ac:dyDescent="0.25">
      <c r="C2351" s="6"/>
      <c r="G2351" s="6"/>
      <c r="K2351" s="6"/>
    </row>
    <row r="2352" spans="3:11" x14ac:dyDescent="0.25">
      <c r="C2352" s="6"/>
      <c r="G2352" s="6"/>
      <c r="K2352" s="6"/>
    </row>
    <row r="2353" spans="3:11" x14ac:dyDescent="0.25">
      <c r="C2353" s="6"/>
      <c r="G2353" s="6"/>
      <c r="K2353" s="6"/>
    </row>
    <row r="2354" spans="3:11" x14ac:dyDescent="0.25">
      <c r="C2354" s="6"/>
      <c r="G2354" s="6"/>
      <c r="K2354" s="6"/>
    </row>
    <row r="2355" spans="3:11" x14ac:dyDescent="0.25">
      <c r="C2355" s="6"/>
      <c r="G2355" s="6"/>
      <c r="K2355" s="6"/>
    </row>
    <row r="2356" spans="3:11" x14ac:dyDescent="0.25">
      <c r="C2356" s="6"/>
      <c r="G2356" s="6"/>
      <c r="K2356" s="6"/>
    </row>
    <row r="2357" spans="3:11" x14ac:dyDescent="0.25">
      <c r="C2357" s="6"/>
      <c r="G2357" s="6"/>
      <c r="K2357" s="6"/>
    </row>
    <row r="2358" spans="3:11" x14ac:dyDescent="0.25">
      <c r="C2358" s="6"/>
      <c r="G2358" s="6"/>
      <c r="K2358" s="6"/>
    </row>
    <row r="2359" spans="3:11" x14ac:dyDescent="0.25">
      <c r="C2359" s="6"/>
      <c r="G2359" s="6"/>
      <c r="K2359" s="6"/>
    </row>
    <row r="2360" spans="3:11" x14ac:dyDescent="0.25">
      <c r="C2360" s="6"/>
      <c r="G2360" s="6"/>
      <c r="K2360" s="6"/>
    </row>
    <row r="2361" spans="3:11" x14ac:dyDescent="0.25">
      <c r="C2361" s="6"/>
      <c r="G2361" s="6"/>
      <c r="K2361" s="6"/>
    </row>
    <row r="2362" spans="3:11" x14ac:dyDescent="0.25">
      <c r="C2362" s="6"/>
      <c r="G2362" s="6"/>
      <c r="K2362" s="6"/>
    </row>
    <row r="2363" spans="3:11" x14ac:dyDescent="0.25">
      <c r="C2363" s="6"/>
      <c r="G2363" s="6"/>
      <c r="K2363" s="6"/>
    </row>
    <row r="2364" spans="3:11" x14ac:dyDescent="0.25">
      <c r="C2364" s="6"/>
      <c r="G2364" s="6"/>
      <c r="K2364" s="6"/>
    </row>
    <row r="2365" spans="3:11" x14ac:dyDescent="0.25">
      <c r="C2365" s="6"/>
      <c r="G2365" s="6"/>
      <c r="K2365" s="6"/>
    </row>
    <row r="2366" spans="3:11" x14ac:dyDescent="0.25">
      <c r="C2366" s="6"/>
      <c r="G2366" s="6"/>
      <c r="K2366" s="6"/>
    </row>
    <row r="2367" spans="3:11" x14ac:dyDescent="0.25">
      <c r="C2367" s="6"/>
      <c r="G2367" s="6"/>
      <c r="K2367" s="6"/>
    </row>
    <row r="2368" spans="3:11" x14ac:dyDescent="0.25">
      <c r="C2368" s="6"/>
      <c r="G2368" s="6"/>
      <c r="K2368" s="6"/>
    </row>
    <row r="2369" spans="3:11" x14ac:dyDescent="0.25">
      <c r="C2369" s="6"/>
      <c r="G2369" s="6"/>
      <c r="K2369" s="6"/>
    </row>
    <row r="2370" spans="3:11" x14ac:dyDescent="0.25">
      <c r="C2370" s="6"/>
      <c r="G2370" s="6"/>
      <c r="K2370" s="6"/>
    </row>
    <row r="2371" spans="3:11" x14ac:dyDescent="0.25">
      <c r="C2371" s="6"/>
      <c r="G2371" s="6"/>
      <c r="K2371" s="6"/>
    </row>
    <row r="2372" spans="3:11" x14ac:dyDescent="0.25">
      <c r="C2372" s="6"/>
      <c r="G2372" s="6"/>
      <c r="K2372" s="6"/>
    </row>
    <row r="2373" spans="3:11" x14ac:dyDescent="0.25">
      <c r="C2373" s="6"/>
      <c r="G2373" s="6"/>
      <c r="K2373" s="6"/>
    </row>
    <row r="2374" spans="3:11" x14ac:dyDescent="0.25">
      <c r="C2374" s="6"/>
      <c r="G2374" s="6"/>
      <c r="K2374" s="6"/>
    </row>
    <row r="2375" spans="3:11" x14ac:dyDescent="0.25">
      <c r="C2375" s="6"/>
      <c r="G2375" s="6"/>
      <c r="K2375" s="6"/>
    </row>
    <row r="2376" spans="3:11" x14ac:dyDescent="0.25">
      <c r="C2376" s="6"/>
      <c r="G2376" s="6"/>
      <c r="K2376" s="6"/>
    </row>
    <row r="2377" spans="3:11" x14ac:dyDescent="0.25">
      <c r="C2377" s="6"/>
      <c r="G2377" s="6"/>
      <c r="K2377" s="6"/>
    </row>
    <row r="2378" spans="3:11" x14ac:dyDescent="0.25">
      <c r="C2378" s="6"/>
      <c r="G2378" s="6"/>
      <c r="K2378" s="6"/>
    </row>
    <row r="2379" spans="3:11" x14ac:dyDescent="0.25">
      <c r="C2379" s="6"/>
      <c r="G2379" s="6"/>
      <c r="K2379" s="6"/>
    </row>
    <row r="2380" spans="3:11" x14ac:dyDescent="0.25">
      <c r="C2380" s="6"/>
      <c r="G2380" s="6"/>
      <c r="K2380" s="6"/>
    </row>
    <row r="2381" spans="3:11" x14ac:dyDescent="0.25">
      <c r="C2381" s="6"/>
      <c r="G2381" s="6"/>
      <c r="K2381" s="6"/>
    </row>
    <row r="2382" spans="3:11" x14ac:dyDescent="0.25">
      <c r="C2382" s="6"/>
      <c r="G2382" s="6"/>
      <c r="K2382" s="6"/>
    </row>
    <row r="2383" spans="3:11" x14ac:dyDescent="0.25">
      <c r="C2383" s="6"/>
      <c r="G2383" s="6"/>
      <c r="K2383" s="6"/>
    </row>
    <row r="2384" spans="3:11" x14ac:dyDescent="0.25">
      <c r="C2384" s="6"/>
      <c r="G2384" s="6"/>
      <c r="K2384" s="6"/>
    </row>
    <row r="2385" spans="3:11" x14ac:dyDescent="0.25">
      <c r="C2385" s="6"/>
      <c r="G2385" s="6"/>
      <c r="K2385" s="6"/>
    </row>
    <row r="2386" spans="3:11" x14ac:dyDescent="0.25">
      <c r="C2386" s="6"/>
      <c r="G2386" s="6"/>
      <c r="K2386" s="6"/>
    </row>
    <row r="2387" spans="3:11" x14ac:dyDescent="0.25">
      <c r="C2387" s="6"/>
      <c r="G2387" s="6"/>
      <c r="K2387" s="6"/>
    </row>
    <row r="2388" spans="3:11" x14ac:dyDescent="0.25">
      <c r="C2388" s="6"/>
      <c r="G2388" s="6"/>
      <c r="K2388" s="6"/>
    </row>
    <row r="2389" spans="3:11" x14ac:dyDescent="0.25">
      <c r="C2389" s="6"/>
      <c r="G2389" s="6"/>
      <c r="K2389" s="6"/>
    </row>
    <row r="2390" spans="3:11" x14ac:dyDescent="0.25">
      <c r="C2390" s="6"/>
      <c r="G2390" s="6"/>
      <c r="K2390" s="6"/>
    </row>
    <row r="2391" spans="3:11" x14ac:dyDescent="0.25">
      <c r="C2391" s="6"/>
      <c r="G2391" s="6"/>
      <c r="K2391" s="6"/>
    </row>
    <row r="2392" spans="3:11" x14ac:dyDescent="0.25">
      <c r="C2392" s="6"/>
      <c r="G2392" s="6"/>
      <c r="K2392" s="6"/>
    </row>
    <row r="2393" spans="3:11" x14ac:dyDescent="0.25">
      <c r="C2393" s="6"/>
      <c r="G2393" s="6"/>
      <c r="K2393" s="6"/>
    </row>
    <row r="2394" spans="3:11" x14ac:dyDescent="0.25">
      <c r="C2394" s="6"/>
      <c r="G2394" s="6"/>
      <c r="K2394" s="6"/>
    </row>
    <row r="2395" spans="3:11" x14ac:dyDescent="0.25">
      <c r="C2395" s="6"/>
      <c r="G2395" s="6"/>
      <c r="K2395" s="6"/>
    </row>
    <row r="2396" spans="3:11" x14ac:dyDescent="0.25">
      <c r="C2396" s="6"/>
      <c r="G2396" s="6"/>
      <c r="K2396" s="6"/>
    </row>
    <row r="2397" spans="3:11" x14ac:dyDescent="0.25">
      <c r="C2397" s="6"/>
      <c r="G2397" s="6"/>
      <c r="K2397" s="6"/>
    </row>
    <row r="2398" spans="3:11" x14ac:dyDescent="0.25">
      <c r="C2398" s="6"/>
      <c r="G2398" s="6"/>
      <c r="K2398" s="6"/>
    </row>
    <row r="2399" spans="3:11" x14ac:dyDescent="0.25">
      <c r="C2399" s="6"/>
      <c r="G2399" s="6"/>
      <c r="K2399" s="6"/>
    </row>
    <row r="2400" spans="3:11" x14ac:dyDescent="0.25">
      <c r="C2400" s="6"/>
      <c r="G2400" s="6"/>
      <c r="K2400" s="6"/>
    </row>
    <row r="2401" spans="3:11" x14ac:dyDescent="0.25">
      <c r="C2401" s="6"/>
      <c r="G2401" s="6"/>
      <c r="K2401" s="6"/>
    </row>
    <row r="2402" spans="3:11" x14ac:dyDescent="0.25">
      <c r="C2402" s="6"/>
      <c r="G2402" s="6"/>
      <c r="K2402" s="6"/>
    </row>
    <row r="2403" spans="3:11" x14ac:dyDescent="0.25">
      <c r="C2403" s="6"/>
      <c r="G2403" s="6"/>
      <c r="K2403" s="6"/>
    </row>
    <row r="2404" spans="3:11" x14ac:dyDescent="0.25">
      <c r="C2404" s="6"/>
      <c r="G2404" s="6"/>
      <c r="K2404" s="6"/>
    </row>
    <row r="2405" spans="3:11" x14ac:dyDescent="0.25">
      <c r="C2405" s="6"/>
      <c r="G2405" s="6"/>
      <c r="K2405" s="6"/>
    </row>
    <row r="2406" spans="3:11" x14ac:dyDescent="0.25">
      <c r="C2406" s="6"/>
      <c r="G2406" s="6"/>
      <c r="K2406" s="6"/>
    </row>
    <row r="2407" spans="3:11" x14ac:dyDescent="0.25">
      <c r="C2407" s="6"/>
      <c r="G2407" s="6"/>
      <c r="K2407" s="6"/>
    </row>
    <row r="2408" spans="3:11" x14ac:dyDescent="0.25">
      <c r="C2408" s="6"/>
      <c r="G2408" s="6"/>
      <c r="K2408" s="6"/>
    </row>
    <row r="2409" spans="3:11" x14ac:dyDescent="0.25">
      <c r="C2409" s="6"/>
      <c r="G2409" s="6"/>
      <c r="K2409" s="6"/>
    </row>
    <row r="2410" spans="3:11" x14ac:dyDescent="0.25">
      <c r="C2410" s="6"/>
      <c r="G2410" s="6"/>
      <c r="K2410" s="6"/>
    </row>
    <row r="2411" spans="3:11" x14ac:dyDescent="0.25">
      <c r="C2411" s="6"/>
      <c r="G2411" s="6"/>
      <c r="K2411" s="6"/>
    </row>
    <row r="2412" spans="3:11" x14ac:dyDescent="0.25">
      <c r="C2412" s="6"/>
      <c r="G2412" s="6"/>
      <c r="K2412" s="6"/>
    </row>
    <row r="2413" spans="3:11" x14ac:dyDescent="0.25">
      <c r="C2413" s="6"/>
      <c r="G2413" s="6"/>
      <c r="K2413" s="6"/>
    </row>
    <row r="2414" spans="3:11" x14ac:dyDescent="0.25">
      <c r="C2414" s="6"/>
      <c r="G2414" s="6"/>
      <c r="K2414" s="6"/>
    </row>
    <row r="2415" spans="3:11" x14ac:dyDescent="0.25">
      <c r="C2415" s="6"/>
      <c r="G2415" s="6"/>
      <c r="K2415" s="6"/>
    </row>
    <row r="2416" spans="3:11" x14ac:dyDescent="0.25">
      <c r="C2416" s="6"/>
      <c r="G2416" s="6"/>
      <c r="K2416" s="6"/>
    </row>
    <row r="2417" spans="3:11" x14ac:dyDescent="0.25">
      <c r="C2417" s="6"/>
      <c r="G2417" s="6"/>
      <c r="K2417" s="6"/>
    </row>
    <row r="2418" spans="3:11" x14ac:dyDescent="0.25">
      <c r="C2418" s="6"/>
      <c r="G2418" s="6"/>
      <c r="K2418" s="6"/>
    </row>
    <row r="2419" spans="3:11" x14ac:dyDescent="0.25">
      <c r="C2419" s="6"/>
      <c r="G2419" s="6"/>
      <c r="K2419" s="6"/>
    </row>
    <row r="2420" spans="3:11" x14ac:dyDescent="0.25">
      <c r="C2420" s="6"/>
      <c r="G2420" s="6"/>
      <c r="K2420" s="6"/>
    </row>
    <row r="2421" spans="3:11" x14ac:dyDescent="0.25">
      <c r="C2421" s="6"/>
      <c r="G2421" s="6"/>
      <c r="K2421" s="6"/>
    </row>
    <row r="2422" spans="3:11" x14ac:dyDescent="0.25">
      <c r="C2422" s="6"/>
      <c r="G2422" s="6"/>
      <c r="K2422" s="6"/>
    </row>
    <row r="2423" spans="3:11" x14ac:dyDescent="0.25">
      <c r="C2423" s="6"/>
      <c r="G2423" s="6"/>
      <c r="K2423" s="6"/>
    </row>
    <row r="2424" spans="3:11" x14ac:dyDescent="0.25">
      <c r="C2424" s="6"/>
      <c r="G2424" s="6"/>
      <c r="K2424" s="6"/>
    </row>
    <row r="2425" spans="3:11" x14ac:dyDescent="0.25">
      <c r="C2425" s="6"/>
      <c r="G2425" s="6"/>
      <c r="K2425" s="6"/>
    </row>
    <row r="2426" spans="3:11" x14ac:dyDescent="0.25">
      <c r="C2426" s="6"/>
      <c r="G2426" s="6"/>
      <c r="K2426" s="6"/>
    </row>
    <row r="2427" spans="3:11" x14ac:dyDescent="0.25">
      <c r="C2427" s="6"/>
      <c r="G2427" s="6"/>
      <c r="K2427" s="6"/>
    </row>
    <row r="2428" spans="3:11" x14ac:dyDescent="0.25">
      <c r="C2428" s="6"/>
      <c r="G2428" s="6"/>
      <c r="K2428" s="6"/>
    </row>
    <row r="2429" spans="3:11" x14ac:dyDescent="0.25">
      <c r="C2429" s="6"/>
      <c r="G2429" s="6"/>
      <c r="K2429" s="6"/>
    </row>
    <row r="2430" spans="3:11" x14ac:dyDescent="0.25">
      <c r="C2430" s="6"/>
      <c r="G2430" s="6"/>
      <c r="K2430" s="6"/>
    </row>
    <row r="2431" spans="3:11" x14ac:dyDescent="0.25">
      <c r="C2431" s="6"/>
      <c r="G2431" s="6"/>
      <c r="K2431" s="6"/>
    </row>
    <row r="2432" spans="3:11" x14ac:dyDescent="0.25">
      <c r="C2432" s="6"/>
      <c r="G2432" s="6"/>
      <c r="K2432" s="6"/>
    </row>
    <row r="2433" spans="3:11" x14ac:dyDescent="0.25">
      <c r="C2433" s="6"/>
      <c r="G2433" s="6"/>
      <c r="K2433" s="6"/>
    </row>
    <row r="2434" spans="3:11" x14ac:dyDescent="0.25">
      <c r="C2434" s="6"/>
      <c r="G2434" s="6"/>
      <c r="K2434" s="6"/>
    </row>
    <row r="2435" spans="3:11" x14ac:dyDescent="0.25">
      <c r="C2435" s="6"/>
      <c r="G2435" s="6"/>
      <c r="K2435" s="6"/>
    </row>
    <row r="2436" spans="3:11" x14ac:dyDescent="0.25">
      <c r="C2436" s="6"/>
      <c r="G2436" s="6"/>
      <c r="K2436" s="6"/>
    </row>
    <row r="2437" spans="3:11" x14ac:dyDescent="0.25">
      <c r="C2437" s="6"/>
      <c r="G2437" s="6"/>
      <c r="K2437" s="6"/>
    </row>
    <row r="2438" spans="3:11" x14ac:dyDescent="0.25">
      <c r="C2438" s="6"/>
      <c r="G2438" s="6"/>
      <c r="K2438" s="6"/>
    </row>
    <row r="2439" spans="3:11" x14ac:dyDescent="0.25">
      <c r="C2439" s="6"/>
      <c r="G2439" s="6"/>
      <c r="K2439" s="6"/>
    </row>
    <row r="2440" spans="3:11" x14ac:dyDescent="0.25">
      <c r="C2440" s="6"/>
      <c r="G2440" s="6"/>
      <c r="K2440" s="6"/>
    </row>
    <row r="2441" spans="3:11" x14ac:dyDescent="0.25">
      <c r="C2441" s="6"/>
      <c r="G2441" s="6"/>
      <c r="K2441" s="6"/>
    </row>
    <row r="2442" spans="3:11" x14ac:dyDescent="0.25">
      <c r="C2442" s="6"/>
      <c r="G2442" s="6"/>
      <c r="K2442" s="6"/>
    </row>
    <row r="2443" spans="3:11" x14ac:dyDescent="0.25">
      <c r="C2443" s="6"/>
      <c r="G2443" s="6"/>
      <c r="K2443" s="6"/>
    </row>
    <row r="2444" spans="3:11" x14ac:dyDescent="0.25">
      <c r="C2444" s="6"/>
      <c r="G2444" s="6"/>
      <c r="K2444" s="6"/>
    </row>
    <row r="2445" spans="3:11" x14ac:dyDescent="0.25">
      <c r="C2445" s="6"/>
      <c r="G2445" s="6"/>
      <c r="K2445" s="6"/>
    </row>
    <row r="2446" spans="3:11" x14ac:dyDescent="0.25">
      <c r="C2446" s="6"/>
      <c r="G2446" s="6"/>
      <c r="K2446" s="6"/>
    </row>
    <row r="2447" spans="3:11" x14ac:dyDescent="0.25">
      <c r="C2447" s="6"/>
      <c r="G2447" s="6"/>
      <c r="K2447" s="6"/>
    </row>
    <row r="2448" spans="3:11" x14ac:dyDescent="0.25">
      <c r="C2448" s="6"/>
      <c r="G2448" s="6"/>
      <c r="K2448" s="6"/>
    </row>
    <row r="2449" spans="3:11" x14ac:dyDescent="0.25">
      <c r="C2449" s="6"/>
      <c r="G2449" s="6"/>
      <c r="K2449" s="6"/>
    </row>
    <row r="2450" spans="3:11" x14ac:dyDescent="0.25">
      <c r="C2450" s="6"/>
      <c r="G2450" s="6"/>
      <c r="K2450" s="6"/>
    </row>
    <row r="2451" spans="3:11" x14ac:dyDescent="0.25">
      <c r="C2451" s="6"/>
      <c r="G2451" s="6"/>
      <c r="K2451" s="6"/>
    </row>
    <row r="2452" spans="3:11" x14ac:dyDescent="0.25">
      <c r="C2452" s="6"/>
      <c r="G2452" s="6"/>
      <c r="K2452" s="6"/>
    </row>
    <row r="2453" spans="3:11" x14ac:dyDescent="0.25">
      <c r="C2453" s="6"/>
      <c r="G2453" s="6"/>
      <c r="K2453" s="6"/>
    </row>
    <row r="2454" spans="3:11" x14ac:dyDescent="0.25">
      <c r="C2454" s="6"/>
      <c r="G2454" s="6"/>
      <c r="K2454" s="6"/>
    </row>
    <row r="2455" spans="3:11" x14ac:dyDescent="0.25">
      <c r="C2455" s="6"/>
      <c r="G2455" s="6"/>
      <c r="K2455" s="6"/>
    </row>
    <row r="2456" spans="3:11" x14ac:dyDescent="0.25">
      <c r="C2456" s="6"/>
      <c r="G2456" s="6"/>
      <c r="K2456" s="6"/>
    </row>
    <row r="2457" spans="3:11" x14ac:dyDescent="0.25">
      <c r="C2457" s="6"/>
      <c r="G2457" s="6"/>
      <c r="K2457" s="6"/>
    </row>
    <row r="2458" spans="3:11" x14ac:dyDescent="0.25">
      <c r="C2458" s="6"/>
      <c r="G2458" s="6"/>
      <c r="K2458" s="6"/>
    </row>
    <row r="2459" spans="3:11" x14ac:dyDescent="0.25">
      <c r="C2459" s="6"/>
      <c r="G2459" s="6"/>
      <c r="K2459" s="6"/>
    </row>
    <row r="2460" spans="3:11" x14ac:dyDescent="0.25">
      <c r="C2460" s="6"/>
      <c r="G2460" s="6"/>
      <c r="K2460" s="6"/>
    </row>
    <row r="2461" spans="3:11" x14ac:dyDescent="0.25">
      <c r="C2461" s="6"/>
      <c r="G2461" s="6"/>
      <c r="K2461" s="6"/>
    </row>
    <row r="2462" spans="3:11" x14ac:dyDescent="0.25">
      <c r="C2462" s="6"/>
      <c r="G2462" s="6"/>
      <c r="K2462" s="6"/>
    </row>
    <row r="2463" spans="3:11" x14ac:dyDescent="0.25">
      <c r="C2463" s="6"/>
      <c r="G2463" s="6"/>
      <c r="K2463" s="6"/>
    </row>
    <row r="2464" spans="3:11" x14ac:dyDescent="0.25">
      <c r="C2464" s="6"/>
      <c r="G2464" s="6"/>
      <c r="K2464" s="6"/>
    </row>
    <row r="2465" spans="3:11" x14ac:dyDescent="0.25">
      <c r="C2465" s="6"/>
      <c r="G2465" s="6"/>
      <c r="K2465" s="6"/>
    </row>
    <row r="2466" spans="3:11" x14ac:dyDescent="0.25">
      <c r="C2466" s="6"/>
      <c r="G2466" s="6"/>
      <c r="K2466" s="6"/>
    </row>
    <row r="2467" spans="3:11" x14ac:dyDescent="0.25">
      <c r="C2467" s="6"/>
      <c r="G2467" s="6"/>
      <c r="K2467" s="6"/>
    </row>
    <row r="2468" spans="3:11" x14ac:dyDescent="0.25">
      <c r="C2468" s="6"/>
      <c r="G2468" s="6"/>
      <c r="K2468" s="6"/>
    </row>
    <row r="2469" spans="3:11" x14ac:dyDescent="0.25">
      <c r="C2469" s="6"/>
      <c r="G2469" s="6"/>
      <c r="K2469" s="6"/>
    </row>
    <row r="2470" spans="3:11" x14ac:dyDescent="0.25">
      <c r="C2470" s="6"/>
      <c r="G2470" s="6"/>
      <c r="K2470" s="6"/>
    </row>
    <row r="2471" spans="3:11" x14ac:dyDescent="0.25">
      <c r="C2471" s="6"/>
      <c r="G2471" s="6"/>
      <c r="K2471" s="6"/>
    </row>
    <row r="2472" spans="3:11" x14ac:dyDescent="0.25">
      <c r="C2472" s="6"/>
      <c r="G2472" s="6"/>
      <c r="K2472" s="6"/>
    </row>
    <row r="2473" spans="3:11" x14ac:dyDescent="0.25">
      <c r="C2473" s="6"/>
      <c r="G2473" s="6"/>
      <c r="K2473" s="6"/>
    </row>
    <row r="2474" spans="3:11" x14ac:dyDescent="0.25">
      <c r="C2474" s="6"/>
      <c r="G2474" s="6"/>
      <c r="K2474" s="6"/>
    </row>
    <row r="2475" spans="3:11" x14ac:dyDescent="0.25">
      <c r="C2475" s="6"/>
      <c r="G2475" s="6"/>
      <c r="K2475" s="6"/>
    </row>
    <row r="2476" spans="3:11" x14ac:dyDescent="0.25">
      <c r="C2476" s="6"/>
      <c r="G2476" s="6"/>
      <c r="K2476" s="6"/>
    </row>
    <row r="2477" spans="3:11" x14ac:dyDescent="0.25">
      <c r="C2477" s="6"/>
      <c r="G2477" s="6"/>
      <c r="K2477" s="6"/>
    </row>
    <row r="2478" spans="3:11" x14ac:dyDescent="0.25">
      <c r="C2478" s="6"/>
      <c r="G2478" s="6"/>
      <c r="K2478" s="6"/>
    </row>
    <row r="2479" spans="3:11" x14ac:dyDescent="0.25">
      <c r="C2479" s="6"/>
      <c r="G2479" s="6"/>
      <c r="K2479" s="6"/>
    </row>
    <row r="2480" spans="3:11" x14ac:dyDescent="0.25">
      <c r="C2480" s="6"/>
      <c r="G2480" s="6"/>
      <c r="K2480" s="6"/>
    </row>
    <row r="2481" spans="3:11" x14ac:dyDescent="0.25">
      <c r="C2481" s="6"/>
      <c r="G2481" s="6"/>
      <c r="K2481" s="6"/>
    </row>
    <row r="2482" spans="3:11" x14ac:dyDescent="0.25">
      <c r="C2482" s="6"/>
      <c r="G2482" s="6"/>
      <c r="K2482" s="6"/>
    </row>
    <row r="2483" spans="3:11" x14ac:dyDescent="0.25">
      <c r="C2483" s="6"/>
      <c r="G2483" s="6"/>
      <c r="K2483" s="6"/>
    </row>
    <row r="2484" spans="3:11" x14ac:dyDescent="0.25">
      <c r="C2484" s="6"/>
      <c r="G2484" s="6"/>
      <c r="K2484" s="6"/>
    </row>
    <row r="2485" spans="3:11" x14ac:dyDescent="0.25">
      <c r="C2485" s="6"/>
      <c r="G2485" s="6"/>
      <c r="K2485" s="6"/>
    </row>
    <row r="2486" spans="3:11" x14ac:dyDescent="0.25">
      <c r="C2486" s="6"/>
      <c r="G2486" s="6"/>
      <c r="K2486" s="6"/>
    </row>
    <row r="2487" spans="3:11" x14ac:dyDescent="0.25">
      <c r="C2487" s="6"/>
      <c r="G2487" s="6"/>
      <c r="K2487" s="6"/>
    </row>
    <row r="2488" spans="3:11" x14ac:dyDescent="0.25">
      <c r="C2488" s="6"/>
      <c r="G2488" s="6"/>
      <c r="K2488" s="6"/>
    </row>
    <row r="2489" spans="3:11" x14ac:dyDescent="0.25">
      <c r="C2489" s="6"/>
      <c r="G2489" s="6"/>
      <c r="K2489" s="6"/>
    </row>
    <row r="2490" spans="3:11" x14ac:dyDescent="0.25">
      <c r="C2490" s="6"/>
      <c r="G2490" s="6"/>
      <c r="K2490" s="6"/>
    </row>
    <row r="2491" spans="3:11" x14ac:dyDescent="0.25">
      <c r="C2491" s="6"/>
      <c r="G2491" s="6"/>
      <c r="K2491" s="6"/>
    </row>
    <row r="2492" spans="3:11" x14ac:dyDescent="0.25">
      <c r="C2492" s="6"/>
      <c r="G2492" s="6"/>
      <c r="K2492" s="6"/>
    </row>
    <row r="2493" spans="3:11" x14ac:dyDescent="0.25">
      <c r="C2493" s="6"/>
      <c r="G2493" s="6"/>
      <c r="K2493" s="6"/>
    </row>
    <row r="2494" spans="3:11" x14ac:dyDescent="0.25">
      <c r="C2494" s="6"/>
      <c r="G2494" s="6"/>
      <c r="K2494" s="6"/>
    </row>
    <row r="2495" spans="3:11" x14ac:dyDescent="0.25">
      <c r="C2495" s="6"/>
      <c r="G2495" s="6"/>
      <c r="K2495" s="6"/>
    </row>
    <row r="2496" spans="3:11" x14ac:dyDescent="0.25">
      <c r="C2496" s="6"/>
      <c r="G2496" s="6"/>
      <c r="K2496" s="6"/>
    </row>
    <row r="2497" spans="3:11" x14ac:dyDescent="0.25">
      <c r="C2497" s="6"/>
      <c r="G2497" s="6"/>
      <c r="K2497" s="6"/>
    </row>
    <row r="2498" spans="3:11" x14ac:dyDescent="0.25">
      <c r="C2498" s="6"/>
      <c r="G2498" s="6"/>
      <c r="K2498" s="6"/>
    </row>
    <row r="2499" spans="3:11" x14ac:dyDescent="0.25">
      <c r="C2499" s="6"/>
      <c r="G2499" s="6"/>
      <c r="K2499" s="6"/>
    </row>
    <row r="2500" spans="3:11" x14ac:dyDescent="0.25">
      <c r="C2500" s="6"/>
      <c r="G2500" s="6"/>
      <c r="K2500" s="6"/>
    </row>
    <row r="2501" spans="3:11" x14ac:dyDescent="0.25">
      <c r="C2501" s="6"/>
      <c r="G2501" s="6"/>
      <c r="K2501" s="6"/>
    </row>
    <row r="2502" spans="3:11" x14ac:dyDescent="0.25">
      <c r="C2502" s="6"/>
      <c r="G2502" s="6"/>
      <c r="K2502" s="6"/>
    </row>
    <row r="2503" spans="3:11" x14ac:dyDescent="0.25">
      <c r="C2503" s="6"/>
      <c r="G2503" s="6"/>
      <c r="K2503" s="6"/>
    </row>
    <row r="2504" spans="3:11" x14ac:dyDescent="0.25">
      <c r="C2504" s="6"/>
      <c r="G2504" s="6"/>
      <c r="K2504" s="6"/>
    </row>
    <row r="2505" spans="3:11" x14ac:dyDescent="0.25">
      <c r="C2505" s="6"/>
      <c r="G2505" s="6"/>
      <c r="K2505" s="6"/>
    </row>
    <row r="2506" spans="3:11" x14ac:dyDescent="0.25">
      <c r="C2506" s="6"/>
      <c r="G2506" s="6"/>
      <c r="K2506" s="6"/>
    </row>
    <row r="2507" spans="3:11" x14ac:dyDescent="0.25">
      <c r="C2507" s="6"/>
      <c r="G2507" s="6"/>
      <c r="K2507" s="6"/>
    </row>
    <row r="2508" spans="3:11" x14ac:dyDescent="0.25">
      <c r="C2508" s="6"/>
      <c r="G2508" s="6"/>
      <c r="K2508" s="6"/>
    </row>
    <row r="2509" spans="3:11" x14ac:dyDescent="0.25">
      <c r="C2509" s="6"/>
      <c r="G2509" s="6"/>
      <c r="K2509" s="6"/>
    </row>
    <row r="2510" spans="3:11" x14ac:dyDescent="0.25">
      <c r="C2510" s="6"/>
      <c r="G2510" s="6"/>
      <c r="K2510" s="6"/>
    </row>
    <row r="2511" spans="3:11" x14ac:dyDescent="0.25">
      <c r="C2511" s="6"/>
      <c r="G2511" s="6"/>
      <c r="K2511" s="6"/>
    </row>
    <row r="2512" spans="3:11" x14ac:dyDescent="0.25">
      <c r="C2512" s="6"/>
      <c r="G2512" s="6"/>
      <c r="K2512" s="6"/>
    </row>
    <row r="2513" spans="3:11" x14ac:dyDescent="0.25">
      <c r="C2513" s="6"/>
      <c r="G2513" s="6"/>
      <c r="K2513" s="6"/>
    </row>
    <row r="2514" spans="3:11" x14ac:dyDescent="0.25">
      <c r="C2514" s="6"/>
      <c r="G2514" s="6"/>
      <c r="K2514" s="6"/>
    </row>
    <row r="2515" spans="3:11" x14ac:dyDescent="0.25">
      <c r="C2515" s="6"/>
      <c r="G2515" s="6"/>
      <c r="K2515" s="6"/>
    </row>
    <row r="2516" spans="3:11" x14ac:dyDescent="0.25">
      <c r="C2516" s="6"/>
      <c r="G2516" s="6"/>
      <c r="K2516" s="6"/>
    </row>
    <row r="2517" spans="3:11" x14ac:dyDescent="0.25">
      <c r="C2517" s="6"/>
      <c r="G2517" s="6"/>
      <c r="K2517" s="6"/>
    </row>
    <row r="2518" spans="3:11" x14ac:dyDescent="0.25">
      <c r="C2518" s="6"/>
      <c r="G2518" s="6"/>
      <c r="K2518" s="6"/>
    </row>
    <row r="2519" spans="3:11" x14ac:dyDescent="0.25">
      <c r="C2519" s="6"/>
      <c r="G2519" s="6"/>
      <c r="K2519" s="6"/>
    </row>
    <row r="2520" spans="3:11" x14ac:dyDescent="0.25">
      <c r="C2520" s="6"/>
      <c r="G2520" s="6"/>
      <c r="K2520" s="6"/>
    </row>
    <row r="2521" spans="3:11" x14ac:dyDescent="0.25">
      <c r="C2521" s="6"/>
      <c r="G2521" s="6"/>
      <c r="K2521" s="6"/>
    </row>
    <row r="2522" spans="3:11" x14ac:dyDescent="0.25">
      <c r="C2522" s="6"/>
      <c r="G2522" s="6"/>
      <c r="K2522" s="6"/>
    </row>
    <row r="2523" spans="3:11" x14ac:dyDescent="0.25">
      <c r="C2523" s="6"/>
      <c r="G2523" s="6"/>
      <c r="K2523" s="6"/>
    </row>
    <row r="2524" spans="3:11" x14ac:dyDescent="0.25">
      <c r="C2524" s="6"/>
      <c r="G2524" s="6"/>
      <c r="K2524" s="6"/>
    </row>
    <row r="2525" spans="3:11" x14ac:dyDescent="0.25">
      <c r="C2525" s="6"/>
      <c r="G2525" s="6"/>
      <c r="K2525" s="6"/>
    </row>
    <row r="2526" spans="3:11" x14ac:dyDescent="0.25">
      <c r="C2526" s="6"/>
      <c r="G2526" s="6"/>
      <c r="K2526" s="6"/>
    </row>
    <row r="2527" spans="3:11" x14ac:dyDescent="0.25">
      <c r="C2527" s="6"/>
      <c r="G2527" s="6"/>
      <c r="K2527" s="6"/>
    </row>
    <row r="2528" spans="3:11" x14ac:dyDescent="0.25">
      <c r="C2528" s="6"/>
      <c r="G2528" s="6"/>
      <c r="K2528" s="6"/>
    </row>
    <row r="2529" spans="3:11" x14ac:dyDescent="0.25">
      <c r="C2529" s="6"/>
      <c r="G2529" s="6"/>
      <c r="K2529" s="6"/>
    </row>
    <row r="2530" spans="3:11" x14ac:dyDescent="0.25">
      <c r="C2530" s="6"/>
      <c r="G2530" s="6"/>
      <c r="K2530" s="6"/>
    </row>
    <row r="2531" spans="3:11" x14ac:dyDescent="0.25">
      <c r="C2531" s="6"/>
      <c r="G2531" s="6"/>
      <c r="K2531" s="6"/>
    </row>
    <row r="2532" spans="3:11" x14ac:dyDescent="0.25">
      <c r="C2532" s="6"/>
      <c r="G2532" s="6"/>
      <c r="K2532" s="6"/>
    </row>
    <row r="2533" spans="3:11" x14ac:dyDescent="0.25">
      <c r="C2533" s="6"/>
      <c r="G2533" s="6"/>
      <c r="K2533" s="6"/>
    </row>
    <row r="2534" spans="3:11" x14ac:dyDescent="0.25">
      <c r="C2534" s="6"/>
      <c r="G2534" s="6"/>
      <c r="K2534" s="6"/>
    </row>
    <row r="2535" spans="3:11" x14ac:dyDescent="0.25">
      <c r="C2535" s="6"/>
      <c r="G2535" s="6"/>
      <c r="K2535" s="6"/>
    </row>
    <row r="2536" spans="3:11" x14ac:dyDescent="0.25">
      <c r="C2536" s="6"/>
      <c r="G2536" s="6"/>
      <c r="K2536" s="6"/>
    </row>
    <row r="2537" spans="3:11" x14ac:dyDescent="0.25">
      <c r="C2537" s="6"/>
      <c r="G2537" s="6"/>
      <c r="K2537" s="6"/>
    </row>
    <row r="2538" spans="3:11" x14ac:dyDescent="0.25">
      <c r="C2538" s="6"/>
      <c r="G2538" s="6"/>
      <c r="K2538" s="6"/>
    </row>
    <row r="2539" spans="3:11" x14ac:dyDescent="0.25">
      <c r="C2539" s="6"/>
      <c r="G2539" s="6"/>
      <c r="K2539" s="6"/>
    </row>
    <row r="2540" spans="3:11" x14ac:dyDescent="0.25">
      <c r="C2540" s="6"/>
      <c r="G2540" s="6"/>
      <c r="K2540" s="6"/>
    </row>
    <row r="2541" spans="3:11" x14ac:dyDescent="0.25">
      <c r="C2541" s="6"/>
      <c r="G2541" s="6"/>
      <c r="K2541" s="6"/>
    </row>
    <row r="2542" spans="3:11" x14ac:dyDescent="0.25">
      <c r="C2542" s="6"/>
      <c r="G2542" s="6"/>
      <c r="K2542" s="6"/>
    </row>
    <row r="2543" spans="3:11" x14ac:dyDescent="0.25">
      <c r="C2543" s="6"/>
      <c r="G2543" s="6"/>
      <c r="K2543" s="6"/>
    </row>
    <row r="2544" spans="3:11" x14ac:dyDescent="0.25">
      <c r="C2544" s="6"/>
      <c r="G2544" s="6"/>
      <c r="K2544" s="6"/>
    </row>
    <row r="2545" spans="3:11" x14ac:dyDescent="0.25">
      <c r="C2545" s="6"/>
      <c r="G2545" s="6"/>
      <c r="K2545" s="6"/>
    </row>
    <row r="2546" spans="3:11" x14ac:dyDescent="0.25">
      <c r="C2546" s="6"/>
      <c r="G2546" s="6"/>
      <c r="K2546" s="6"/>
    </row>
    <row r="2547" spans="3:11" x14ac:dyDescent="0.25">
      <c r="C2547" s="6"/>
      <c r="G2547" s="6"/>
      <c r="K2547" s="6"/>
    </row>
    <row r="2548" spans="3:11" x14ac:dyDescent="0.25">
      <c r="C2548" s="6"/>
      <c r="G2548" s="6"/>
      <c r="K2548" s="6"/>
    </row>
    <row r="2549" spans="3:11" x14ac:dyDescent="0.25">
      <c r="C2549" s="6"/>
      <c r="G2549" s="6"/>
      <c r="K2549" s="6"/>
    </row>
    <row r="2550" spans="3:11" x14ac:dyDescent="0.25">
      <c r="C2550" s="6"/>
      <c r="G2550" s="6"/>
      <c r="K2550" s="6"/>
    </row>
    <row r="2551" spans="3:11" x14ac:dyDescent="0.25">
      <c r="C2551" s="6"/>
      <c r="G2551" s="6"/>
      <c r="K2551" s="6"/>
    </row>
    <row r="2552" spans="3:11" x14ac:dyDescent="0.25">
      <c r="C2552" s="6"/>
      <c r="G2552" s="6"/>
      <c r="K2552" s="6"/>
    </row>
    <row r="2553" spans="3:11" x14ac:dyDescent="0.25">
      <c r="C2553" s="6"/>
      <c r="G2553" s="6"/>
      <c r="K2553" s="6"/>
    </row>
    <row r="2554" spans="3:11" x14ac:dyDescent="0.25">
      <c r="C2554" s="6"/>
      <c r="G2554" s="6"/>
      <c r="K2554" s="6"/>
    </row>
    <row r="2555" spans="3:11" x14ac:dyDescent="0.25">
      <c r="C2555" s="6"/>
      <c r="G2555" s="6"/>
      <c r="K2555" s="6"/>
    </row>
    <row r="2556" spans="3:11" x14ac:dyDescent="0.25">
      <c r="C2556" s="6"/>
      <c r="G2556" s="6"/>
      <c r="K2556" s="6"/>
    </row>
    <row r="2557" spans="3:11" x14ac:dyDescent="0.25">
      <c r="C2557" s="6"/>
      <c r="G2557" s="6"/>
      <c r="K2557" s="6"/>
    </row>
    <row r="2558" spans="3:11" x14ac:dyDescent="0.25">
      <c r="C2558" s="6"/>
      <c r="G2558" s="6"/>
      <c r="K2558" s="6"/>
    </row>
    <row r="2559" spans="3:11" x14ac:dyDescent="0.25">
      <c r="C2559" s="6"/>
      <c r="G2559" s="6"/>
      <c r="K2559" s="6"/>
    </row>
    <row r="2560" spans="3:11" x14ac:dyDescent="0.25">
      <c r="C2560" s="6"/>
      <c r="G2560" s="6"/>
      <c r="K2560" s="6"/>
    </row>
    <row r="2561" spans="3:11" x14ac:dyDescent="0.25">
      <c r="C2561" s="6"/>
      <c r="G2561" s="6"/>
      <c r="K2561" s="6"/>
    </row>
    <row r="2562" spans="3:11" x14ac:dyDescent="0.25">
      <c r="C2562" s="6"/>
      <c r="G2562" s="6"/>
      <c r="K2562" s="6"/>
    </row>
    <row r="2563" spans="3:11" x14ac:dyDescent="0.25">
      <c r="C2563" s="6"/>
      <c r="G2563" s="6"/>
      <c r="K2563" s="6"/>
    </row>
    <row r="2564" spans="3:11" x14ac:dyDescent="0.25">
      <c r="C2564" s="6"/>
      <c r="G2564" s="6"/>
      <c r="K2564" s="6"/>
    </row>
    <row r="2565" spans="3:11" x14ac:dyDescent="0.25">
      <c r="C2565" s="6"/>
      <c r="G2565" s="6"/>
      <c r="K2565" s="6"/>
    </row>
    <row r="2566" spans="3:11" x14ac:dyDescent="0.25">
      <c r="C2566" s="6"/>
      <c r="G2566" s="6"/>
      <c r="K2566" s="6"/>
    </row>
    <row r="2567" spans="3:11" x14ac:dyDescent="0.25">
      <c r="C2567" s="6"/>
      <c r="G2567" s="6"/>
      <c r="K2567" s="6"/>
    </row>
    <row r="2568" spans="3:11" x14ac:dyDescent="0.25">
      <c r="C2568" s="6"/>
      <c r="G2568" s="6"/>
      <c r="K2568" s="6"/>
    </row>
    <row r="2569" spans="3:11" x14ac:dyDescent="0.25">
      <c r="C2569" s="6"/>
      <c r="G2569" s="6"/>
      <c r="K2569" s="6"/>
    </row>
    <row r="2570" spans="3:11" x14ac:dyDescent="0.25">
      <c r="C2570" s="6"/>
      <c r="G2570" s="6"/>
      <c r="K2570" s="6"/>
    </row>
    <row r="2571" spans="3:11" x14ac:dyDescent="0.25">
      <c r="C2571" s="6"/>
      <c r="G2571" s="6"/>
      <c r="K2571" s="6"/>
    </row>
    <row r="2572" spans="3:11" x14ac:dyDescent="0.25">
      <c r="C2572" s="6"/>
      <c r="G2572" s="6"/>
      <c r="K2572" s="6"/>
    </row>
    <row r="2573" spans="3:11" x14ac:dyDescent="0.25">
      <c r="C2573" s="6"/>
      <c r="G2573" s="6"/>
      <c r="K2573" s="6"/>
    </row>
    <row r="2574" spans="3:11" x14ac:dyDescent="0.25">
      <c r="C2574" s="6"/>
      <c r="G2574" s="6"/>
      <c r="K2574" s="6"/>
    </row>
    <row r="2575" spans="3:11" x14ac:dyDescent="0.25">
      <c r="C2575" s="6"/>
      <c r="G2575" s="6"/>
      <c r="K2575" s="6"/>
    </row>
    <row r="2576" spans="3:11" x14ac:dyDescent="0.25">
      <c r="C2576" s="6"/>
      <c r="G2576" s="6"/>
      <c r="K2576" s="6"/>
    </row>
    <row r="2577" spans="3:11" x14ac:dyDescent="0.25">
      <c r="C2577" s="6"/>
      <c r="G2577" s="6"/>
      <c r="K2577" s="6"/>
    </row>
    <row r="2578" spans="3:11" x14ac:dyDescent="0.25">
      <c r="C2578" s="6"/>
      <c r="G2578" s="6"/>
      <c r="K2578" s="6"/>
    </row>
    <row r="2579" spans="3:11" x14ac:dyDescent="0.25">
      <c r="C2579" s="6"/>
      <c r="G2579" s="6"/>
      <c r="K2579" s="6"/>
    </row>
    <row r="2580" spans="3:11" x14ac:dyDescent="0.25">
      <c r="C2580" s="6"/>
      <c r="G2580" s="6"/>
      <c r="K2580" s="6"/>
    </row>
    <row r="2581" spans="3:11" x14ac:dyDescent="0.25">
      <c r="C2581" s="6"/>
      <c r="G2581" s="6"/>
      <c r="K2581" s="6"/>
    </row>
    <row r="2582" spans="3:11" x14ac:dyDescent="0.25">
      <c r="C2582" s="6"/>
      <c r="G2582" s="6"/>
      <c r="K2582" s="6"/>
    </row>
    <row r="2583" spans="3:11" x14ac:dyDescent="0.25">
      <c r="C2583" s="6"/>
      <c r="G2583" s="6"/>
      <c r="K2583" s="6"/>
    </row>
    <row r="2584" spans="3:11" x14ac:dyDescent="0.25">
      <c r="C2584" s="6"/>
      <c r="G2584" s="6"/>
      <c r="K2584" s="6"/>
    </row>
    <row r="2585" spans="3:11" x14ac:dyDescent="0.25">
      <c r="C2585" s="6"/>
      <c r="G2585" s="6"/>
      <c r="K2585" s="6"/>
    </row>
    <row r="2586" spans="3:11" x14ac:dyDescent="0.25">
      <c r="C2586" s="6"/>
      <c r="G2586" s="6"/>
      <c r="K2586" s="6"/>
    </row>
    <row r="2587" spans="3:11" x14ac:dyDescent="0.25">
      <c r="C2587" s="6"/>
      <c r="G2587" s="6"/>
      <c r="K2587" s="6"/>
    </row>
    <row r="2588" spans="3:11" x14ac:dyDescent="0.25">
      <c r="C2588" s="6"/>
      <c r="G2588" s="6"/>
      <c r="K2588" s="6"/>
    </row>
    <row r="2589" spans="3:11" x14ac:dyDescent="0.25">
      <c r="C2589" s="6"/>
      <c r="G2589" s="6"/>
      <c r="K2589" s="6"/>
    </row>
    <row r="2590" spans="3:11" x14ac:dyDescent="0.25">
      <c r="C2590" s="6"/>
      <c r="G2590" s="6"/>
      <c r="K2590" s="6"/>
    </row>
    <row r="2591" spans="3:11" x14ac:dyDescent="0.25">
      <c r="C2591" s="6"/>
      <c r="G2591" s="6"/>
      <c r="K2591" s="6"/>
    </row>
    <row r="2592" spans="3:11" x14ac:dyDescent="0.25">
      <c r="C2592" s="6"/>
      <c r="G2592" s="6"/>
      <c r="K2592" s="6"/>
    </row>
    <row r="2593" spans="3:11" x14ac:dyDescent="0.25">
      <c r="C2593" s="6"/>
      <c r="G2593" s="6"/>
      <c r="K2593" s="6"/>
    </row>
    <row r="2594" spans="3:11" x14ac:dyDescent="0.25">
      <c r="C2594" s="6"/>
      <c r="G2594" s="6"/>
      <c r="K2594" s="6"/>
    </row>
    <row r="2595" spans="3:11" x14ac:dyDescent="0.25">
      <c r="C2595" s="6"/>
      <c r="G2595" s="6"/>
      <c r="K2595" s="6"/>
    </row>
    <row r="2596" spans="3:11" x14ac:dyDescent="0.25">
      <c r="C2596" s="6"/>
      <c r="G2596" s="6"/>
      <c r="K2596" s="6"/>
    </row>
    <row r="2597" spans="3:11" x14ac:dyDescent="0.25">
      <c r="C2597" s="6"/>
      <c r="G2597" s="6"/>
      <c r="K2597" s="6"/>
    </row>
    <row r="2598" spans="3:11" x14ac:dyDescent="0.25">
      <c r="C2598" s="6"/>
      <c r="G2598" s="6"/>
      <c r="K2598" s="6"/>
    </row>
    <row r="2599" spans="3:11" x14ac:dyDescent="0.25">
      <c r="C2599" s="6"/>
      <c r="G2599" s="6"/>
      <c r="K2599" s="6"/>
    </row>
    <row r="2600" spans="3:11" x14ac:dyDescent="0.25">
      <c r="C2600" s="6"/>
      <c r="G2600" s="6"/>
      <c r="K2600" s="6"/>
    </row>
    <row r="2601" spans="3:11" x14ac:dyDescent="0.25">
      <c r="C2601" s="6"/>
      <c r="G2601" s="6"/>
      <c r="K2601" s="6"/>
    </row>
    <row r="2602" spans="3:11" x14ac:dyDescent="0.25">
      <c r="C2602" s="6"/>
      <c r="G2602" s="6"/>
      <c r="K2602" s="6"/>
    </row>
    <row r="2603" spans="3:11" x14ac:dyDescent="0.25">
      <c r="C2603" s="6"/>
      <c r="G2603" s="6"/>
      <c r="K2603" s="6"/>
    </row>
    <row r="2604" spans="3:11" x14ac:dyDescent="0.25">
      <c r="C2604" s="6"/>
      <c r="G2604" s="6"/>
      <c r="K2604" s="6"/>
    </row>
    <row r="2605" spans="3:11" x14ac:dyDescent="0.25">
      <c r="C2605" s="6"/>
      <c r="G2605" s="6"/>
      <c r="K2605" s="6"/>
    </row>
    <row r="2606" spans="3:11" x14ac:dyDescent="0.25">
      <c r="C2606" s="6"/>
      <c r="G2606" s="6"/>
      <c r="K2606" s="6"/>
    </row>
    <row r="2607" spans="3:11" x14ac:dyDescent="0.25">
      <c r="C2607" s="6"/>
      <c r="G2607" s="6"/>
      <c r="K2607" s="6"/>
    </row>
    <row r="2608" spans="3:11" x14ac:dyDescent="0.25">
      <c r="C2608" s="6"/>
      <c r="G2608" s="6"/>
      <c r="K2608" s="6"/>
    </row>
    <row r="2609" spans="3:11" x14ac:dyDescent="0.25">
      <c r="C2609" s="6"/>
      <c r="G2609" s="6"/>
      <c r="K2609" s="6"/>
    </row>
    <row r="2610" spans="3:11" x14ac:dyDescent="0.25">
      <c r="C2610" s="6"/>
      <c r="G2610" s="6"/>
      <c r="K2610" s="6"/>
    </row>
    <row r="2611" spans="3:11" x14ac:dyDescent="0.25">
      <c r="C2611" s="6"/>
      <c r="G2611" s="6"/>
      <c r="K2611" s="6"/>
    </row>
    <row r="2612" spans="3:11" x14ac:dyDescent="0.25">
      <c r="C2612" s="6"/>
      <c r="G2612" s="6"/>
      <c r="K2612" s="6"/>
    </row>
    <row r="2613" spans="3:11" x14ac:dyDescent="0.25">
      <c r="C2613" s="6"/>
      <c r="G2613" s="6"/>
      <c r="K2613" s="6"/>
    </row>
    <row r="2614" spans="3:11" x14ac:dyDescent="0.25">
      <c r="C2614" s="6"/>
      <c r="G2614" s="6"/>
      <c r="K2614" s="6"/>
    </row>
    <row r="2615" spans="3:11" x14ac:dyDescent="0.25">
      <c r="C2615" s="6"/>
      <c r="G2615" s="6"/>
      <c r="K2615" s="6"/>
    </row>
    <row r="2616" spans="3:11" x14ac:dyDescent="0.25">
      <c r="C2616" s="6"/>
      <c r="G2616" s="6"/>
      <c r="K2616" s="6"/>
    </row>
    <row r="2617" spans="3:11" x14ac:dyDescent="0.25">
      <c r="C2617" s="6"/>
      <c r="G2617" s="6"/>
      <c r="K2617" s="6"/>
    </row>
    <row r="2618" spans="3:11" x14ac:dyDescent="0.25">
      <c r="C2618" s="6"/>
      <c r="G2618" s="6"/>
      <c r="K2618" s="6"/>
    </row>
    <row r="2619" spans="3:11" x14ac:dyDescent="0.25">
      <c r="C2619" s="6"/>
      <c r="G2619" s="6"/>
      <c r="K2619" s="6"/>
    </row>
    <row r="2620" spans="3:11" x14ac:dyDescent="0.25">
      <c r="C2620" s="6"/>
      <c r="G2620" s="6"/>
      <c r="K2620" s="6"/>
    </row>
    <row r="2621" spans="3:11" x14ac:dyDescent="0.25">
      <c r="C2621" s="6"/>
      <c r="G2621" s="6"/>
      <c r="K2621" s="6"/>
    </row>
    <row r="2622" spans="3:11" x14ac:dyDescent="0.25">
      <c r="C2622" s="6"/>
      <c r="G2622" s="6"/>
      <c r="K2622" s="6"/>
    </row>
    <row r="2623" spans="3:11" x14ac:dyDescent="0.25">
      <c r="C2623" s="6"/>
      <c r="G2623" s="6"/>
      <c r="K2623" s="6"/>
    </row>
    <row r="2624" spans="3:11" x14ac:dyDescent="0.25">
      <c r="C2624" s="6"/>
      <c r="G2624" s="6"/>
      <c r="K2624" s="6"/>
    </row>
    <row r="2625" spans="3:11" x14ac:dyDescent="0.25">
      <c r="C2625" s="6"/>
      <c r="G2625" s="6"/>
      <c r="K2625" s="6"/>
    </row>
    <row r="2626" spans="3:11" x14ac:dyDescent="0.25">
      <c r="C2626" s="6"/>
      <c r="G2626" s="6"/>
      <c r="K2626" s="6"/>
    </row>
    <row r="2627" spans="3:11" x14ac:dyDescent="0.25">
      <c r="C2627" s="6"/>
      <c r="G2627" s="6"/>
      <c r="K2627" s="6"/>
    </row>
    <row r="2628" spans="3:11" x14ac:dyDescent="0.25">
      <c r="C2628" s="6"/>
      <c r="G2628" s="6"/>
      <c r="K2628" s="6"/>
    </row>
    <row r="2629" spans="3:11" x14ac:dyDescent="0.25">
      <c r="C2629" s="6"/>
      <c r="G2629" s="6"/>
      <c r="K2629" s="6"/>
    </row>
    <row r="2630" spans="3:11" x14ac:dyDescent="0.25">
      <c r="C2630" s="6"/>
      <c r="G2630" s="6"/>
      <c r="K2630" s="6"/>
    </row>
    <row r="2631" spans="3:11" x14ac:dyDescent="0.25">
      <c r="C2631" s="6"/>
      <c r="G2631" s="6"/>
      <c r="K2631" s="6"/>
    </row>
    <row r="2632" spans="3:11" x14ac:dyDescent="0.25">
      <c r="C2632" s="6"/>
      <c r="G2632" s="6"/>
      <c r="K2632" s="6"/>
    </row>
    <row r="2633" spans="3:11" x14ac:dyDescent="0.25">
      <c r="C2633" s="6"/>
      <c r="G2633" s="6"/>
      <c r="K2633" s="6"/>
    </row>
    <row r="2634" spans="3:11" x14ac:dyDescent="0.25">
      <c r="C2634" s="6"/>
      <c r="G2634" s="6"/>
      <c r="K2634" s="6"/>
    </row>
    <row r="2635" spans="3:11" x14ac:dyDescent="0.25">
      <c r="C2635" s="6"/>
      <c r="G2635" s="6"/>
      <c r="K2635" s="6"/>
    </row>
    <row r="2636" spans="3:11" x14ac:dyDescent="0.25">
      <c r="C2636" s="6"/>
      <c r="G2636" s="6"/>
      <c r="K2636" s="6"/>
    </row>
    <row r="2637" spans="3:11" x14ac:dyDescent="0.25">
      <c r="C2637" s="6"/>
      <c r="G2637" s="6"/>
      <c r="K2637" s="6"/>
    </row>
    <row r="2638" spans="3:11" x14ac:dyDescent="0.25">
      <c r="C2638" s="6"/>
      <c r="G2638" s="6"/>
      <c r="K2638" s="6"/>
    </row>
    <row r="2639" spans="3:11" x14ac:dyDescent="0.25">
      <c r="C2639" s="6"/>
      <c r="G2639" s="6"/>
      <c r="K2639" s="6"/>
    </row>
    <row r="2640" spans="3:11" x14ac:dyDescent="0.25">
      <c r="C2640" s="6"/>
      <c r="G2640" s="6"/>
      <c r="K2640" s="6"/>
    </row>
    <row r="2641" spans="3:11" x14ac:dyDescent="0.25">
      <c r="C2641" s="6"/>
      <c r="G2641" s="6"/>
      <c r="K2641" s="6"/>
    </row>
    <row r="2642" spans="3:11" x14ac:dyDescent="0.25">
      <c r="C2642" s="6"/>
      <c r="G2642" s="6"/>
      <c r="K2642" s="6"/>
    </row>
    <row r="2643" spans="3:11" x14ac:dyDescent="0.25">
      <c r="C2643" s="6"/>
      <c r="G2643" s="6"/>
      <c r="K2643" s="6"/>
    </row>
    <row r="2644" spans="3:11" x14ac:dyDescent="0.25">
      <c r="C2644" s="6"/>
      <c r="G2644" s="6"/>
      <c r="K2644" s="6"/>
    </row>
    <row r="2645" spans="3:11" x14ac:dyDescent="0.25">
      <c r="C2645" s="6"/>
      <c r="G2645" s="6"/>
      <c r="K2645" s="6"/>
    </row>
    <row r="2646" spans="3:11" x14ac:dyDescent="0.25">
      <c r="C2646" s="6"/>
      <c r="G2646" s="6"/>
      <c r="K2646" s="6"/>
    </row>
    <row r="2647" spans="3:11" x14ac:dyDescent="0.25">
      <c r="C2647" s="6"/>
      <c r="G2647" s="6"/>
      <c r="K2647" s="6"/>
    </row>
    <row r="2648" spans="3:11" x14ac:dyDescent="0.25">
      <c r="C2648" s="6"/>
      <c r="G2648" s="6"/>
      <c r="K2648" s="6"/>
    </row>
    <row r="2649" spans="3:11" x14ac:dyDescent="0.25">
      <c r="C2649" s="6"/>
      <c r="G2649" s="6"/>
      <c r="K2649" s="6"/>
    </row>
    <row r="2650" spans="3:11" x14ac:dyDescent="0.25">
      <c r="C2650" s="6"/>
      <c r="G2650" s="6"/>
      <c r="K2650" s="6"/>
    </row>
    <row r="2651" spans="3:11" x14ac:dyDescent="0.25">
      <c r="C2651" s="6"/>
      <c r="G2651" s="6"/>
      <c r="K2651" s="6"/>
    </row>
    <row r="2652" spans="3:11" x14ac:dyDescent="0.25">
      <c r="C2652" s="6"/>
      <c r="G2652" s="6"/>
      <c r="K2652" s="6"/>
    </row>
    <row r="2653" spans="3:11" x14ac:dyDescent="0.25">
      <c r="C2653" s="6"/>
      <c r="G2653" s="6"/>
      <c r="K2653" s="6"/>
    </row>
    <row r="2654" spans="3:11" x14ac:dyDescent="0.25">
      <c r="C2654" s="6"/>
      <c r="G2654" s="6"/>
      <c r="K2654" s="6"/>
    </row>
    <row r="2655" spans="3:11" x14ac:dyDescent="0.25">
      <c r="C2655" s="6"/>
      <c r="G2655" s="6"/>
      <c r="K2655" s="6"/>
    </row>
    <row r="2656" spans="3:11" x14ac:dyDescent="0.25">
      <c r="C2656" s="6"/>
      <c r="G2656" s="6"/>
      <c r="K2656" s="6"/>
    </row>
    <row r="2657" spans="3:11" x14ac:dyDescent="0.25">
      <c r="C2657" s="6"/>
      <c r="G2657" s="6"/>
      <c r="K2657" s="6"/>
    </row>
    <row r="2658" spans="3:11" x14ac:dyDescent="0.25">
      <c r="C2658" s="6"/>
      <c r="G2658" s="6"/>
      <c r="K2658" s="6"/>
    </row>
    <row r="2659" spans="3:11" x14ac:dyDescent="0.25">
      <c r="C2659" s="6"/>
      <c r="G2659" s="6"/>
      <c r="K2659" s="6"/>
    </row>
    <row r="2660" spans="3:11" x14ac:dyDescent="0.25">
      <c r="C2660" s="6"/>
      <c r="G2660" s="6"/>
      <c r="K2660" s="6"/>
    </row>
    <row r="2661" spans="3:11" x14ac:dyDescent="0.25">
      <c r="C2661" s="6"/>
      <c r="G2661" s="6"/>
      <c r="K2661" s="6"/>
    </row>
    <row r="2662" spans="3:11" x14ac:dyDescent="0.25">
      <c r="C2662" s="6"/>
      <c r="G2662" s="6"/>
      <c r="K2662" s="6"/>
    </row>
    <row r="2663" spans="3:11" x14ac:dyDescent="0.25">
      <c r="C2663" s="6"/>
      <c r="G2663" s="6"/>
      <c r="K2663" s="6"/>
    </row>
    <row r="2664" spans="3:11" x14ac:dyDescent="0.25">
      <c r="C2664" s="6"/>
      <c r="G2664" s="6"/>
      <c r="K2664" s="6"/>
    </row>
    <row r="2665" spans="3:11" x14ac:dyDescent="0.25">
      <c r="C2665" s="6"/>
      <c r="G2665" s="6"/>
      <c r="K2665" s="6"/>
    </row>
    <row r="2666" spans="3:11" x14ac:dyDescent="0.25">
      <c r="C2666" s="6"/>
      <c r="G2666" s="6"/>
      <c r="K2666" s="6"/>
    </row>
    <row r="2667" spans="3:11" x14ac:dyDescent="0.25">
      <c r="C2667" s="6"/>
      <c r="G2667" s="6"/>
      <c r="K2667" s="6"/>
    </row>
    <row r="2668" spans="3:11" x14ac:dyDescent="0.25">
      <c r="C2668" s="6"/>
      <c r="G2668" s="6"/>
      <c r="K2668" s="6"/>
    </row>
    <row r="2669" spans="3:11" x14ac:dyDescent="0.25">
      <c r="C2669" s="6"/>
      <c r="G2669" s="6"/>
      <c r="K2669" s="6"/>
    </row>
    <row r="2670" spans="3:11" x14ac:dyDescent="0.25">
      <c r="C2670" s="6"/>
      <c r="G2670" s="6"/>
      <c r="K2670" s="6"/>
    </row>
    <row r="2671" spans="3:11" x14ac:dyDescent="0.25">
      <c r="C2671" s="6"/>
      <c r="G2671" s="6"/>
      <c r="K2671" s="6"/>
    </row>
    <row r="2672" spans="3:11" x14ac:dyDescent="0.25">
      <c r="C2672" s="6"/>
      <c r="G2672" s="6"/>
      <c r="K2672" s="6"/>
    </row>
    <row r="2673" spans="3:11" x14ac:dyDescent="0.25">
      <c r="C2673" s="6"/>
      <c r="G2673" s="6"/>
      <c r="K2673" s="6"/>
    </row>
    <row r="2674" spans="3:11" x14ac:dyDescent="0.25">
      <c r="C2674" s="6"/>
      <c r="G2674" s="6"/>
      <c r="K2674" s="6"/>
    </row>
    <row r="2675" spans="3:11" x14ac:dyDescent="0.25">
      <c r="C2675" s="6"/>
      <c r="G2675" s="6"/>
      <c r="K2675" s="6"/>
    </row>
    <row r="2676" spans="3:11" x14ac:dyDescent="0.25">
      <c r="C2676" s="6"/>
      <c r="G2676" s="6"/>
      <c r="K2676" s="6"/>
    </row>
    <row r="2677" spans="3:11" x14ac:dyDescent="0.25">
      <c r="C2677" s="6"/>
      <c r="G2677" s="6"/>
      <c r="K2677" s="6"/>
    </row>
    <row r="2678" spans="3:11" x14ac:dyDescent="0.25">
      <c r="C2678" s="6"/>
      <c r="G2678" s="6"/>
      <c r="K2678" s="6"/>
    </row>
    <row r="2679" spans="3:11" x14ac:dyDescent="0.25">
      <c r="C2679" s="6"/>
      <c r="G2679" s="6"/>
      <c r="K2679" s="6"/>
    </row>
    <row r="2680" spans="3:11" x14ac:dyDescent="0.25">
      <c r="C2680" s="6"/>
      <c r="G2680" s="6"/>
      <c r="K2680" s="6"/>
    </row>
    <row r="2681" spans="3:11" x14ac:dyDescent="0.25">
      <c r="C2681" s="6"/>
      <c r="G2681" s="6"/>
      <c r="K2681" s="6"/>
    </row>
    <row r="2682" spans="3:11" x14ac:dyDescent="0.25">
      <c r="C2682" s="6"/>
      <c r="G2682" s="6"/>
      <c r="K2682" s="6"/>
    </row>
    <row r="2683" spans="3:11" x14ac:dyDescent="0.25">
      <c r="C2683" s="6"/>
      <c r="G2683" s="6"/>
      <c r="K2683" s="6"/>
    </row>
    <row r="2684" spans="3:11" x14ac:dyDescent="0.25">
      <c r="C2684" s="6"/>
      <c r="G2684" s="6"/>
      <c r="K2684" s="6"/>
    </row>
    <row r="2685" spans="3:11" x14ac:dyDescent="0.25">
      <c r="C2685" s="6"/>
      <c r="G2685" s="6"/>
      <c r="K2685" s="6"/>
    </row>
    <row r="2686" spans="3:11" x14ac:dyDescent="0.25">
      <c r="C2686" s="6"/>
      <c r="G2686" s="6"/>
      <c r="K2686" s="6"/>
    </row>
    <row r="2687" spans="3:11" x14ac:dyDescent="0.25">
      <c r="C2687" s="6"/>
      <c r="G2687" s="6"/>
      <c r="K2687" s="6"/>
    </row>
    <row r="2688" spans="3:11" x14ac:dyDescent="0.25">
      <c r="C2688" s="6"/>
      <c r="G2688" s="6"/>
      <c r="K2688" s="6"/>
    </row>
    <row r="2689" spans="3:11" x14ac:dyDescent="0.25">
      <c r="C2689" s="6"/>
      <c r="G2689" s="6"/>
      <c r="K2689" s="6"/>
    </row>
    <row r="2690" spans="3:11" x14ac:dyDescent="0.25">
      <c r="C2690" s="6"/>
      <c r="G2690" s="6"/>
      <c r="K2690" s="6"/>
    </row>
    <row r="2691" spans="3:11" x14ac:dyDescent="0.25">
      <c r="C2691" s="6"/>
      <c r="G2691" s="6"/>
      <c r="K2691" s="6"/>
    </row>
    <row r="2692" spans="3:11" x14ac:dyDescent="0.25">
      <c r="C2692" s="6"/>
      <c r="G2692" s="6"/>
      <c r="K2692" s="6"/>
    </row>
    <row r="2693" spans="3:11" x14ac:dyDescent="0.25">
      <c r="C2693" s="6"/>
      <c r="G2693" s="6"/>
      <c r="K2693" s="6"/>
    </row>
    <row r="2694" spans="3:11" x14ac:dyDescent="0.25">
      <c r="C2694" s="6"/>
      <c r="G2694" s="6"/>
      <c r="K2694" s="6"/>
    </row>
    <row r="2695" spans="3:11" x14ac:dyDescent="0.25">
      <c r="C2695" s="6"/>
      <c r="G2695" s="6"/>
      <c r="K2695" s="6"/>
    </row>
    <row r="2696" spans="3:11" x14ac:dyDescent="0.25">
      <c r="C2696" s="6"/>
      <c r="G2696" s="6"/>
      <c r="K2696" s="6"/>
    </row>
    <row r="2697" spans="3:11" x14ac:dyDescent="0.25">
      <c r="C2697" s="6"/>
      <c r="G2697" s="6"/>
      <c r="K2697" s="6"/>
    </row>
    <row r="2698" spans="3:11" x14ac:dyDescent="0.25">
      <c r="C2698" s="6"/>
      <c r="G2698" s="6"/>
      <c r="K2698" s="6"/>
    </row>
    <row r="2699" spans="3:11" x14ac:dyDescent="0.25">
      <c r="C2699" s="6"/>
      <c r="G2699" s="6"/>
      <c r="K2699" s="6"/>
    </row>
    <row r="2700" spans="3:11" x14ac:dyDescent="0.25">
      <c r="C2700" s="6"/>
      <c r="G2700" s="6"/>
      <c r="K2700" s="6"/>
    </row>
    <row r="2701" spans="3:11" x14ac:dyDescent="0.25">
      <c r="C2701" s="6"/>
      <c r="G2701" s="6"/>
      <c r="K2701" s="6"/>
    </row>
    <row r="2702" spans="3:11" x14ac:dyDescent="0.25">
      <c r="C2702" s="6"/>
      <c r="G2702" s="6"/>
      <c r="K2702" s="6"/>
    </row>
    <row r="2703" spans="3:11" x14ac:dyDescent="0.25">
      <c r="C2703" s="6"/>
      <c r="G2703" s="6"/>
      <c r="K2703" s="6"/>
    </row>
    <row r="2704" spans="3:11" x14ac:dyDescent="0.25">
      <c r="C2704" s="6"/>
      <c r="G2704" s="6"/>
      <c r="K2704" s="6"/>
    </row>
    <row r="2705" spans="3:11" x14ac:dyDescent="0.25">
      <c r="C2705" s="6"/>
      <c r="G2705" s="6"/>
      <c r="K2705" s="6"/>
    </row>
    <row r="2706" spans="3:11" x14ac:dyDescent="0.25">
      <c r="C2706" s="6"/>
      <c r="G2706" s="6"/>
      <c r="K2706" s="6"/>
    </row>
    <row r="2707" spans="3:11" x14ac:dyDescent="0.25">
      <c r="C2707" s="6"/>
      <c r="G2707" s="6"/>
      <c r="K2707" s="6"/>
    </row>
    <row r="2708" spans="3:11" x14ac:dyDescent="0.25">
      <c r="C2708" s="6"/>
      <c r="G2708" s="6"/>
      <c r="K2708" s="6"/>
    </row>
    <row r="2709" spans="3:11" x14ac:dyDescent="0.25">
      <c r="C2709" s="6"/>
      <c r="G2709" s="6"/>
      <c r="K2709" s="6"/>
    </row>
    <row r="2710" spans="3:11" x14ac:dyDescent="0.25">
      <c r="C2710" s="6"/>
      <c r="G2710" s="6"/>
      <c r="K2710" s="6"/>
    </row>
    <row r="2711" spans="3:11" x14ac:dyDescent="0.25">
      <c r="C2711" s="6"/>
      <c r="G2711" s="6"/>
      <c r="K2711" s="6"/>
    </row>
    <row r="2712" spans="3:11" x14ac:dyDescent="0.25">
      <c r="C2712" s="6"/>
      <c r="G2712" s="6"/>
      <c r="K2712" s="6"/>
    </row>
    <row r="2713" spans="3:11" x14ac:dyDescent="0.25">
      <c r="C2713" s="6"/>
      <c r="G2713" s="6"/>
      <c r="K2713" s="6"/>
    </row>
    <row r="2714" spans="3:11" x14ac:dyDescent="0.25">
      <c r="C2714" s="6"/>
      <c r="G2714" s="6"/>
      <c r="K2714" s="6"/>
    </row>
    <row r="2715" spans="3:11" x14ac:dyDescent="0.25">
      <c r="C2715" s="6"/>
      <c r="G2715" s="6"/>
      <c r="K2715" s="6"/>
    </row>
    <row r="2716" spans="3:11" x14ac:dyDescent="0.25">
      <c r="C2716" s="6"/>
      <c r="G2716" s="6"/>
      <c r="K2716" s="6"/>
    </row>
    <row r="2717" spans="3:11" x14ac:dyDescent="0.25">
      <c r="C2717" s="6"/>
      <c r="G2717" s="6"/>
      <c r="K2717" s="6"/>
    </row>
    <row r="2718" spans="3:11" x14ac:dyDescent="0.25">
      <c r="C2718" s="6"/>
      <c r="G2718" s="6"/>
      <c r="K2718" s="6"/>
    </row>
    <row r="2719" spans="3:11" x14ac:dyDescent="0.25">
      <c r="C2719" s="6"/>
      <c r="G2719" s="6"/>
      <c r="K2719" s="6"/>
    </row>
    <row r="2720" spans="3:11" x14ac:dyDescent="0.25">
      <c r="C2720" s="6"/>
      <c r="G2720" s="6"/>
      <c r="K2720" s="6"/>
    </row>
    <row r="2721" spans="3:11" x14ac:dyDescent="0.25">
      <c r="C2721" s="6"/>
      <c r="G2721" s="6"/>
      <c r="K2721" s="6"/>
    </row>
    <row r="2722" spans="3:11" x14ac:dyDescent="0.25">
      <c r="C2722" s="6"/>
      <c r="G2722" s="6"/>
      <c r="K2722" s="6"/>
    </row>
    <row r="2723" spans="3:11" x14ac:dyDescent="0.25">
      <c r="C2723" s="6"/>
      <c r="G2723" s="6"/>
      <c r="K2723" s="6"/>
    </row>
    <row r="2724" spans="3:11" x14ac:dyDescent="0.25">
      <c r="C2724" s="6"/>
      <c r="G2724" s="6"/>
      <c r="K2724" s="6"/>
    </row>
    <row r="2725" spans="3:11" x14ac:dyDescent="0.25">
      <c r="C2725" s="6"/>
      <c r="G2725" s="6"/>
      <c r="K2725" s="6"/>
    </row>
    <row r="2726" spans="3:11" x14ac:dyDescent="0.25">
      <c r="C2726" s="6"/>
      <c r="G2726" s="6"/>
      <c r="K2726" s="6"/>
    </row>
    <row r="2727" spans="3:11" x14ac:dyDescent="0.25">
      <c r="C2727" s="6"/>
      <c r="G2727" s="6"/>
      <c r="K2727" s="6"/>
    </row>
    <row r="2728" spans="3:11" x14ac:dyDescent="0.25">
      <c r="C2728" s="6"/>
      <c r="G2728" s="6"/>
      <c r="K2728" s="6"/>
    </row>
    <row r="2729" spans="3:11" x14ac:dyDescent="0.25">
      <c r="C2729" s="6"/>
      <c r="G2729" s="6"/>
      <c r="K2729" s="6"/>
    </row>
    <row r="2730" spans="3:11" x14ac:dyDescent="0.25">
      <c r="C2730" s="6"/>
      <c r="G2730" s="6"/>
      <c r="K2730" s="6"/>
    </row>
    <row r="2731" spans="3:11" x14ac:dyDescent="0.25">
      <c r="C2731" s="6"/>
      <c r="G2731" s="6"/>
      <c r="K2731" s="6"/>
    </row>
    <row r="2732" spans="3:11" x14ac:dyDescent="0.25">
      <c r="C2732" s="6"/>
      <c r="G2732" s="6"/>
      <c r="K2732" s="6"/>
    </row>
    <row r="2733" spans="3:11" x14ac:dyDescent="0.25">
      <c r="C2733" s="6"/>
      <c r="G2733" s="6"/>
      <c r="K2733" s="6"/>
    </row>
    <row r="2734" spans="3:11" x14ac:dyDescent="0.25">
      <c r="C2734" s="6"/>
      <c r="G2734" s="6"/>
      <c r="K2734" s="6"/>
    </row>
    <row r="2735" spans="3:11" x14ac:dyDescent="0.25">
      <c r="C2735" s="6"/>
      <c r="G2735" s="6"/>
      <c r="K2735" s="6"/>
    </row>
    <row r="2736" spans="3:11" x14ac:dyDescent="0.25">
      <c r="C2736" s="6"/>
      <c r="G2736" s="6"/>
      <c r="K2736" s="6"/>
    </row>
    <row r="2737" spans="3:11" x14ac:dyDescent="0.25">
      <c r="C2737" s="6"/>
      <c r="G2737" s="6"/>
      <c r="K2737" s="6"/>
    </row>
    <row r="2738" spans="3:11" x14ac:dyDescent="0.25">
      <c r="C2738" s="6"/>
      <c r="G2738" s="6"/>
      <c r="K2738" s="6"/>
    </row>
    <row r="2739" spans="3:11" x14ac:dyDescent="0.25">
      <c r="C2739" s="6"/>
      <c r="G2739" s="6"/>
      <c r="K2739" s="6"/>
    </row>
    <row r="2740" spans="3:11" x14ac:dyDescent="0.25">
      <c r="C2740" s="6"/>
      <c r="G2740" s="6"/>
      <c r="K2740" s="6"/>
    </row>
    <row r="2741" spans="3:11" x14ac:dyDescent="0.25">
      <c r="C2741" s="6"/>
      <c r="G2741" s="6"/>
      <c r="K2741" s="6"/>
    </row>
    <row r="2742" spans="3:11" x14ac:dyDescent="0.25">
      <c r="C2742" s="6"/>
      <c r="G2742" s="6"/>
      <c r="K2742" s="6"/>
    </row>
    <row r="2743" spans="3:11" x14ac:dyDescent="0.25">
      <c r="C2743" s="6"/>
      <c r="G2743" s="6"/>
      <c r="K2743" s="6"/>
    </row>
    <row r="2744" spans="3:11" x14ac:dyDescent="0.25">
      <c r="C2744" s="6"/>
      <c r="G2744" s="6"/>
      <c r="K2744" s="6"/>
    </row>
    <row r="2745" spans="3:11" x14ac:dyDescent="0.25">
      <c r="C2745" s="6"/>
      <c r="G2745" s="6"/>
      <c r="K2745" s="6"/>
    </row>
    <row r="2746" spans="3:11" x14ac:dyDescent="0.25">
      <c r="C2746" s="6"/>
      <c r="G2746" s="6"/>
      <c r="K2746" s="6"/>
    </row>
    <row r="2747" spans="3:11" x14ac:dyDescent="0.25">
      <c r="C2747" s="6"/>
      <c r="G2747" s="6"/>
      <c r="K2747" s="6"/>
    </row>
    <row r="2748" spans="3:11" x14ac:dyDescent="0.25">
      <c r="C2748" s="6"/>
      <c r="G2748" s="6"/>
      <c r="K2748" s="6"/>
    </row>
    <row r="2749" spans="3:11" x14ac:dyDescent="0.25">
      <c r="C2749" s="6"/>
      <c r="G2749" s="6"/>
      <c r="K2749" s="6"/>
    </row>
    <row r="2750" spans="3:11" x14ac:dyDescent="0.25">
      <c r="C2750" s="6"/>
      <c r="G2750" s="6"/>
      <c r="K2750" s="6"/>
    </row>
    <row r="2751" spans="3:11" x14ac:dyDescent="0.25">
      <c r="C2751" s="6"/>
      <c r="G2751" s="6"/>
      <c r="K2751" s="6"/>
    </row>
    <row r="2752" spans="3:11" x14ac:dyDescent="0.25">
      <c r="C2752" s="6"/>
      <c r="G2752" s="6"/>
      <c r="K2752" s="6"/>
    </row>
    <row r="2753" spans="3:11" x14ac:dyDescent="0.25">
      <c r="C2753" s="6"/>
      <c r="G2753" s="6"/>
      <c r="K2753" s="6"/>
    </row>
    <row r="2754" spans="3:11" x14ac:dyDescent="0.25">
      <c r="C2754" s="6"/>
      <c r="G2754" s="6"/>
      <c r="K2754" s="6"/>
    </row>
    <row r="2755" spans="3:11" x14ac:dyDescent="0.25">
      <c r="C2755" s="6"/>
      <c r="G2755" s="6"/>
      <c r="K2755" s="6"/>
    </row>
    <row r="2756" spans="3:11" x14ac:dyDescent="0.25">
      <c r="C2756" s="6"/>
      <c r="G2756" s="6"/>
      <c r="K2756" s="6"/>
    </row>
    <row r="2757" spans="3:11" x14ac:dyDescent="0.25">
      <c r="C2757" s="6"/>
      <c r="G2757" s="6"/>
      <c r="K2757" s="6"/>
    </row>
    <row r="2758" spans="3:11" x14ac:dyDescent="0.25">
      <c r="C2758" s="6"/>
      <c r="G2758" s="6"/>
      <c r="K2758" s="6"/>
    </row>
    <row r="2759" spans="3:11" x14ac:dyDescent="0.25">
      <c r="C2759" s="6"/>
      <c r="G2759" s="6"/>
      <c r="K2759" s="6"/>
    </row>
    <row r="2760" spans="3:11" x14ac:dyDescent="0.25">
      <c r="C2760" s="6"/>
      <c r="G2760" s="6"/>
      <c r="K2760" s="6"/>
    </row>
    <row r="2761" spans="3:11" x14ac:dyDescent="0.25">
      <c r="C2761" s="6"/>
      <c r="G2761" s="6"/>
      <c r="K2761" s="6"/>
    </row>
    <row r="2762" spans="3:11" x14ac:dyDescent="0.25">
      <c r="C2762" s="6"/>
      <c r="G2762" s="6"/>
      <c r="K2762" s="6"/>
    </row>
    <row r="2763" spans="3:11" x14ac:dyDescent="0.25">
      <c r="C2763" s="6"/>
      <c r="G2763" s="6"/>
      <c r="K2763" s="6"/>
    </row>
    <row r="2764" spans="3:11" x14ac:dyDescent="0.25">
      <c r="C2764" s="6"/>
      <c r="G2764" s="6"/>
      <c r="K2764" s="6"/>
    </row>
    <row r="2765" spans="3:11" x14ac:dyDescent="0.25">
      <c r="C2765" s="6"/>
      <c r="G2765" s="6"/>
      <c r="K2765" s="6"/>
    </row>
    <row r="2766" spans="3:11" x14ac:dyDescent="0.25">
      <c r="C2766" s="6"/>
      <c r="G2766" s="6"/>
      <c r="K2766" s="6"/>
    </row>
    <row r="2767" spans="3:11" x14ac:dyDescent="0.25">
      <c r="C2767" s="6"/>
      <c r="G2767" s="6"/>
      <c r="K2767" s="6"/>
    </row>
    <row r="2768" spans="3:11" x14ac:dyDescent="0.25">
      <c r="C2768" s="6"/>
      <c r="G2768" s="6"/>
      <c r="K2768" s="6"/>
    </row>
    <row r="2769" spans="3:11" x14ac:dyDescent="0.25">
      <c r="C2769" s="6"/>
      <c r="G2769" s="6"/>
      <c r="K2769" s="6"/>
    </row>
    <row r="2770" spans="3:11" x14ac:dyDescent="0.25">
      <c r="C2770" s="6"/>
      <c r="G2770" s="6"/>
      <c r="K2770" s="6"/>
    </row>
    <row r="2771" spans="3:11" x14ac:dyDescent="0.25">
      <c r="C2771" s="6"/>
      <c r="G2771" s="6"/>
      <c r="K2771" s="6"/>
    </row>
    <row r="2772" spans="3:11" x14ac:dyDescent="0.25">
      <c r="C2772" s="6"/>
      <c r="G2772" s="6"/>
      <c r="K2772" s="6"/>
    </row>
    <row r="2773" spans="3:11" x14ac:dyDescent="0.25">
      <c r="C2773" s="6"/>
      <c r="G2773" s="6"/>
      <c r="K2773" s="6"/>
    </row>
    <row r="2774" spans="3:11" x14ac:dyDescent="0.25">
      <c r="C2774" s="6"/>
      <c r="G2774" s="6"/>
      <c r="K2774" s="6"/>
    </row>
    <row r="2775" spans="3:11" x14ac:dyDescent="0.25">
      <c r="C2775" s="6"/>
      <c r="G2775" s="6"/>
      <c r="K2775" s="6"/>
    </row>
    <row r="2776" spans="3:11" x14ac:dyDescent="0.25">
      <c r="C2776" s="6"/>
      <c r="G2776" s="6"/>
      <c r="K2776" s="6"/>
    </row>
    <row r="2777" spans="3:11" x14ac:dyDescent="0.25">
      <c r="C2777" s="6"/>
      <c r="G2777" s="6"/>
      <c r="K2777" s="6"/>
    </row>
    <row r="2778" spans="3:11" x14ac:dyDescent="0.25">
      <c r="C2778" s="6"/>
      <c r="G2778" s="6"/>
      <c r="K2778" s="6"/>
    </row>
    <row r="2779" spans="3:11" x14ac:dyDescent="0.25">
      <c r="C2779" s="6"/>
      <c r="G2779" s="6"/>
      <c r="K2779" s="6"/>
    </row>
    <row r="2780" spans="3:11" x14ac:dyDescent="0.25">
      <c r="C2780" s="6"/>
      <c r="G2780" s="6"/>
      <c r="K2780" s="6"/>
    </row>
    <row r="2781" spans="3:11" x14ac:dyDescent="0.25">
      <c r="C2781" s="6"/>
      <c r="G2781" s="6"/>
      <c r="K2781" s="6"/>
    </row>
    <row r="2782" spans="3:11" x14ac:dyDescent="0.25">
      <c r="C2782" s="6"/>
      <c r="G2782" s="6"/>
      <c r="K2782" s="6"/>
    </row>
    <row r="2783" spans="3:11" x14ac:dyDescent="0.25">
      <c r="C2783" s="6"/>
      <c r="G2783" s="6"/>
      <c r="K2783" s="6"/>
    </row>
    <row r="2784" spans="3:11" x14ac:dyDescent="0.25">
      <c r="C2784" s="6"/>
      <c r="G2784" s="6"/>
      <c r="K2784" s="6"/>
    </row>
    <row r="2785" spans="3:11" x14ac:dyDescent="0.25">
      <c r="C2785" s="6"/>
      <c r="G2785" s="6"/>
      <c r="K2785" s="6"/>
    </row>
    <row r="2786" spans="3:11" x14ac:dyDescent="0.25">
      <c r="C2786" s="6"/>
      <c r="G2786" s="6"/>
      <c r="K2786" s="6"/>
    </row>
    <row r="2787" spans="3:11" x14ac:dyDescent="0.25">
      <c r="C2787" s="6"/>
      <c r="G2787" s="6"/>
      <c r="K2787" s="6"/>
    </row>
    <row r="2788" spans="3:11" x14ac:dyDescent="0.25">
      <c r="C2788" s="6"/>
      <c r="G2788" s="6"/>
      <c r="K2788" s="6"/>
    </row>
    <row r="2789" spans="3:11" x14ac:dyDescent="0.25">
      <c r="C2789" s="6"/>
      <c r="G2789" s="6"/>
      <c r="K2789" s="6"/>
    </row>
    <row r="2790" spans="3:11" x14ac:dyDescent="0.25">
      <c r="C2790" s="6"/>
      <c r="G2790" s="6"/>
      <c r="K2790" s="6"/>
    </row>
    <row r="2791" spans="3:11" x14ac:dyDescent="0.25">
      <c r="C2791" s="6"/>
      <c r="G2791" s="6"/>
      <c r="K2791" s="6"/>
    </row>
    <row r="2792" spans="3:11" x14ac:dyDescent="0.25">
      <c r="C2792" s="6"/>
      <c r="G2792" s="6"/>
      <c r="K2792" s="6"/>
    </row>
    <row r="2793" spans="3:11" x14ac:dyDescent="0.25">
      <c r="C2793" s="6"/>
      <c r="G2793" s="6"/>
      <c r="K2793" s="6"/>
    </row>
    <row r="2794" spans="3:11" x14ac:dyDescent="0.25">
      <c r="C2794" s="6"/>
      <c r="G2794" s="6"/>
      <c r="K2794" s="6"/>
    </row>
    <row r="2795" spans="3:11" x14ac:dyDescent="0.25">
      <c r="C2795" s="6"/>
      <c r="G2795" s="6"/>
      <c r="K2795" s="6"/>
    </row>
    <row r="2796" spans="3:11" x14ac:dyDescent="0.25">
      <c r="C2796" s="6"/>
      <c r="G2796" s="6"/>
      <c r="K2796" s="6"/>
    </row>
    <row r="2797" spans="3:11" x14ac:dyDescent="0.25">
      <c r="C2797" s="6"/>
      <c r="G2797" s="6"/>
      <c r="K2797" s="6"/>
    </row>
    <row r="2798" spans="3:11" x14ac:dyDescent="0.25">
      <c r="C2798" s="6"/>
      <c r="G2798" s="6"/>
      <c r="K2798" s="6"/>
    </row>
    <row r="2799" spans="3:11" x14ac:dyDescent="0.25">
      <c r="C2799" s="6"/>
      <c r="G2799" s="6"/>
      <c r="K2799" s="6"/>
    </row>
    <row r="2800" spans="3:11" x14ac:dyDescent="0.25">
      <c r="C2800" s="6"/>
      <c r="G2800" s="6"/>
      <c r="K2800" s="6"/>
    </row>
    <row r="2801" spans="3:11" x14ac:dyDescent="0.25">
      <c r="C2801" s="6"/>
      <c r="G2801" s="6"/>
      <c r="K2801" s="6"/>
    </row>
    <row r="2802" spans="3:11" x14ac:dyDescent="0.25">
      <c r="C2802" s="6"/>
      <c r="G2802" s="6"/>
      <c r="K2802" s="6"/>
    </row>
    <row r="2803" spans="3:11" x14ac:dyDescent="0.25">
      <c r="C2803" s="6"/>
      <c r="G2803" s="6"/>
      <c r="K2803" s="6"/>
    </row>
    <row r="2804" spans="3:11" x14ac:dyDescent="0.25">
      <c r="C2804" s="6"/>
      <c r="G2804" s="6"/>
      <c r="K2804" s="6"/>
    </row>
    <row r="2805" spans="3:11" x14ac:dyDescent="0.25">
      <c r="C2805" s="6"/>
      <c r="G2805" s="6"/>
      <c r="K2805" s="6"/>
    </row>
    <row r="2806" spans="3:11" x14ac:dyDescent="0.25">
      <c r="C2806" s="6"/>
      <c r="G2806" s="6"/>
      <c r="K2806" s="6"/>
    </row>
    <row r="2807" spans="3:11" x14ac:dyDescent="0.25">
      <c r="C2807" s="6"/>
      <c r="G2807" s="6"/>
      <c r="K2807" s="6"/>
    </row>
    <row r="2808" spans="3:11" x14ac:dyDescent="0.25">
      <c r="C2808" s="6"/>
      <c r="G2808" s="6"/>
      <c r="K2808" s="6"/>
    </row>
    <row r="2809" spans="3:11" x14ac:dyDescent="0.25">
      <c r="C2809" s="6"/>
      <c r="G2809" s="6"/>
      <c r="K2809" s="6"/>
    </row>
    <row r="2810" spans="3:11" x14ac:dyDescent="0.25">
      <c r="C2810" s="6"/>
      <c r="G2810" s="6"/>
      <c r="K2810" s="6"/>
    </row>
    <row r="2811" spans="3:11" x14ac:dyDescent="0.25">
      <c r="C2811" s="6"/>
      <c r="G2811" s="6"/>
      <c r="K2811" s="6"/>
    </row>
    <row r="2812" spans="3:11" x14ac:dyDescent="0.25">
      <c r="C2812" s="6"/>
      <c r="G2812" s="6"/>
      <c r="K2812" s="6"/>
    </row>
    <row r="2813" spans="3:11" x14ac:dyDescent="0.25">
      <c r="C2813" s="6"/>
      <c r="G2813" s="6"/>
      <c r="K2813" s="6"/>
    </row>
    <row r="2814" spans="3:11" x14ac:dyDescent="0.25">
      <c r="C2814" s="6"/>
      <c r="G2814" s="6"/>
      <c r="K2814" s="6"/>
    </row>
    <row r="2815" spans="3:11" x14ac:dyDescent="0.25">
      <c r="C2815" s="6"/>
      <c r="G2815" s="6"/>
      <c r="K2815" s="6"/>
    </row>
    <row r="2816" spans="3:11" x14ac:dyDescent="0.25">
      <c r="C2816" s="6"/>
      <c r="G2816" s="6"/>
      <c r="K2816" s="6"/>
    </row>
    <row r="2817" spans="3:11" x14ac:dyDescent="0.25">
      <c r="C2817" s="6"/>
      <c r="G2817" s="6"/>
      <c r="K2817" s="6"/>
    </row>
    <row r="2818" spans="3:11" x14ac:dyDescent="0.25">
      <c r="C2818" s="6"/>
      <c r="G2818" s="6"/>
      <c r="K2818" s="6"/>
    </row>
    <row r="2819" spans="3:11" x14ac:dyDescent="0.25">
      <c r="C2819" s="6"/>
      <c r="G2819" s="6"/>
      <c r="K2819" s="6"/>
    </row>
    <row r="2820" spans="3:11" x14ac:dyDescent="0.25">
      <c r="C2820" s="6"/>
      <c r="G2820" s="6"/>
      <c r="K2820" s="6"/>
    </row>
    <row r="2821" spans="3:11" x14ac:dyDescent="0.25">
      <c r="C2821" s="6"/>
      <c r="G2821" s="6"/>
      <c r="K2821" s="6"/>
    </row>
    <row r="2822" spans="3:11" x14ac:dyDescent="0.25">
      <c r="C2822" s="6"/>
      <c r="G2822" s="6"/>
      <c r="K2822" s="6"/>
    </row>
    <row r="2823" spans="3:11" x14ac:dyDescent="0.25">
      <c r="C2823" s="6"/>
      <c r="G2823" s="6"/>
      <c r="K2823" s="6"/>
    </row>
    <row r="2824" spans="3:11" x14ac:dyDescent="0.25">
      <c r="C2824" s="6"/>
      <c r="G2824" s="6"/>
      <c r="K2824" s="6"/>
    </row>
    <row r="2825" spans="3:11" x14ac:dyDescent="0.25">
      <c r="C2825" s="6"/>
      <c r="G2825" s="6"/>
      <c r="K2825" s="6"/>
    </row>
    <row r="2826" spans="3:11" x14ac:dyDescent="0.25">
      <c r="C2826" s="6"/>
      <c r="G2826" s="6"/>
      <c r="K2826" s="6"/>
    </row>
    <row r="2827" spans="3:11" x14ac:dyDescent="0.25">
      <c r="C2827" s="6"/>
      <c r="G2827" s="6"/>
      <c r="K2827" s="6"/>
    </row>
    <row r="2828" spans="3:11" x14ac:dyDescent="0.25">
      <c r="C2828" s="6"/>
      <c r="G2828" s="6"/>
      <c r="K2828" s="6"/>
    </row>
    <row r="2829" spans="3:11" x14ac:dyDescent="0.25">
      <c r="C2829" s="6"/>
      <c r="G2829" s="6"/>
      <c r="K2829" s="6"/>
    </row>
    <row r="2830" spans="3:11" x14ac:dyDescent="0.25">
      <c r="C2830" s="6"/>
      <c r="G2830" s="6"/>
      <c r="K2830" s="6"/>
    </row>
    <row r="2831" spans="3:11" x14ac:dyDescent="0.25">
      <c r="C2831" s="6"/>
      <c r="G2831" s="6"/>
      <c r="K2831" s="6"/>
    </row>
    <row r="2832" spans="3:11" x14ac:dyDescent="0.25">
      <c r="C2832" s="6"/>
      <c r="G2832" s="6"/>
      <c r="K2832" s="6"/>
    </row>
    <row r="2833" spans="3:11" x14ac:dyDescent="0.25">
      <c r="C2833" s="6"/>
      <c r="G2833" s="6"/>
      <c r="K2833" s="6"/>
    </row>
    <row r="2834" spans="3:11" x14ac:dyDescent="0.25">
      <c r="C2834" s="6"/>
      <c r="G2834" s="6"/>
      <c r="K2834" s="6"/>
    </row>
    <row r="2835" spans="3:11" x14ac:dyDescent="0.25">
      <c r="C2835" s="6"/>
      <c r="G2835" s="6"/>
      <c r="K2835" s="6"/>
    </row>
    <row r="2836" spans="3:11" x14ac:dyDescent="0.25">
      <c r="C2836" s="6"/>
      <c r="G2836" s="6"/>
      <c r="K2836" s="6"/>
    </row>
    <row r="2837" spans="3:11" x14ac:dyDescent="0.25">
      <c r="C2837" s="6"/>
      <c r="G2837" s="6"/>
      <c r="K2837" s="6"/>
    </row>
    <row r="2838" spans="3:11" x14ac:dyDescent="0.25">
      <c r="C2838" s="6"/>
      <c r="G2838" s="6"/>
      <c r="K2838" s="6"/>
    </row>
    <row r="2839" spans="3:11" x14ac:dyDescent="0.25">
      <c r="C2839" s="6"/>
      <c r="G2839" s="6"/>
      <c r="K2839" s="6"/>
    </row>
    <row r="2840" spans="3:11" x14ac:dyDescent="0.25">
      <c r="C2840" s="6"/>
      <c r="G2840" s="6"/>
      <c r="K2840" s="6"/>
    </row>
    <row r="2841" spans="3:11" x14ac:dyDescent="0.25">
      <c r="C2841" s="6"/>
      <c r="G2841" s="6"/>
      <c r="K2841" s="6"/>
    </row>
    <row r="2842" spans="3:11" x14ac:dyDescent="0.25">
      <c r="C2842" s="6"/>
      <c r="G2842" s="6"/>
      <c r="K2842" s="6"/>
    </row>
    <row r="2843" spans="3:11" x14ac:dyDescent="0.25">
      <c r="C2843" s="6"/>
      <c r="G2843" s="6"/>
      <c r="K2843" s="6"/>
    </row>
    <row r="2844" spans="3:11" x14ac:dyDescent="0.25">
      <c r="C2844" s="6"/>
      <c r="G2844" s="6"/>
      <c r="K2844" s="6"/>
    </row>
    <row r="2845" spans="3:11" x14ac:dyDescent="0.25">
      <c r="C2845" s="6"/>
      <c r="G2845" s="6"/>
      <c r="K2845" s="6"/>
    </row>
    <row r="2846" spans="3:11" x14ac:dyDescent="0.25">
      <c r="C2846" s="6"/>
      <c r="G2846" s="6"/>
      <c r="K2846" s="6"/>
    </row>
    <row r="2847" spans="3:11" x14ac:dyDescent="0.25">
      <c r="C2847" s="6"/>
      <c r="G2847" s="6"/>
      <c r="K2847" s="6"/>
    </row>
    <row r="2848" spans="3:11" x14ac:dyDescent="0.25">
      <c r="C2848" s="6"/>
      <c r="G2848" s="6"/>
      <c r="K2848" s="6"/>
    </row>
    <row r="2849" spans="3:11" x14ac:dyDescent="0.25">
      <c r="C2849" s="6"/>
      <c r="G2849" s="6"/>
      <c r="K2849" s="6"/>
    </row>
    <row r="2850" spans="3:11" x14ac:dyDescent="0.25">
      <c r="C2850" s="6"/>
      <c r="G2850" s="6"/>
      <c r="K2850" s="6"/>
    </row>
    <row r="2851" spans="3:11" x14ac:dyDescent="0.25">
      <c r="C2851" s="6"/>
      <c r="G2851" s="6"/>
      <c r="K2851" s="6"/>
    </row>
    <row r="2852" spans="3:11" x14ac:dyDescent="0.25">
      <c r="C2852" s="6"/>
      <c r="G2852" s="6"/>
      <c r="K2852" s="6"/>
    </row>
    <row r="2853" spans="3:11" x14ac:dyDescent="0.25">
      <c r="C2853" s="6"/>
      <c r="G2853" s="6"/>
      <c r="K2853" s="6"/>
    </row>
    <row r="2854" spans="3:11" x14ac:dyDescent="0.25">
      <c r="C2854" s="6"/>
      <c r="G2854" s="6"/>
      <c r="K2854" s="6"/>
    </row>
    <row r="2855" spans="3:11" x14ac:dyDescent="0.25">
      <c r="C2855" s="6"/>
      <c r="G2855" s="6"/>
      <c r="K2855" s="6"/>
    </row>
    <row r="2856" spans="3:11" x14ac:dyDescent="0.25">
      <c r="C2856" s="6"/>
      <c r="G2856" s="6"/>
      <c r="K2856" s="6"/>
    </row>
    <row r="2857" spans="3:11" x14ac:dyDescent="0.25">
      <c r="C2857" s="6"/>
      <c r="G2857" s="6"/>
      <c r="K2857" s="6"/>
    </row>
    <row r="2858" spans="3:11" x14ac:dyDescent="0.25">
      <c r="C2858" s="6"/>
      <c r="G2858" s="6"/>
      <c r="K2858" s="6"/>
    </row>
    <row r="2859" spans="3:11" x14ac:dyDescent="0.25">
      <c r="C2859" s="6"/>
      <c r="G2859" s="6"/>
      <c r="K2859" s="6"/>
    </row>
    <row r="2860" spans="3:11" x14ac:dyDescent="0.25">
      <c r="C2860" s="6"/>
      <c r="G2860" s="6"/>
      <c r="K2860" s="6"/>
    </row>
    <row r="2861" spans="3:11" x14ac:dyDescent="0.25">
      <c r="C2861" s="6"/>
      <c r="G2861" s="6"/>
      <c r="K2861" s="6"/>
    </row>
    <row r="2862" spans="3:11" x14ac:dyDescent="0.25">
      <c r="C2862" s="6"/>
      <c r="G2862" s="6"/>
      <c r="K2862" s="6"/>
    </row>
    <row r="2863" spans="3:11" x14ac:dyDescent="0.25">
      <c r="C2863" s="6"/>
      <c r="G2863" s="6"/>
      <c r="K2863" s="6"/>
    </row>
    <row r="2864" spans="3:11" x14ac:dyDescent="0.25">
      <c r="C2864" s="6"/>
      <c r="G2864" s="6"/>
      <c r="K2864" s="6"/>
    </row>
    <row r="2865" spans="3:11" x14ac:dyDescent="0.25">
      <c r="C2865" s="6"/>
      <c r="G2865" s="6"/>
      <c r="K2865" s="6"/>
    </row>
    <row r="2866" spans="3:11" x14ac:dyDescent="0.25">
      <c r="C2866" s="6"/>
      <c r="G2866" s="6"/>
      <c r="K2866" s="6"/>
    </row>
    <row r="2867" spans="3:11" x14ac:dyDescent="0.25">
      <c r="C2867" s="6"/>
      <c r="G2867" s="6"/>
      <c r="K2867" s="6"/>
    </row>
    <row r="2868" spans="3:11" x14ac:dyDescent="0.25">
      <c r="C2868" s="6"/>
      <c r="G2868" s="6"/>
      <c r="K2868" s="6"/>
    </row>
    <row r="2869" spans="3:11" x14ac:dyDescent="0.25">
      <c r="C2869" s="6"/>
      <c r="G2869" s="6"/>
      <c r="K2869" s="6"/>
    </row>
    <row r="2870" spans="3:11" x14ac:dyDescent="0.25">
      <c r="C2870" s="6"/>
      <c r="G2870" s="6"/>
      <c r="K2870" s="6"/>
    </row>
    <row r="2871" spans="3:11" x14ac:dyDescent="0.25">
      <c r="C2871" s="6"/>
      <c r="G2871" s="6"/>
      <c r="K2871" s="6"/>
    </row>
    <row r="2872" spans="3:11" x14ac:dyDescent="0.25">
      <c r="C2872" s="6"/>
      <c r="G2872" s="6"/>
      <c r="K2872" s="6"/>
    </row>
    <row r="2873" spans="3:11" x14ac:dyDescent="0.25">
      <c r="C2873" s="6"/>
      <c r="G2873" s="6"/>
      <c r="K2873" s="6"/>
    </row>
    <row r="2874" spans="3:11" x14ac:dyDescent="0.25">
      <c r="C2874" s="6"/>
      <c r="G2874" s="6"/>
      <c r="K2874" s="6"/>
    </row>
    <row r="2875" spans="3:11" x14ac:dyDescent="0.25">
      <c r="C2875" s="6"/>
      <c r="G2875" s="6"/>
      <c r="K2875" s="6"/>
    </row>
    <row r="2876" spans="3:11" x14ac:dyDescent="0.25">
      <c r="C2876" s="6"/>
      <c r="G2876" s="6"/>
      <c r="K2876" s="6"/>
    </row>
    <row r="2877" spans="3:11" x14ac:dyDescent="0.25">
      <c r="C2877" s="6"/>
      <c r="G2877" s="6"/>
      <c r="K2877" s="6"/>
    </row>
    <row r="2878" spans="3:11" x14ac:dyDescent="0.25">
      <c r="C2878" s="6"/>
      <c r="G2878" s="6"/>
      <c r="K2878" s="6"/>
    </row>
    <row r="2879" spans="3:11" x14ac:dyDescent="0.25">
      <c r="C2879" s="6"/>
      <c r="G2879" s="6"/>
      <c r="K2879" s="6"/>
    </row>
    <row r="2880" spans="3:11" x14ac:dyDescent="0.25">
      <c r="C2880" s="6"/>
      <c r="G2880" s="6"/>
      <c r="K2880" s="6"/>
    </row>
    <row r="2881" spans="3:11" x14ac:dyDescent="0.25">
      <c r="C2881" s="6"/>
      <c r="G2881" s="6"/>
      <c r="K2881" s="6"/>
    </row>
    <row r="2882" spans="3:11" x14ac:dyDescent="0.25">
      <c r="C2882" s="6"/>
      <c r="G2882" s="6"/>
      <c r="K2882" s="6"/>
    </row>
    <row r="2883" spans="3:11" x14ac:dyDescent="0.25">
      <c r="C2883" s="6"/>
      <c r="G2883" s="6"/>
      <c r="K2883" s="6"/>
    </row>
    <row r="2884" spans="3:11" x14ac:dyDescent="0.25">
      <c r="C2884" s="6"/>
      <c r="G2884" s="6"/>
      <c r="K2884" s="6"/>
    </row>
    <row r="2885" spans="3:11" x14ac:dyDescent="0.25">
      <c r="C2885" s="6"/>
      <c r="G2885" s="6"/>
      <c r="K2885" s="6"/>
    </row>
    <row r="2886" spans="3:11" x14ac:dyDescent="0.25">
      <c r="C2886" s="6"/>
      <c r="G2886" s="6"/>
      <c r="K2886" s="6"/>
    </row>
    <row r="2887" spans="3:11" x14ac:dyDescent="0.25">
      <c r="C2887" s="6"/>
      <c r="G2887" s="6"/>
      <c r="K2887" s="6"/>
    </row>
    <row r="2888" spans="3:11" x14ac:dyDescent="0.25">
      <c r="C2888" s="6"/>
      <c r="G2888" s="6"/>
      <c r="K2888" s="6"/>
    </row>
    <row r="2889" spans="3:11" x14ac:dyDescent="0.25">
      <c r="C2889" s="6"/>
      <c r="G2889" s="6"/>
      <c r="K2889" s="6"/>
    </row>
    <row r="2890" spans="3:11" x14ac:dyDescent="0.25">
      <c r="C2890" s="6"/>
      <c r="G2890" s="6"/>
      <c r="K2890" s="6"/>
    </row>
    <row r="2891" spans="3:11" x14ac:dyDescent="0.25">
      <c r="C2891" s="6"/>
      <c r="G2891" s="6"/>
      <c r="K2891" s="6"/>
    </row>
    <row r="2892" spans="3:11" x14ac:dyDescent="0.25">
      <c r="C2892" s="6"/>
      <c r="G2892" s="6"/>
      <c r="K2892" s="6"/>
    </row>
    <row r="2893" spans="3:11" x14ac:dyDescent="0.25">
      <c r="C2893" s="6"/>
      <c r="G2893" s="6"/>
      <c r="K2893" s="6"/>
    </row>
    <row r="2894" spans="3:11" x14ac:dyDescent="0.25">
      <c r="C2894" s="6"/>
      <c r="G2894" s="6"/>
      <c r="K2894" s="6"/>
    </row>
    <row r="2895" spans="3:11" x14ac:dyDescent="0.25">
      <c r="C2895" s="6"/>
      <c r="G2895" s="6"/>
      <c r="K2895" s="6"/>
    </row>
    <row r="2896" spans="3:11" x14ac:dyDescent="0.25">
      <c r="C2896" s="6"/>
      <c r="G2896" s="6"/>
      <c r="K2896" s="6"/>
    </row>
    <row r="2897" spans="3:11" x14ac:dyDescent="0.25">
      <c r="C2897" s="6"/>
      <c r="G2897" s="6"/>
      <c r="K2897" s="6"/>
    </row>
    <row r="2898" spans="3:11" x14ac:dyDescent="0.25">
      <c r="C2898" s="6"/>
      <c r="G2898" s="6"/>
      <c r="K2898" s="6"/>
    </row>
    <row r="2899" spans="3:11" x14ac:dyDescent="0.25">
      <c r="C2899" s="6"/>
      <c r="G2899" s="6"/>
      <c r="K2899" s="6"/>
    </row>
    <row r="2900" spans="3:11" x14ac:dyDescent="0.25">
      <c r="C2900" s="6"/>
      <c r="G2900" s="6"/>
      <c r="K2900" s="6"/>
    </row>
    <row r="2901" spans="3:11" x14ac:dyDescent="0.25">
      <c r="C2901" s="6"/>
      <c r="G2901" s="6"/>
      <c r="K2901" s="6"/>
    </row>
    <row r="2902" spans="3:11" x14ac:dyDescent="0.25">
      <c r="C2902" s="6"/>
      <c r="G2902" s="6"/>
      <c r="K2902" s="6"/>
    </row>
    <row r="2903" spans="3:11" x14ac:dyDescent="0.25">
      <c r="C2903" s="6"/>
      <c r="G2903" s="6"/>
      <c r="K2903" s="6"/>
    </row>
    <row r="2904" spans="3:11" x14ac:dyDescent="0.25">
      <c r="C2904" s="6"/>
      <c r="G2904" s="6"/>
      <c r="K2904" s="6"/>
    </row>
    <row r="2905" spans="3:11" x14ac:dyDescent="0.25">
      <c r="C2905" s="6"/>
      <c r="G2905" s="6"/>
      <c r="K2905" s="6"/>
    </row>
    <row r="2906" spans="3:11" x14ac:dyDescent="0.25">
      <c r="C2906" s="6"/>
      <c r="G2906" s="6"/>
      <c r="K2906" s="6"/>
    </row>
    <row r="2907" spans="3:11" x14ac:dyDescent="0.25">
      <c r="C2907" s="6"/>
      <c r="G2907" s="6"/>
      <c r="K2907" s="6"/>
    </row>
    <row r="2908" spans="3:11" x14ac:dyDescent="0.25">
      <c r="C2908" s="6"/>
      <c r="G2908" s="6"/>
      <c r="K2908" s="6"/>
    </row>
    <row r="2909" spans="3:11" x14ac:dyDescent="0.25">
      <c r="C2909" s="6"/>
      <c r="G2909" s="6"/>
      <c r="K2909" s="6"/>
    </row>
    <row r="2910" spans="3:11" x14ac:dyDescent="0.25">
      <c r="C2910" s="6"/>
      <c r="G2910" s="6"/>
      <c r="K2910" s="6"/>
    </row>
    <row r="2911" spans="3:11" x14ac:dyDescent="0.25">
      <c r="C2911" s="6"/>
      <c r="G2911" s="6"/>
      <c r="K2911" s="6"/>
    </row>
    <row r="2912" spans="3:11" x14ac:dyDescent="0.25">
      <c r="C2912" s="6"/>
      <c r="G2912" s="6"/>
      <c r="K2912" s="6"/>
    </row>
    <row r="2913" spans="3:11" x14ac:dyDescent="0.25">
      <c r="C2913" s="6"/>
      <c r="G2913" s="6"/>
      <c r="K2913" s="6"/>
    </row>
    <row r="2914" spans="3:11" x14ac:dyDescent="0.25">
      <c r="C2914" s="6"/>
      <c r="G2914" s="6"/>
      <c r="K2914" s="6"/>
    </row>
    <row r="2915" spans="3:11" x14ac:dyDescent="0.25">
      <c r="C2915" s="6"/>
      <c r="G2915" s="6"/>
      <c r="K2915" s="6"/>
    </row>
    <row r="2916" spans="3:11" x14ac:dyDescent="0.25">
      <c r="C2916" s="6"/>
      <c r="G2916" s="6"/>
      <c r="K2916" s="6"/>
    </row>
    <row r="2917" spans="3:11" x14ac:dyDescent="0.25">
      <c r="C2917" s="6"/>
      <c r="G2917" s="6"/>
      <c r="K2917" s="6"/>
    </row>
    <row r="2918" spans="3:11" x14ac:dyDescent="0.25">
      <c r="C2918" s="6"/>
      <c r="G2918" s="6"/>
      <c r="K2918" s="6"/>
    </row>
    <row r="2919" spans="3:11" x14ac:dyDescent="0.25">
      <c r="C2919" s="6"/>
      <c r="G2919" s="6"/>
      <c r="K2919" s="6"/>
    </row>
    <row r="2920" spans="3:11" x14ac:dyDescent="0.25">
      <c r="C2920" s="6"/>
      <c r="G2920" s="6"/>
      <c r="K2920" s="6"/>
    </row>
    <row r="2921" spans="3:11" x14ac:dyDescent="0.25">
      <c r="C2921" s="6"/>
      <c r="G2921" s="6"/>
      <c r="K2921" s="6"/>
    </row>
    <row r="2922" spans="3:11" x14ac:dyDescent="0.25">
      <c r="C2922" s="6"/>
      <c r="G2922" s="6"/>
      <c r="K2922" s="6"/>
    </row>
    <row r="2923" spans="3:11" x14ac:dyDescent="0.25">
      <c r="C2923" s="6"/>
      <c r="G2923" s="6"/>
      <c r="K2923" s="6"/>
    </row>
    <row r="2924" spans="3:11" x14ac:dyDescent="0.25">
      <c r="C2924" s="6"/>
      <c r="G2924" s="6"/>
      <c r="K2924" s="6"/>
    </row>
    <row r="2925" spans="3:11" x14ac:dyDescent="0.25">
      <c r="C2925" s="6"/>
      <c r="G2925" s="6"/>
      <c r="K2925" s="6"/>
    </row>
    <row r="2926" spans="3:11" x14ac:dyDescent="0.25">
      <c r="C2926" s="6"/>
      <c r="G2926" s="6"/>
      <c r="K2926" s="6"/>
    </row>
    <row r="2927" spans="3:11" x14ac:dyDescent="0.25">
      <c r="C2927" s="6"/>
      <c r="G2927" s="6"/>
      <c r="K2927" s="6"/>
    </row>
    <row r="2928" spans="3:11" x14ac:dyDescent="0.25">
      <c r="C2928" s="6"/>
      <c r="G2928" s="6"/>
      <c r="K2928" s="6"/>
    </row>
    <row r="2929" spans="3:11" x14ac:dyDescent="0.25">
      <c r="C2929" s="6"/>
      <c r="G2929" s="6"/>
      <c r="K2929" s="6"/>
    </row>
    <row r="2930" spans="3:11" x14ac:dyDescent="0.25">
      <c r="C2930" s="6"/>
      <c r="G2930" s="6"/>
      <c r="K2930" s="6"/>
    </row>
    <row r="2931" spans="3:11" x14ac:dyDescent="0.25">
      <c r="C2931" s="6"/>
      <c r="G2931" s="6"/>
      <c r="K2931" s="6"/>
    </row>
    <row r="2932" spans="3:11" x14ac:dyDescent="0.25">
      <c r="C2932" s="6"/>
      <c r="G2932" s="6"/>
      <c r="K2932" s="6"/>
    </row>
    <row r="2933" spans="3:11" x14ac:dyDescent="0.25">
      <c r="C2933" s="6"/>
      <c r="G2933" s="6"/>
      <c r="K2933" s="6"/>
    </row>
    <row r="2934" spans="3:11" x14ac:dyDescent="0.25">
      <c r="C2934" s="6"/>
      <c r="G2934" s="6"/>
      <c r="K2934" s="6"/>
    </row>
    <row r="2935" spans="3:11" x14ac:dyDescent="0.25">
      <c r="C2935" s="6"/>
      <c r="G2935" s="6"/>
      <c r="K2935" s="6"/>
    </row>
    <row r="2936" spans="3:11" x14ac:dyDescent="0.25">
      <c r="C2936" s="6"/>
      <c r="G2936" s="6"/>
      <c r="K2936" s="6"/>
    </row>
    <row r="2937" spans="3:11" x14ac:dyDescent="0.25">
      <c r="C2937" s="6"/>
      <c r="G2937" s="6"/>
      <c r="K2937" s="6"/>
    </row>
    <row r="2938" spans="3:11" x14ac:dyDescent="0.25">
      <c r="C2938" s="6"/>
      <c r="G2938" s="6"/>
      <c r="K2938" s="6"/>
    </row>
    <row r="2939" spans="3:11" x14ac:dyDescent="0.25">
      <c r="C2939" s="6"/>
      <c r="G2939" s="6"/>
      <c r="K2939" s="6"/>
    </row>
    <row r="2940" spans="3:11" x14ac:dyDescent="0.25">
      <c r="C2940" s="6"/>
      <c r="G2940" s="6"/>
      <c r="K2940" s="6"/>
    </row>
    <row r="2941" spans="3:11" x14ac:dyDescent="0.25">
      <c r="C2941" s="6"/>
      <c r="G2941" s="6"/>
      <c r="K2941" s="6"/>
    </row>
    <row r="2942" spans="3:11" x14ac:dyDescent="0.25">
      <c r="C2942" s="6"/>
      <c r="G2942" s="6"/>
      <c r="K2942" s="6"/>
    </row>
    <row r="2943" spans="3:11" x14ac:dyDescent="0.25">
      <c r="C2943" s="6"/>
      <c r="G2943" s="6"/>
      <c r="K2943" s="6"/>
    </row>
    <row r="2944" spans="3:11" x14ac:dyDescent="0.25">
      <c r="C2944" s="6"/>
      <c r="G2944" s="6"/>
      <c r="K2944" s="6"/>
    </row>
    <row r="2945" spans="3:11" x14ac:dyDescent="0.25">
      <c r="C2945" s="6"/>
      <c r="G2945" s="6"/>
      <c r="K2945" s="6"/>
    </row>
    <row r="2946" spans="3:11" x14ac:dyDescent="0.25">
      <c r="C2946" s="6"/>
      <c r="G2946" s="6"/>
      <c r="K2946" s="6"/>
    </row>
    <row r="2947" spans="3:11" x14ac:dyDescent="0.25">
      <c r="C2947" s="6"/>
      <c r="G2947" s="6"/>
      <c r="K2947" s="6"/>
    </row>
    <row r="2948" spans="3:11" x14ac:dyDescent="0.25">
      <c r="C2948" s="6"/>
      <c r="G2948" s="6"/>
      <c r="K2948" s="6"/>
    </row>
    <row r="2949" spans="3:11" x14ac:dyDescent="0.25">
      <c r="C2949" s="6"/>
      <c r="G2949" s="6"/>
      <c r="K2949" s="6"/>
    </row>
    <row r="2950" spans="3:11" x14ac:dyDescent="0.25">
      <c r="C2950" s="6"/>
      <c r="G2950" s="6"/>
      <c r="K2950" s="6"/>
    </row>
    <row r="2951" spans="3:11" x14ac:dyDescent="0.25">
      <c r="C2951" s="6"/>
      <c r="G2951" s="6"/>
      <c r="K2951" s="6"/>
    </row>
    <row r="2952" spans="3:11" x14ac:dyDescent="0.25">
      <c r="C2952" s="6"/>
      <c r="G2952" s="6"/>
      <c r="K2952" s="6"/>
    </row>
    <row r="2953" spans="3:11" x14ac:dyDescent="0.25">
      <c r="C2953" s="6"/>
      <c r="G2953" s="6"/>
      <c r="K2953" s="6"/>
    </row>
    <row r="2954" spans="3:11" x14ac:dyDescent="0.25">
      <c r="C2954" s="6"/>
      <c r="G2954" s="6"/>
      <c r="K2954" s="6"/>
    </row>
    <row r="2955" spans="3:11" x14ac:dyDescent="0.25">
      <c r="C2955" s="6"/>
      <c r="G2955" s="6"/>
      <c r="K2955" s="6"/>
    </row>
    <row r="2956" spans="3:11" x14ac:dyDescent="0.25">
      <c r="C2956" s="6"/>
      <c r="G2956" s="6"/>
      <c r="K2956" s="6"/>
    </row>
    <row r="2957" spans="3:11" x14ac:dyDescent="0.25">
      <c r="C2957" s="6"/>
      <c r="G2957" s="6"/>
      <c r="K2957" s="6"/>
    </row>
    <row r="2958" spans="3:11" x14ac:dyDescent="0.25">
      <c r="C2958" s="6"/>
      <c r="G2958" s="6"/>
      <c r="K2958" s="6"/>
    </row>
    <row r="2959" spans="3:11" x14ac:dyDescent="0.25">
      <c r="C2959" s="6"/>
      <c r="G2959" s="6"/>
      <c r="K2959" s="6"/>
    </row>
    <row r="2960" spans="3:11" x14ac:dyDescent="0.25">
      <c r="C2960" s="6"/>
      <c r="G2960" s="6"/>
      <c r="K2960" s="6"/>
    </row>
    <row r="2961" spans="3:11" x14ac:dyDescent="0.25">
      <c r="C2961" s="6"/>
      <c r="G2961" s="6"/>
      <c r="K2961" s="6"/>
    </row>
    <row r="2962" spans="3:11" x14ac:dyDescent="0.25">
      <c r="C2962" s="6"/>
      <c r="G2962" s="6"/>
      <c r="K2962" s="6"/>
    </row>
    <row r="2963" spans="3:11" x14ac:dyDescent="0.25">
      <c r="C2963" s="6"/>
      <c r="G2963" s="6"/>
      <c r="K2963" s="6"/>
    </row>
    <row r="2964" spans="3:11" x14ac:dyDescent="0.25">
      <c r="C2964" s="6"/>
      <c r="G2964" s="6"/>
      <c r="K2964" s="6"/>
    </row>
    <row r="2965" spans="3:11" x14ac:dyDescent="0.25">
      <c r="C2965" s="6"/>
      <c r="G2965" s="6"/>
      <c r="K2965" s="6"/>
    </row>
    <row r="2966" spans="3:11" x14ac:dyDescent="0.25">
      <c r="C2966" s="6"/>
      <c r="G2966" s="6"/>
      <c r="K2966" s="6"/>
    </row>
    <row r="2967" spans="3:11" x14ac:dyDescent="0.25">
      <c r="C2967" s="6"/>
      <c r="G2967" s="6"/>
      <c r="K2967" s="6"/>
    </row>
    <row r="2968" spans="3:11" x14ac:dyDescent="0.25">
      <c r="C2968" s="6"/>
      <c r="G2968" s="6"/>
      <c r="K2968" s="6"/>
    </row>
    <row r="2969" spans="3:11" x14ac:dyDescent="0.25">
      <c r="C2969" s="6"/>
      <c r="G2969" s="6"/>
      <c r="K2969" s="6"/>
    </row>
    <row r="2970" spans="3:11" x14ac:dyDescent="0.25">
      <c r="C2970" s="6"/>
      <c r="G2970" s="6"/>
      <c r="K2970" s="6"/>
    </row>
    <row r="2971" spans="3:11" x14ac:dyDescent="0.25">
      <c r="C2971" s="6"/>
      <c r="G2971" s="6"/>
      <c r="K2971" s="6"/>
    </row>
    <row r="2972" spans="3:11" x14ac:dyDescent="0.25">
      <c r="C2972" s="6"/>
      <c r="G2972" s="6"/>
      <c r="K2972" s="6"/>
    </row>
    <row r="2973" spans="3:11" x14ac:dyDescent="0.25">
      <c r="C2973" s="6"/>
      <c r="G2973" s="6"/>
      <c r="K2973" s="6"/>
    </row>
    <row r="2974" spans="3:11" x14ac:dyDescent="0.25">
      <c r="C2974" s="6"/>
      <c r="G2974" s="6"/>
      <c r="K2974" s="6"/>
    </row>
    <row r="2975" spans="3:11" x14ac:dyDescent="0.25">
      <c r="C2975" s="6"/>
      <c r="G2975" s="6"/>
      <c r="K2975" s="6"/>
    </row>
    <row r="2976" spans="3:11" x14ac:dyDescent="0.25">
      <c r="C2976" s="6"/>
      <c r="G2976" s="6"/>
      <c r="K2976" s="6"/>
    </row>
    <row r="2977" spans="3:11" x14ac:dyDescent="0.25">
      <c r="C2977" s="6"/>
      <c r="G2977" s="6"/>
      <c r="K2977" s="6"/>
    </row>
    <row r="2978" spans="3:11" x14ac:dyDescent="0.25">
      <c r="C2978" s="6"/>
      <c r="G2978" s="6"/>
      <c r="K2978" s="6"/>
    </row>
    <row r="2979" spans="3:11" x14ac:dyDescent="0.25">
      <c r="C2979" s="6"/>
      <c r="G2979" s="6"/>
      <c r="K2979" s="6"/>
    </row>
    <row r="2980" spans="3:11" x14ac:dyDescent="0.25">
      <c r="C2980" s="6"/>
      <c r="G2980" s="6"/>
      <c r="K2980" s="6"/>
    </row>
    <row r="2981" spans="3:11" x14ac:dyDescent="0.25">
      <c r="C2981" s="6"/>
      <c r="G2981" s="6"/>
      <c r="K2981" s="6"/>
    </row>
    <row r="2982" spans="3:11" x14ac:dyDescent="0.25">
      <c r="C2982" s="6"/>
      <c r="G2982" s="6"/>
      <c r="K2982" s="6"/>
    </row>
    <row r="2983" spans="3:11" x14ac:dyDescent="0.25">
      <c r="C2983" s="6"/>
      <c r="G2983" s="6"/>
      <c r="K2983" s="6"/>
    </row>
    <row r="2984" spans="3:11" x14ac:dyDescent="0.25">
      <c r="C2984" s="6"/>
      <c r="G2984" s="6"/>
      <c r="K2984" s="6"/>
    </row>
    <row r="2985" spans="3:11" x14ac:dyDescent="0.25">
      <c r="C2985" s="6"/>
      <c r="G2985" s="6"/>
      <c r="K2985" s="6"/>
    </row>
    <row r="2986" spans="3:11" x14ac:dyDescent="0.25">
      <c r="C2986" s="6"/>
      <c r="G2986" s="6"/>
      <c r="K2986" s="6"/>
    </row>
    <row r="2987" spans="3:11" x14ac:dyDescent="0.25">
      <c r="C2987" s="6"/>
      <c r="G2987" s="6"/>
      <c r="K2987" s="6"/>
    </row>
    <row r="2988" spans="3:11" x14ac:dyDescent="0.25">
      <c r="C2988" s="6"/>
      <c r="G2988" s="6"/>
      <c r="K2988" s="6"/>
    </row>
    <row r="2989" spans="3:11" x14ac:dyDescent="0.25">
      <c r="C2989" s="6"/>
      <c r="G2989" s="6"/>
      <c r="K2989" s="6"/>
    </row>
    <row r="2990" spans="3:11" x14ac:dyDescent="0.25">
      <c r="C2990" s="6"/>
      <c r="G2990" s="6"/>
      <c r="K2990" s="6"/>
    </row>
    <row r="2991" spans="3:11" x14ac:dyDescent="0.25">
      <c r="C2991" s="6"/>
      <c r="G2991" s="6"/>
      <c r="K2991" s="6"/>
    </row>
    <row r="2992" spans="3:11" x14ac:dyDescent="0.25">
      <c r="C2992" s="6"/>
      <c r="G2992" s="6"/>
      <c r="K2992" s="6"/>
    </row>
    <row r="2993" spans="3:11" x14ac:dyDescent="0.25">
      <c r="C2993" s="6"/>
      <c r="G2993" s="6"/>
      <c r="K2993" s="6"/>
    </row>
    <row r="2994" spans="3:11" x14ac:dyDescent="0.25">
      <c r="C2994" s="6"/>
      <c r="G2994" s="6"/>
      <c r="K2994" s="6"/>
    </row>
    <row r="2995" spans="3:11" x14ac:dyDescent="0.25">
      <c r="C2995" s="6"/>
      <c r="G2995" s="6"/>
      <c r="K2995" s="6"/>
    </row>
    <row r="2996" spans="3:11" x14ac:dyDescent="0.25">
      <c r="C2996" s="6"/>
      <c r="G2996" s="6"/>
      <c r="K2996" s="6"/>
    </row>
    <row r="2997" spans="3:11" x14ac:dyDescent="0.25">
      <c r="C2997" s="6"/>
      <c r="G2997" s="6"/>
      <c r="K2997" s="6"/>
    </row>
    <row r="2998" spans="3:11" x14ac:dyDescent="0.25">
      <c r="C2998" s="6"/>
      <c r="G2998" s="6"/>
      <c r="K2998" s="6"/>
    </row>
    <row r="2999" spans="3:11" x14ac:dyDescent="0.25">
      <c r="C2999" s="6"/>
      <c r="G2999" s="6"/>
      <c r="K2999" s="6"/>
    </row>
    <row r="3000" spans="3:11" x14ac:dyDescent="0.25">
      <c r="C3000" s="6"/>
      <c r="G3000" s="6"/>
      <c r="K3000" s="6"/>
    </row>
    <row r="3001" spans="3:11" x14ac:dyDescent="0.25">
      <c r="C3001" s="6"/>
      <c r="G3001" s="6"/>
      <c r="K3001" s="6"/>
    </row>
    <row r="3002" spans="3:11" x14ac:dyDescent="0.25">
      <c r="C3002" s="6"/>
      <c r="G3002" s="6"/>
      <c r="K3002" s="6"/>
    </row>
    <row r="3003" spans="3:11" x14ac:dyDescent="0.25">
      <c r="C3003" s="6"/>
      <c r="G3003" s="6"/>
      <c r="K3003" s="6"/>
    </row>
    <row r="3004" spans="3:11" x14ac:dyDescent="0.25">
      <c r="C3004" s="6"/>
      <c r="G3004" s="6"/>
      <c r="K3004" s="6"/>
    </row>
    <row r="3005" spans="3:11" x14ac:dyDescent="0.25">
      <c r="C3005" s="6"/>
      <c r="G3005" s="6"/>
      <c r="K3005" s="6"/>
    </row>
    <row r="3006" spans="3:11" x14ac:dyDescent="0.25">
      <c r="C3006" s="6"/>
      <c r="G3006" s="6"/>
      <c r="K3006" s="6"/>
    </row>
    <row r="3007" spans="3:11" x14ac:dyDescent="0.25">
      <c r="C3007" s="6"/>
      <c r="G3007" s="6"/>
      <c r="K3007" s="6"/>
    </row>
    <row r="3008" spans="3:11" x14ac:dyDescent="0.25">
      <c r="C3008" s="6"/>
      <c r="G3008" s="6"/>
      <c r="K3008" s="6"/>
    </row>
    <row r="3009" spans="3:11" x14ac:dyDescent="0.25">
      <c r="C3009" s="6"/>
      <c r="G3009" s="6"/>
      <c r="K3009" s="6"/>
    </row>
    <row r="3010" spans="3:11" x14ac:dyDescent="0.25">
      <c r="C3010" s="6"/>
      <c r="G3010" s="6"/>
      <c r="K3010" s="6"/>
    </row>
    <row r="3011" spans="3:11" x14ac:dyDescent="0.25">
      <c r="C3011" s="6"/>
      <c r="G3011" s="6"/>
      <c r="K3011" s="6"/>
    </row>
    <row r="3012" spans="3:11" x14ac:dyDescent="0.25">
      <c r="C3012" s="6"/>
      <c r="G3012" s="6"/>
      <c r="K3012" s="6"/>
    </row>
    <row r="3013" spans="3:11" x14ac:dyDescent="0.25">
      <c r="C3013" s="6"/>
      <c r="G3013" s="6"/>
      <c r="K3013" s="6"/>
    </row>
    <row r="3014" spans="3:11" x14ac:dyDescent="0.25">
      <c r="C3014" s="6"/>
      <c r="G3014" s="6"/>
      <c r="K3014" s="6"/>
    </row>
    <row r="3015" spans="3:11" x14ac:dyDescent="0.25">
      <c r="C3015" s="6"/>
      <c r="G3015" s="6"/>
      <c r="K3015" s="6"/>
    </row>
    <row r="3016" spans="3:11" x14ac:dyDescent="0.25">
      <c r="C3016" s="6"/>
      <c r="G3016" s="6"/>
      <c r="K3016" s="6"/>
    </row>
    <row r="3017" spans="3:11" x14ac:dyDescent="0.25">
      <c r="C3017" s="6"/>
      <c r="G3017" s="6"/>
      <c r="K3017" s="6"/>
    </row>
    <row r="3018" spans="3:11" x14ac:dyDescent="0.25">
      <c r="C3018" s="6"/>
      <c r="G3018" s="6"/>
      <c r="K3018" s="6"/>
    </row>
    <row r="3019" spans="3:11" x14ac:dyDescent="0.25">
      <c r="C3019" s="6"/>
      <c r="G3019" s="6"/>
      <c r="K3019" s="6"/>
    </row>
    <row r="3020" spans="3:11" x14ac:dyDescent="0.25">
      <c r="C3020" s="6"/>
      <c r="G3020" s="6"/>
      <c r="K3020" s="6"/>
    </row>
    <row r="3021" spans="3:11" x14ac:dyDescent="0.25">
      <c r="C3021" s="6"/>
      <c r="G3021" s="6"/>
      <c r="K3021" s="6"/>
    </row>
    <row r="3022" spans="3:11" x14ac:dyDescent="0.25">
      <c r="C3022" s="6"/>
      <c r="G3022" s="6"/>
      <c r="K3022" s="6"/>
    </row>
    <row r="3023" spans="3:11" x14ac:dyDescent="0.25">
      <c r="C3023" s="6"/>
      <c r="G3023" s="6"/>
      <c r="K3023" s="6"/>
    </row>
    <row r="3024" spans="3:11" x14ac:dyDescent="0.25">
      <c r="C3024" s="6"/>
      <c r="G3024" s="6"/>
      <c r="K3024" s="6"/>
    </row>
    <row r="3025" spans="3:11" x14ac:dyDescent="0.25">
      <c r="C3025" s="6"/>
      <c r="G3025" s="6"/>
      <c r="K3025" s="6"/>
    </row>
    <row r="3026" spans="3:11" x14ac:dyDescent="0.25">
      <c r="C3026" s="6"/>
      <c r="G3026" s="6"/>
      <c r="K3026" s="6"/>
    </row>
    <row r="3027" spans="3:11" x14ac:dyDescent="0.25">
      <c r="C3027" s="6"/>
      <c r="G3027" s="6"/>
      <c r="K3027" s="6"/>
    </row>
    <row r="3028" spans="3:11" x14ac:dyDescent="0.25">
      <c r="C3028" s="6"/>
      <c r="G3028" s="6"/>
      <c r="K3028" s="6"/>
    </row>
    <row r="3029" spans="3:11" x14ac:dyDescent="0.25">
      <c r="C3029" s="6"/>
      <c r="G3029" s="6"/>
      <c r="K3029" s="6"/>
    </row>
    <row r="3030" spans="3:11" x14ac:dyDescent="0.25">
      <c r="C3030" s="6"/>
      <c r="G3030" s="6"/>
      <c r="K3030" s="6"/>
    </row>
    <row r="3031" spans="3:11" x14ac:dyDescent="0.25">
      <c r="C3031" s="6"/>
      <c r="G3031" s="6"/>
      <c r="K3031" s="6"/>
    </row>
    <row r="3032" spans="3:11" x14ac:dyDescent="0.25">
      <c r="C3032" s="6"/>
      <c r="G3032" s="6"/>
      <c r="K3032" s="6"/>
    </row>
    <row r="3033" spans="3:11" x14ac:dyDescent="0.25">
      <c r="C3033" s="6"/>
      <c r="G3033" s="6"/>
      <c r="K3033" s="6"/>
    </row>
    <row r="3034" spans="3:11" x14ac:dyDescent="0.25">
      <c r="C3034" s="6"/>
      <c r="G3034" s="6"/>
      <c r="K3034" s="6"/>
    </row>
    <row r="3035" spans="3:11" x14ac:dyDescent="0.25">
      <c r="C3035" s="6"/>
      <c r="G3035" s="6"/>
      <c r="K3035" s="6"/>
    </row>
    <row r="3036" spans="3:11" x14ac:dyDescent="0.25">
      <c r="C3036" s="6"/>
      <c r="G3036" s="6"/>
      <c r="K3036" s="6"/>
    </row>
    <row r="3037" spans="3:11" x14ac:dyDescent="0.25">
      <c r="C3037" s="6"/>
      <c r="G3037" s="6"/>
      <c r="K3037" s="6"/>
    </row>
    <row r="3038" spans="3:11" x14ac:dyDescent="0.25">
      <c r="C3038" s="6"/>
      <c r="G3038" s="6"/>
      <c r="K3038" s="6"/>
    </row>
    <row r="3039" spans="3:11" x14ac:dyDescent="0.25">
      <c r="C3039" s="6"/>
      <c r="G3039" s="6"/>
      <c r="K3039" s="6"/>
    </row>
    <row r="3040" spans="3:11" x14ac:dyDescent="0.25">
      <c r="C3040" s="6"/>
      <c r="G3040" s="6"/>
      <c r="K3040" s="6"/>
    </row>
    <row r="3041" spans="3:11" x14ac:dyDescent="0.25">
      <c r="C3041" s="6"/>
      <c r="G3041" s="6"/>
      <c r="K3041" s="6"/>
    </row>
    <row r="3042" spans="3:11" x14ac:dyDescent="0.25">
      <c r="C3042" s="6"/>
      <c r="G3042" s="6"/>
      <c r="K3042" s="6"/>
    </row>
    <row r="3043" spans="3:11" x14ac:dyDescent="0.25">
      <c r="C3043" s="6"/>
      <c r="G3043" s="6"/>
      <c r="K3043" s="6"/>
    </row>
    <row r="3044" spans="3:11" x14ac:dyDescent="0.25">
      <c r="C3044" s="6"/>
      <c r="G3044" s="6"/>
      <c r="K3044" s="6"/>
    </row>
    <row r="3045" spans="3:11" x14ac:dyDescent="0.25">
      <c r="C3045" s="6"/>
      <c r="G3045" s="6"/>
      <c r="K3045" s="6"/>
    </row>
    <row r="3046" spans="3:11" x14ac:dyDescent="0.25">
      <c r="C3046" s="6"/>
      <c r="G3046" s="6"/>
      <c r="K3046" s="6"/>
    </row>
    <row r="3047" spans="3:11" x14ac:dyDescent="0.25">
      <c r="C3047" s="6"/>
      <c r="G3047" s="6"/>
      <c r="K3047" s="6"/>
    </row>
    <row r="3048" spans="3:11" x14ac:dyDescent="0.25">
      <c r="C3048" s="6"/>
      <c r="G3048" s="6"/>
      <c r="K3048" s="6"/>
    </row>
    <row r="3049" spans="3:11" x14ac:dyDescent="0.25">
      <c r="C3049" s="6"/>
      <c r="G3049" s="6"/>
      <c r="K3049" s="6"/>
    </row>
    <row r="3050" spans="3:11" x14ac:dyDescent="0.25">
      <c r="C3050" s="6"/>
      <c r="G3050" s="6"/>
      <c r="K3050" s="6"/>
    </row>
    <row r="3051" spans="3:11" x14ac:dyDescent="0.25">
      <c r="C3051" s="6"/>
      <c r="G3051" s="6"/>
      <c r="K3051" s="6"/>
    </row>
    <row r="3052" spans="3:11" x14ac:dyDescent="0.25">
      <c r="C3052" s="6"/>
      <c r="G3052" s="6"/>
      <c r="K3052" s="6"/>
    </row>
    <row r="3053" spans="3:11" x14ac:dyDescent="0.25">
      <c r="C3053" s="6"/>
      <c r="G3053" s="6"/>
      <c r="K3053" s="6"/>
    </row>
    <row r="3054" spans="3:11" x14ac:dyDescent="0.25">
      <c r="C3054" s="6"/>
      <c r="G3054" s="6"/>
      <c r="K3054" s="6"/>
    </row>
    <row r="3055" spans="3:11" x14ac:dyDescent="0.25">
      <c r="C3055" s="6"/>
      <c r="G3055" s="6"/>
      <c r="K3055" s="6"/>
    </row>
    <row r="3056" spans="3:11" x14ac:dyDescent="0.25">
      <c r="C3056" s="6"/>
      <c r="G3056" s="6"/>
      <c r="K3056" s="6"/>
    </row>
    <row r="3057" spans="3:11" x14ac:dyDescent="0.25">
      <c r="C3057" s="6"/>
      <c r="G3057" s="6"/>
      <c r="K3057" s="6"/>
    </row>
    <row r="3058" spans="3:11" x14ac:dyDescent="0.25">
      <c r="C3058" s="6"/>
      <c r="G3058" s="6"/>
      <c r="K3058" s="6"/>
    </row>
    <row r="3059" spans="3:11" x14ac:dyDescent="0.25">
      <c r="C3059" s="6"/>
      <c r="G3059" s="6"/>
      <c r="K3059" s="6"/>
    </row>
    <row r="3060" spans="3:11" x14ac:dyDescent="0.25">
      <c r="C3060" s="6"/>
      <c r="G3060" s="6"/>
      <c r="K3060" s="6"/>
    </row>
    <row r="3061" spans="3:11" x14ac:dyDescent="0.25">
      <c r="C3061" s="6"/>
      <c r="G3061" s="6"/>
      <c r="K3061" s="6"/>
    </row>
    <row r="3062" spans="3:11" x14ac:dyDescent="0.25">
      <c r="C3062" s="6"/>
      <c r="G3062" s="6"/>
      <c r="K3062" s="6"/>
    </row>
    <row r="3063" spans="3:11" x14ac:dyDescent="0.25">
      <c r="C3063" s="6"/>
      <c r="G3063" s="6"/>
      <c r="K3063" s="6"/>
    </row>
    <row r="3064" spans="3:11" x14ac:dyDescent="0.25">
      <c r="C3064" s="6"/>
      <c r="G3064" s="6"/>
      <c r="K3064" s="6"/>
    </row>
    <row r="3065" spans="3:11" x14ac:dyDescent="0.25">
      <c r="C3065" s="6"/>
      <c r="G3065" s="6"/>
      <c r="K3065" s="6"/>
    </row>
    <row r="3066" spans="3:11" x14ac:dyDescent="0.25">
      <c r="C3066" s="6"/>
      <c r="G3066" s="6"/>
      <c r="K3066" s="6"/>
    </row>
    <row r="3067" spans="3:11" x14ac:dyDescent="0.25">
      <c r="C3067" s="6"/>
      <c r="G3067" s="6"/>
      <c r="K3067" s="6"/>
    </row>
    <row r="3068" spans="3:11" x14ac:dyDescent="0.25">
      <c r="C3068" s="6"/>
      <c r="G3068" s="6"/>
      <c r="K3068" s="6"/>
    </row>
    <row r="3069" spans="3:11" x14ac:dyDescent="0.25">
      <c r="C3069" s="6"/>
      <c r="G3069" s="6"/>
      <c r="K3069" s="6"/>
    </row>
    <row r="3070" spans="3:11" x14ac:dyDescent="0.25">
      <c r="C3070" s="6"/>
      <c r="G3070" s="6"/>
      <c r="K3070" s="6"/>
    </row>
    <row r="3071" spans="3:11" x14ac:dyDescent="0.25">
      <c r="C3071" s="6"/>
      <c r="G3071" s="6"/>
      <c r="K3071" s="6"/>
    </row>
    <row r="3072" spans="3:11" x14ac:dyDescent="0.25">
      <c r="C3072" s="6"/>
      <c r="G3072" s="6"/>
      <c r="K3072" s="6"/>
    </row>
    <row r="3073" spans="3:11" x14ac:dyDescent="0.25">
      <c r="C3073" s="6"/>
      <c r="G3073" s="6"/>
      <c r="K3073" s="6"/>
    </row>
    <row r="3074" spans="3:11" x14ac:dyDescent="0.25">
      <c r="C3074" s="6"/>
      <c r="G3074" s="6"/>
      <c r="K3074" s="6"/>
    </row>
    <row r="3075" spans="3:11" x14ac:dyDescent="0.25">
      <c r="C3075" s="6"/>
      <c r="G3075" s="6"/>
      <c r="K3075" s="6"/>
    </row>
    <row r="3076" spans="3:11" x14ac:dyDescent="0.25">
      <c r="C3076" s="6"/>
      <c r="G3076" s="6"/>
      <c r="K3076" s="6"/>
    </row>
    <row r="3077" spans="3:11" x14ac:dyDescent="0.25">
      <c r="C3077" s="6"/>
      <c r="G3077" s="6"/>
      <c r="K3077" s="6"/>
    </row>
    <row r="3078" spans="3:11" x14ac:dyDescent="0.25">
      <c r="C3078" s="6"/>
      <c r="G3078" s="6"/>
      <c r="K3078" s="6"/>
    </row>
    <row r="3079" spans="3:11" x14ac:dyDescent="0.25">
      <c r="C3079" s="6"/>
      <c r="G3079" s="6"/>
      <c r="K3079" s="6"/>
    </row>
    <row r="3080" spans="3:11" x14ac:dyDescent="0.25">
      <c r="C3080" s="6"/>
      <c r="G3080" s="6"/>
      <c r="K3080" s="6"/>
    </row>
    <row r="3081" spans="3:11" x14ac:dyDescent="0.25">
      <c r="C3081" s="6"/>
      <c r="G3081" s="6"/>
      <c r="K3081" s="6"/>
    </row>
    <row r="3082" spans="3:11" x14ac:dyDescent="0.25">
      <c r="C3082" s="6"/>
      <c r="G3082" s="6"/>
      <c r="K3082" s="6"/>
    </row>
    <row r="3083" spans="3:11" x14ac:dyDescent="0.25">
      <c r="C3083" s="6"/>
      <c r="G3083" s="6"/>
      <c r="K3083" s="6"/>
    </row>
    <row r="3084" spans="3:11" x14ac:dyDescent="0.25">
      <c r="C3084" s="6"/>
      <c r="G3084" s="6"/>
      <c r="K3084" s="6"/>
    </row>
    <row r="3085" spans="3:11" x14ac:dyDescent="0.25">
      <c r="C3085" s="6"/>
      <c r="G3085" s="6"/>
      <c r="K3085" s="6"/>
    </row>
    <row r="3086" spans="3:11" x14ac:dyDescent="0.25">
      <c r="C3086" s="6"/>
      <c r="G3086" s="6"/>
      <c r="K3086" s="6"/>
    </row>
    <row r="3087" spans="3:11" x14ac:dyDescent="0.25">
      <c r="C3087" s="6"/>
      <c r="G3087" s="6"/>
      <c r="K3087" s="6"/>
    </row>
    <row r="3088" spans="3:11" x14ac:dyDescent="0.25">
      <c r="C3088" s="6"/>
      <c r="G3088" s="6"/>
      <c r="K3088" s="6"/>
    </row>
    <row r="3089" spans="3:11" x14ac:dyDescent="0.25">
      <c r="C3089" s="6"/>
      <c r="G3089" s="6"/>
      <c r="K3089" s="6"/>
    </row>
    <row r="3090" spans="3:11" x14ac:dyDescent="0.25">
      <c r="C3090" s="6"/>
      <c r="G3090" s="6"/>
      <c r="K3090" s="6"/>
    </row>
    <row r="3091" spans="3:11" x14ac:dyDescent="0.25">
      <c r="C3091" s="6"/>
      <c r="G3091" s="6"/>
      <c r="K3091" s="6"/>
    </row>
    <row r="3092" spans="3:11" x14ac:dyDescent="0.25">
      <c r="C3092" s="6"/>
      <c r="G3092" s="6"/>
      <c r="K3092" s="6"/>
    </row>
    <row r="3093" spans="3:11" x14ac:dyDescent="0.25">
      <c r="C3093" s="6"/>
      <c r="G3093" s="6"/>
      <c r="K3093" s="6"/>
    </row>
    <row r="3094" spans="3:11" x14ac:dyDescent="0.25">
      <c r="C3094" s="6"/>
      <c r="G3094" s="6"/>
      <c r="K3094" s="6"/>
    </row>
    <row r="3095" spans="3:11" x14ac:dyDescent="0.25">
      <c r="C3095" s="6"/>
      <c r="G3095" s="6"/>
      <c r="K3095" s="6"/>
    </row>
    <row r="3096" spans="3:11" x14ac:dyDescent="0.25">
      <c r="C3096" s="6"/>
      <c r="G3096" s="6"/>
      <c r="K3096" s="6"/>
    </row>
    <row r="3097" spans="3:11" x14ac:dyDescent="0.25">
      <c r="C3097" s="6"/>
      <c r="G3097" s="6"/>
      <c r="K3097" s="6"/>
    </row>
    <row r="3098" spans="3:11" x14ac:dyDescent="0.25">
      <c r="C3098" s="6"/>
      <c r="G3098" s="6"/>
      <c r="K3098" s="6"/>
    </row>
    <row r="3099" spans="3:11" x14ac:dyDescent="0.25">
      <c r="C3099" s="6"/>
      <c r="G3099" s="6"/>
      <c r="K3099" s="6"/>
    </row>
    <row r="3100" spans="3:11" x14ac:dyDescent="0.25">
      <c r="C3100" s="6"/>
      <c r="G3100" s="6"/>
      <c r="K3100" s="6"/>
    </row>
    <row r="3101" spans="3:11" x14ac:dyDescent="0.25">
      <c r="C3101" s="6"/>
      <c r="G3101" s="6"/>
      <c r="K3101" s="6"/>
    </row>
    <row r="3102" spans="3:11" x14ac:dyDescent="0.25">
      <c r="C3102" s="6"/>
      <c r="G3102" s="6"/>
      <c r="K3102" s="6"/>
    </row>
    <row r="3103" spans="3:11" x14ac:dyDescent="0.25">
      <c r="C3103" s="6"/>
      <c r="G3103" s="6"/>
      <c r="K3103" s="6"/>
    </row>
    <row r="3104" spans="3:11" x14ac:dyDescent="0.25">
      <c r="C3104" s="6"/>
      <c r="G3104" s="6"/>
      <c r="K3104" s="6"/>
    </row>
    <row r="3105" spans="3:11" x14ac:dyDescent="0.25">
      <c r="C3105" s="6"/>
      <c r="G3105" s="6"/>
      <c r="K3105" s="6"/>
    </row>
    <row r="3106" spans="3:11" x14ac:dyDescent="0.25">
      <c r="C3106" s="6"/>
      <c r="G3106" s="6"/>
      <c r="K3106" s="6"/>
    </row>
    <row r="3107" spans="3:11" x14ac:dyDescent="0.25">
      <c r="C3107" s="6"/>
      <c r="G3107" s="6"/>
      <c r="K3107" s="6"/>
    </row>
    <row r="3108" spans="3:11" x14ac:dyDescent="0.25">
      <c r="C3108" s="6"/>
      <c r="G3108" s="6"/>
      <c r="K3108" s="6"/>
    </row>
    <row r="3109" spans="3:11" x14ac:dyDescent="0.25">
      <c r="C3109" s="6"/>
      <c r="G3109" s="6"/>
      <c r="K3109" s="6"/>
    </row>
    <row r="3110" spans="3:11" x14ac:dyDescent="0.25">
      <c r="C3110" s="6"/>
      <c r="G3110" s="6"/>
      <c r="K3110" s="6"/>
    </row>
    <row r="3111" spans="3:11" x14ac:dyDescent="0.25">
      <c r="C3111" s="6"/>
      <c r="G3111" s="6"/>
      <c r="K3111" s="6"/>
    </row>
    <row r="3112" spans="3:11" x14ac:dyDescent="0.25">
      <c r="C3112" s="6"/>
      <c r="G3112" s="6"/>
      <c r="K3112" s="6"/>
    </row>
    <row r="3113" spans="3:11" x14ac:dyDescent="0.25">
      <c r="C3113" s="6"/>
      <c r="G3113" s="6"/>
      <c r="K3113" s="6"/>
    </row>
    <row r="3114" spans="3:11" x14ac:dyDescent="0.25">
      <c r="C3114" s="6"/>
      <c r="G3114" s="6"/>
      <c r="K3114" s="6"/>
    </row>
    <row r="3115" spans="3:11" x14ac:dyDescent="0.25">
      <c r="C3115" s="6"/>
      <c r="G3115" s="6"/>
      <c r="K3115" s="6"/>
    </row>
    <row r="3116" spans="3:11" x14ac:dyDescent="0.25">
      <c r="C3116" s="6"/>
      <c r="G3116" s="6"/>
      <c r="K3116" s="6"/>
    </row>
    <row r="3117" spans="3:11" x14ac:dyDescent="0.25">
      <c r="C3117" s="6"/>
      <c r="G3117" s="6"/>
      <c r="K3117" s="6"/>
    </row>
    <row r="3118" spans="3:11" x14ac:dyDescent="0.25">
      <c r="C3118" s="6"/>
      <c r="G3118" s="6"/>
      <c r="K3118" s="6"/>
    </row>
    <row r="3119" spans="3:11" x14ac:dyDescent="0.25">
      <c r="C3119" s="6"/>
      <c r="G3119" s="6"/>
      <c r="K3119" s="6"/>
    </row>
    <row r="3120" spans="3:11" x14ac:dyDescent="0.25">
      <c r="C3120" s="6"/>
      <c r="G3120" s="6"/>
      <c r="K3120" s="6"/>
    </row>
    <row r="3121" spans="3:11" x14ac:dyDescent="0.25">
      <c r="C3121" s="6"/>
      <c r="G3121" s="6"/>
      <c r="K3121" s="6"/>
    </row>
    <row r="3122" spans="3:11" x14ac:dyDescent="0.25">
      <c r="C3122" s="6"/>
      <c r="G3122" s="6"/>
      <c r="K3122" s="6"/>
    </row>
    <row r="3123" spans="3:11" x14ac:dyDescent="0.25">
      <c r="C3123" s="6"/>
      <c r="G3123" s="6"/>
      <c r="K3123" s="6"/>
    </row>
    <row r="3124" spans="3:11" x14ac:dyDescent="0.25">
      <c r="C3124" s="6"/>
      <c r="G3124" s="6"/>
      <c r="K3124" s="6"/>
    </row>
    <row r="3125" spans="3:11" x14ac:dyDescent="0.25">
      <c r="C3125" s="6"/>
      <c r="G3125" s="6"/>
      <c r="K3125" s="6"/>
    </row>
    <row r="3126" spans="3:11" x14ac:dyDescent="0.25">
      <c r="C3126" s="6"/>
      <c r="G3126" s="6"/>
      <c r="K3126" s="6"/>
    </row>
    <row r="3127" spans="3:11" x14ac:dyDescent="0.25">
      <c r="C3127" s="6"/>
      <c r="G3127" s="6"/>
      <c r="K3127" s="6"/>
    </row>
    <row r="3128" spans="3:11" x14ac:dyDescent="0.25">
      <c r="C3128" s="6"/>
      <c r="G3128" s="6"/>
      <c r="K3128" s="6"/>
    </row>
    <row r="3129" spans="3:11" x14ac:dyDescent="0.25">
      <c r="C3129" s="6"/>
      <c r="G3129" s="6"/>
      <c r="K3129" s="6"/>
    </row>
    <row r="3130" spans="3:11" x14ac:dyDescent="0.25">
      <c r="C3130" s="6"/>
      <c r="G3130" s="6"/>
      <c r="K3130" s="6"/>
    </row>
    <row r="3131" spans="3:11" x14ac:dyDescent="0.25">
      <c r="C3131" s="6"/>
      <c r="G3131" s="6"/>
      <c r="K3131" s="6"/>
    </row>
    <row r="3132" spans="3:11" x14ac:dyDescent="0.25">
      <c r="C3132" s="6"/>
      <c r="G3132" s="6"/>
      <c r="K3132" s="6"/>
    </row>
    <row r="3133" spans="3:11" x14ac:dyDescent="0.25">
      <c r="C3133" s="6"/>
      <c r="G3133" s="6"/>
      <c r="K3133" s="6"/>
    </row>
    <row r="3134" spans="3:11" x14ac:dyDescent="0.25">
      <c r="C3134" s="6"/>
      <c r="G3134" s="6"/>
      <c r="K3134" s="6"/>
    </row>
    <row r="3135" spans="3:11" x14ac:dyDescent="0.25">
      <c r="C3135" s="6"/>
      <c r="G3135" s="6"/>
      <c r="K3135" s="6"/>
    </row>
    <row r="3136" spans="3:11" x14ac:dyDescent="0.25">
      <c r="C3136" s="6"/>
      <c r="G3136" s="6"/>
      <c r="K3136" s="6"/>
    </row>
    <row r="3137" spans="3:11" x14ac:dyDescent="0.25">
      <c r="C3137" s="6"/>
      <c r="G3137" s="6"/>
      <c r="K3137" s="6"/>
    </row>
    <row r="3138" spans="3:11" x14ac:dyDescent="0.25">
      <c r="C3138" s="6"/>
      <c r="G3138" s="6"/>
      <c r="K3138" s="6"/>
    </row>
    <row r="3139" spans="3:11" x14ac:dyDescent="0.25">
      <c r="C3139" s="6"/>
      <c r="G3139" s="6"/>
      <c r="K3139" s="6"/>
    </row>
    <row r="3140" spans="3:11" x14ac:dyDescent="0.25">
      <c r="C3140" s="6"/>
      <c r="G3140" s="6"/>
      <c r="K3140" s="6"/>
    </row>
    <row r="3141" spans="3:11" x14ac:dyDescent="0.25">
      <c r="C3141" s="6"/>
      <c r="G3141" s="6"/>
      <c r="K3141" s="6"/>
    </row>
    <row r="3142" spans="3:11" x14ac:dyDescent="0.25">
      <c r="C3142" s="6"/>
      <c r="G3142" s="6"/>
      <c r="K3142" s="6"/>
    </row>
    <row r="3143" spans="3:11" x14ac:dyDescent="0.25">
      <c r="C3143" s="6"/>
      <c r="G3143" s="6"/>
      <c r="K3143" s="6"/>
    </row>
    <row r="3144" spans="3:11" x14ac:dyDescent="0.25">
      <c r="C3144" s="6"/>
      <c r="G3144" s="6"/>
      <c r="K3144" s="6"/>
    </row>
    <row r="3145" spans="3:11" x14ac:dyDescent="0.25">
      <c r="C3145" s="6"/>
      <c r="G3145" s="6"/>
      <c r="K3145" s="6"/>
    </row>
    <row r="3146" spans="3:11" x14ac:dyDescent="0.25">
      <c r="C3146" s="6"/>
      <c r="G3146" s="6"/>
      <c r="K3146" s="6"/>
    </row>
    <row r="3147" spans="3:11" x14ac:dyDescent="0.25">
      <c r="C3147" s="6"/>
      <c r="G3147" s="6"/>
      <c r="K3147" s="6"/>
    </row>
    <row r="3148" spans="3:11" x14ac:dyDescent="0.25">
      <c r="C3148" s="6"/>
      <c r="G3148" s="6"/>
      <c r="K3148" s="6"/>
    </row>
    <row r="3149" spans="3:11" x14ac:dyDescent="0.25">
      <c r="C3149" s="6"/>
      <c r="G3149" s="6"/>
      <c r="K3149" s="6"/>
    </row>
    <row r="3150" spans="3:11" x14ac:dyDescent="0.25">
      <c r="C3150" s="6"/>
      <c r="G3150" s="6"/>
      <c r="K3150" s="6"/>
    </row>
    <row r="3151" spans="3:11" x14ac:dyDescent="0.25">
      <c r="C3151" s="6"/>
      <c r="G3151" s="6"/>
      <c r="K3151" s="6"/>
    </row>
    <row r="3152" spans="3:11" x14ac:dyDescent="0.25">
      <c r="C3152" s="6"/>
      <c r="G3152" s="6"/>
      <c r="K3152" s="6"/>
    </row>
    <row r="3153" spans="3:11" x14ac:dyDescent="0.25">
      <c r="C3153" s="6"/>
      <c r="G3153" s="6"/>
      <c r="K3153" s="6"/>
    </row>
    <row r="3154" spans="3:11" x14ac:dyDescent="0.25">
      <c r="C3154" s="6"/>
      <c r="G3154" s="6"/>
      <c r="K3154" s="6"/>
    </row>
    <row r="3155" spans="3:11" x14ac:dyDescent="0.25">
      <c r="C3155" s="6"/>
      <c r="G3155" s="6"/>
      <c r="K3155" s="6"/>
    </row>
    <row r="3156" spans="3:11" x14ac:dyDescent="0.25">
      <c r="C3156" s="6"/>
      <c r="G3156" s="6"/>
      <c r="K3156" s="6"/>
    </row>
    <row r="3157" spans="3:11" x14ac:dyDescent="0.25">
      <c r="C3157" s="6"/>
      <c r="G3157" s="6"/>
      <c r="K3157" s="6"/>
    </row>
    <row r="3158" spans="3:11" x14ac:dyDescent="0.25">
      <c r="C3158" s="6"/>
      <c r="G3158" s="6"/>
      <c r="K3158" s="6"/>
    </row>
    <row r="3159" spans="3:11" x14ac:dyDescent="0.25">
      <c r="C3159" s="6"/>
      <c r="G3159" s="6"/>
      <c r="K3159" s="6"/>
    </row>
    <row r="3160" spans="3:11" x14ac:dyDescent="0.25">
      <c r="C3160" s="6"/>
      <c r="G3160" s="6"/>
      <c r="K3160" s="6"/>
    </row>
    <row r="3161" spans="3:11" x14ac:dyDescent="0.25">
      <c r="C3161" s="6"/>
      <c r="G3161" s="6"/>
      <c r="K3161" s="6"/>
    </row>
    <row r="3162" spans="3:11" x14ac:dyDescent="0.25">
      <c r="C3162" s="6"/>
      <c r="G3162" s="6"/>
      <c r="K3162" s="6"/>
    </row>
    <row r="3163" spans="3:11" x14ac:dyDescent="0.25">
      <c r="C3163" s="6"/>
      <c r="G3163" s="6"/>
      <c r="K3163" s="6"/>
    </row>
    <row r="3164" spans="3:11" x14ac:dyDescent="0.25">
      <c r="C3164" s="6"/>
      <c r="G3164" s="6"/>
      <c r="K3164" s="6"/>
    </row>
    <row r="3165" spans="3:11" x14ac:dyDescent="0.25">
      <c r="C3165" s="6"/>
      <c r="G3165" s="6"/>
      <c r="K3165" s="6"/>
    </row>
    <row r="3166" spans="3:11" x14ac:dyDescent="0.25">
      <c r="C3166" s="6"/>
      <c r="G3166" s="6"/>
      <c r="K3166" s="6"/>
    </row>
    <row r="3167" spans="3:11" x14ac:dyDescent="0.25">
      <c r="C3167" s="6"/>
      <c r="G3167" s="6"/>
      <c r="K3167" s="6"/>
    </row>
    <row r="3168" spans="3:11" x14ac:dyDescent="0.25">
      <c r="C3168" s="6"/>
      <c r="G3168" s="6"/>
      <c r="K3168" s="6"/>
    </row>
    <row r="3169" spans="3:11" x14ac:dyDescent="0.25">
      <c r="C3169" s="6"/>
      <c r="G3169" s="6"/>
      <c r="K3169" s="6"/>
    </row>
    <row r="3170" spans="3:11" x14ac:dyDescent="0.25">
      <c r="C3170" s="6"/>
      <c r="G3170" s="6"/>
      <c r="K3170" s="6"/>
    </row>
    <row r="3171" spans="3:11" x14ac:dyDescent="0.25">
      <c r="C3171" s="6"/>
      <c r="G3171" s="6"/>
      <c r="K3171" s="6"/>
    </row>
    <row r="3172" spans="3:11" x14ac:dyDescent="0.25">
      <c r="C3172" s="6"/>
      <c r="G3172" s="6"/>
      <c r="K3172" s="6"/>
    </row>
    <row r="3173" spans="3:11" x14ac:dyDescent="0.25">
      <c r="C3173" s="6"/>
      <c r="G3173" s="6"/>
      <c r="K3173" s="6"/>
    </row>
    <row r="3174" spans="3:11" x14ac:dyDescent="0.25">
      <c r="C3174" s="6"/>
      <c r="G3174" s="6"/>
      <c r="K3174" s="6"/>
    </row>
    <row r="3175" spans="3:11" x14ac:dyDescent="0.25">
      <c r="C3175" s="6"/>
      <c r="G3175" s="6"/>
      <c r="K3175" s="6"/>
    </row>
    <row r="3176" spans="3:11" x14ac:dyDescent="0.25">
      <c r="C3176" s="6"/>
      <c r="G3176" s="6"/>
      <c r="K3176" s="6"/>
    </row>
    <row r="3177" spans="3:11" x14ac:dyDescent="0.25">
      <c r="C3177" s="6"/>
      <c r="G3177" s="6"/>
      <c r="K3177" s="6"/>
    </row>
    <row r="3178" spans="3:11" x14ac:dyDescent="0.25">
      <c r="C3178" s="6"/>
      <c r="G3178" s="6"/>
      <c r="K3178" s="6"/>
    </row>
    <row r="3179" spans="3:11" x14ac:dyDescent="0.25">
      <c r="C3179" s="6"/>
      <c r="G3179" s="6"/>
      <c r="K3179" s="6"/>
    </row>
    <row r="3180" spans="3:11" x14ac:dyDescent="0.25">
      <c r="C3180" s="6"/>
      <c r="G3180" s="6"/>
      <c r="K3180" s="6"/>
    </row>
    <row r="3181" spans="3:11" x14ac:dyDescent="0.25">
      <c r="C3181" s="6"/>
      <c r="G3181" s="6"/>
      <c r="K3181" s="6"/>
    </row>
    <row r="3182" spans="3:11" x14ac:dyDescent="0.25">
      <c r="C3182" s="6"/>
      <c r="G3182" s="6"/>
      <c r="K3182" s="6"/>
    </row>
    <row r="3183" spans="3:11" x14ac:dyDescent="0.25">
      <c r="C3183" s="6"/>
      <c r="G3183" s="6"/>
      <c r="K3183" s="6"/>
    </row>
    <row r="3184" spans="3:11" x14ac:dyDescent="0.25">
      <c r="C3184" s="6"/>
      <c r="G3184" s="6"/>
      <c r="K3184" s="6"/>
    </row>
    <row r="3185" spans="3:11" x14ac:dyDescent="0.25">
      <c r="C3185" s="6"/>
      <c r="G3185" s="6"/>
      <c r="K3185" s="6"/>
    </row>
    <row r="3186" spans="3:11" x14ac:dyDescent="0.25">
      <c r="C3186" s="6"/>
      <c r="G3186" s="6"/>
      <c r="K3186" s="6"/>
    </row>
    <row r="3187" spans="3:11" x14ac:dyDescent="0.25">
      <c r="C3187" s="6"/>
      <c r="G3187" s="6"/>
      <c r="K3187" s="6"/>
    </row>
    <row r="3188" spans="3:11" x14ac:dyDescent="0.25">
      <c r="C3188" s="6"/>
      <c r="G3188" s="6"/>
      <c r="K3188" s="6"/>
    </row>
    <row r="3189" spans="3:11" x14ac:dyDescent="0.25">
      <c r="C3189" s="6"/>
      <c r="G3189" s="6"/>
      <c r="K3189" s="6"/>
    </row>
    <row r="3190" spans="3:11" x14ac:dyDescent="0.25">
      <c r="C3190" s="6"/>
      <c r="G3190" s="6"/>
      <c r="K3190" s="6"/>
    </row>
    <row r="3191" spans="3:11" x14ac:dyDescent="0.25">
      <c r="C3191" s="6"/>
      <c r="G3191" s="6"/>
      <c r="K3191" s="6"/>
    </row>
    <row r="3192" spans="3:11" x14ac:dyDescent="0.25">
      <c r="C3192" s="6"/>
      <c r="G3192" s="6"/>
      <c r="K3192" s="6"/>
    </row>
    <row r="3193" spans="3:11" x14ac:dyDescent="0.25">
      <c r="C3193" s="6"/>
      <c r="G3193" s="6"/>
      <c r="K3193" s="6"/>
    </row>
    <row r="3194" spans="3:11" x14ac:dyDescent="0.25">
      <c r="C3194" s="6"/>
      <c r="G3194" s="6"/>
      <c r="K3194" s="6"/>
    </row>
    <row r="3195" spans="3:11" x14ac:dyDescent="0.25">
      <c r="C3195" s="6"/>
      <c r="G3195" s="6"/>
      <c r="K3195" s="6"/>
    </row>
    <row r="3196" spans="3:11" x14ac:dyDescent="0.25">
      <c r="C3196" s="6"/>
      <c r="G3196" s="6"/>
      <c r="K3196" s="6"/>
    </row>
    <row r="3197" spans="3:11" x14ac:dyDescent="0.25">
      <c r="C3197" s="6"/>
      <c r="G3197" s="6"/>
      <c r="K3197" s="6"/>
    </row>
    <row r="3198" spans="3:11" x14ac:dyDescent="0.25">
      <c r="C3198" s="6"/>
      <c r="G3198" s="6"/>
      <c r="K3198" s="6"/>
    </row>
    <row r="3199" spans="3:11" x14ac:dyDescent="0.25">
      <c r="C3199" s="6"/>
      <c r="G3199" s="6"/>
      <c r="K3199" s="6"/>
    </row>
    <row r="3200" spans="3:11" x14ac:dyDescent="0.25">
      <c r="C3200" s="6"/>
      <c r="G3200" s="6"/>
      <c r="K3200" s="6"/>
    </row>
    <row r="3201" spans="3:11" x14ac:dyDescent="0.25">
      <c r="C3201" s="6"/>
      <c r="G3201" s="6"/>
      <c r="K3201" s="6"/>
    </row>
    <row r="3202" spans="3:11" x14ac:dyDescent="0.25">
      <c r="C3202" s="6"/>
      <c r="G3202" s="6"/>
      <c r="K3202" s="6"/>
    </row>
    <row r="3203" spans="3:11" x14ac:dyDescent="0.25">
      <c r="C3203" s="6"/>
      <c r="G3203" s="6"/>
      <c r="K3203" s="6"/>
    </row>
    <row r="3204" spans="3:11" x14ac:dyDescent="0.25">
      <c r="C3204" s="6"/>
      <c r="G3204" s="6"/>
      <c r="K3204" s="6"/>
    </row>
    <row r="3205" spans="3:11" x14ac:dyDescent="0.25">
      <c r="C3205" s="6"/>
      <c r="G3205" s="6"/>
      <c r="K3205" s="6"/>
    </row>
    <row r="3206" spans="3:11" x14ac:dyDescent="0.25">
      <c r="C3206" s="6"/>
      <c r="G3206" s="6"/>
      <c r="K3206" s="6"/>
    </row>
    <row r="3207" spans="3:11" x14ac:dyDescent="0.25">
      <c r="C3207" s="6"/>
      <c r="G3207" s="6"/>
      <c r="K3207" s="6"/>
    </row>
    <row r="3208" spans="3:11" x14ac:dyDescent="0.25">
      <c r="C3208" s="6"/>
      <c r="G3208" s="6"/>
      <c r="K3208" s="6"/>
    </row>
    <row r="3209" spans="3:11" x14ac:dyDescent="0.25">
      <c r="C3209" s="6"/>
      <c r="G3209" s="6"/>
      <c r="K3209" s="6"/>
    </row>
    <row r="3210" spans="3:11" x14ac:dyDescent="0.25">
      <c r="C3210" s="6"/>
      <c r="G3210" s="6"/>
      <c r="K3210" s="6"/>
    </row>
    <row r="3211" spans="3:11" x14ac:dyDescent="0.25">
      <c r="C3211" s="6"/>
      <c r="G3211" s="6"/>
      <c r="K3211" s="6"/>
    </row>
    <row r="3212" spans="3:11" x14ac:dyDescent="0.25">
      <c r="C3212" s="6"/>
      <c r="G3212" s="6"/>
      <c r="K3212" s="6"/>
    </row>
    <row r="3213" spans="3:11" x14ac:dyDescent="0.25">
      <c r="C3213" s="6"/>
      <c r="G3213" s="6"/>
      <c r="K3213" s="6"/>
    </row>
    <row r="3214" spans="3:11" x14ac:dyDescent="0.25">
      <c r="C3214" s="6"/>
      <c r="G3214" s="6"/>
      <c r="K3214" s="6"/>
    </row>
    <row r="3215" spans="3:11" x14ac:dyDescent="0.25">
      <c r="C3215" s="6"/>
      <c r="G3215" s="6"/>
      <c r="K3215" s="6"/>
    </row>
    <row r="3216" spans="3:11" x14ac:dyDescent="0.25">
      <c r="C3216" s="6"/>
      <c r="G3216" s="6"/>
      <c r="K3216" s="6"/>
    </row>
    <row r="3217" spans="3:11" x14ac:dyDescent="0.25">
      <c r="C3217" s="6"/>
      <c r="G3217" s="6"/>
      <c r="K3217" s="6"/>
    </row>
    <row r="3218" spans="3:11" x14ac:dyDescent="0.25">
      <c r="C3218" s="6"/>
      <c r="G3218" s="6"/>
      <c r="K3218" s="6"/>
    </row>
    <row r="3219" spans="3:11" x14ac:dyDescent="0.25">
      <c r="C3219" s="6"/>
      <c r="G3219" s="6"/>
      <c r="K3219" s="6"/>
    </row>
    <row r="3220" spans="3:11" x14ac:dyDescent="0.25">
      <c r="C3220" s="6"/>
      <c r="G3220" s="6"/>
      <c r="K3220" s="6"/>
    </row>
    <row r="3221" spans="3:11" x14ac:dyDescent="0.25">
      <c r="C3221" s="6"/>
      <c r="G3221" s="6"/>
      <c r="K3221" s="6"/>
    </row>
    <row r="3222" spans="3:11" x14ac:dyDescent="0.25">
      <c r="C3222" s="6"/>
      <c r="G3222" s="6"/>
      <c r="K3222" s="6"/>
    </row>
    <row r="3223" spans="3:11" x14ac:dyDescent="0.25">
      <c r="C3223" s="6"/>
      <c r="G3223" s="6"/>
      <c r="K3223" s="6"/>
    </row>
    <row r="3224" spans="3:11" x14ac:dyDescent="0.25">
      <c r="C3224" s="6"/>
      <c r="G3224" s="6"/>
      <c r="K3224" s="6"/>
    </row>
    <row r="3225" spans="3:11" x14ac:dyDescent="0.25">
      <c r="C3225" s="6"/>
      <c r="G3225" s="6"/>
      <c r="K3225" s="6"/>
    </row>
    <row r="3226" spans="3:11" x14ac:dyDescent="0.25">
      <c r="C3226" s="6"/>
      <c r="G3226" s="6"/>
      <c r="K3226" s="6"/>
    </row>
    <row r="3227" spans="3:11" x14ac:dyDescent="0.25">
      <c r="C3227" s="6"/>
      <c r="G3227" s="6"/>
      <c r="K3227" s="6"/>
    </row>
    <row r="3228" spans="3:11" x14ac:dyDescent="0.25">
      <c r="C3228" s="6"/>
      <c r="G3228" s="6"/>
      <c r="K3228" s="6"/>
    </row>
    <row r="3229" spans="3:11" x14ac:dyDescent="0.25">
      <c r="C3229" s="6"/>
      <c r="G3229" s="6"/>
      <c r="K3229" s="6"/>
    </row>
    <row r="3230" spans="3:11" x14ac:dyDescent="0.25">
      <c r="C3230" s="6"/>
      <c r="G3230" s="6"/>
      <c r="K3230" s="6"/>
    </row>
    <row r="3231" spans="3:11" x14ac:dyDescent="0.25">
      <c r="C3231" s="6"/>
      <c r="G3231" s="6"/>
      <c r="K3231" s="6"/>
    </row>
    <row r="3232" spans="3:11" x14ac:dyDescent="0.25">
      <c r="C3232" s="6"/>
      <c r="G3232" s="6"/>
      <c r="K3232" s="6"/>
    </row>
    <row r="3233" spans="3:11" x14ac:dyDescent="0.25">
      <c r="C3233" s="6"/>
      <c r="G3233" s="6"/>
      <c r="K3233" s="6"/>
    </row>
    <row r="3234" spans="3:11" x14ac:dyDescent="0.25">
      <c r="C3234" s="6"/>
      <c r="G3234" s="6"/>
      <c r="K3234" s="6"/>
    </row>
    <row r="3235" spans="3:11" x14ac:dyDescent="0.25">
      <c r="C3235" s="6"/>
      <c r="G3235" s="6"/>
      <c r="K3235" s="6"/>
    </row>
    <row r="3236" spans="3:11" x14ac:dyDescent="0.25">
      <c r="C3236" s="6"/>
      <c r="G3236" s="6"/>
      <c r="K3236" s="6"/>
    </row>
    <row r="3237" spans="3:11" x14ac:dyDescent="0.25">
      <c r="C3237" s="6"/>
      <c r="G3237" s="6"/>
      <c r="K3237" s="6"/>
    </row>
    <row r="3238" spans="3:11" x14ac:dyDescent="0.25">
      <c r="C3238" s="6"/>
      <c r="G3238" s="6"/>
      <c r="K3238" s="6"/>
    </row>
    <row r="3239" spans="3:11" x14ac:dyDescent="0.25">
      <c r="C3239" s="6"/>
      <c r="G3239" s="6"/>
      <c r="K3239" s="6"/>
    </row>
    <row r="3240" spans="3:11" x14ac:dyDescent="0.25">
      <c r="C3240" s="6"/>
      <c r="G3240" s="6"/>
      <c r="K3240" s="6"/>
    </row>
    <row r="3241" spans="3:11" x14ac:dyDescent="0.25">
      <c r="C3241" s="6"/>
      <c r="G3241" s="6"/>
      <c r="K3241" s="6"/>
    </row>
    <row r="3242" spans="3:11" x14ac:dyDescent="0.25">
      <c r="C3242" s="6"/>
      <c r="G3242" s="6"/>
      <c r="K3242" s="6"/>
    </row>
    <row r="3243" spans="3:11" x14ac:dyDescent="0.25">
      <c r="C3243" s="6"/>
      <c r="G3243" s="6"/>
      <c r="K3243" s="6"/>
    </row>
    <row r="3244" spans="3:11" x14ac:dyDescent="0.25">
      <c r="C3244" s="6"/>
      <c r="G3244" s="6"/>
      <c r="K3244" s="6"/>
    </row>
    <row r="3245" spans="3:11" x14ac:dyDescent="0.25">
      <c r="C3245" s="6"/>
      <c r="G3245" s="6"/>
      <c r="K3245" s="6"/>
    </row>
    <row r="3246" spans="3:11" x14ac:dyDescent="0.25">
      <c r="C3246" s="6"/>
      <c r="G3246" s="6"/>
      <c r="K3246" s="6"/>
    </row>
    <row r="3247" spans="3:11" x14ac:dyDescent="0.25">
      <c r="C3247" s="6"/>
      <c r="G3247" s="6"/>
      <c r="K3247" s="6"/>
    </row>
    <row r="3248" spans="3:11" x14ac:dyDescent="0.25">
      <c r="C3248" s="6"/>
      <c r="G3248" s="6"/>
      <c r="K3248" s="6"/>
    </row>
    <row r="3249" spans="3:11" x14ac:dyDescent="0.25">
      <c r="C3249" s="6"/>
      <c r="G3249" s="6"/>
      <c r="K3249" s="6"/>
    </row>
    <row r="3250" spans="3:11" x14ac:dyDescent="0.25">
      <c r="C3250" s="6"/>
      <c r="G3250" s="6"/>
      <c r="K3250" s="6"/>
    </row>
    <row r="3251" spans="3:11" x14ac:dyDescent="0.25">
      <c r="C3251" s="6"/>
      <c r="G3251" s="6"/>
      <c r="K3251" s="6"/>
    </row>
    <row r="3252" spans="3:11" x14ac:dyDescent="0.25">
      <c r="C3252" s="6"/>
      <c r="G3252" s="6"/>
      <c r="K3252" s="6"/>
    </row>
    <row r="3253" spans="3:11" x14ac:dyDescent="0.25">
      <c r="C3253" s="6"/>
      <c r="G3253" s="6"/>
      <c r="K3253" s="6"/>
    </row>
    <row r="3254" spans="3:11" x14ac:dyDescent="0.25">
      <c r="C3254" s="6"/>
      <c r="G3254" s="6"/>
      <c r="K3254" s="6"/>
    </row>
    <row r="3255" spans="3:11" x14ac:dyDescent="0.25">
      <c r="C3255" s="6"/>
      <c r="G3255" s="6"/>
      <c r="K3255" s="6"/>
    </row>
    <row r="3256" spans="3:11" x14ac:dyDescent="0.25">
      <c r="C3256" s="6"/>
      <c r="G3256" s="6"/>
      <c r="K3256" s="6"/>
    </row>
    <row r="3257" spans="3:11" x14ac:dyDescent="0.25">
      <c r="C3257" s="6"/>
      <c r="G3257" s="6"/>
      <c r="K3257" s="6"/>
    </row>
    <row r="3258" spans="3:11" x14ac:dyDescent="0.25">
      <c r="C3258" s="6"/>
      <c r="G3258" s="6"/>
      <c r="K3258" s="6"/>
    </row>
    <row r="3259" spans="3:11" x14ac:dyDescent="0.25">
      <c r="C3259" s="6"/>
      <c r="G3259" s="6"/>
      <c r="K3259" s="6"/>
    </row>
    <row r="3260" spans="3:11" x14ac:dyDescent="0.25">
      <c r="C3260" s="6"/>
      <c r="G3260" s="6"/>
      <c r="K3260" s="6"/>
    </row>
    <row r="3261" spans="3:11" x14ac:dyDescent="0.25">
      <c r="C3261" s="6"/>
      <c r="G3261" s="6"/>
      <c r="K3261" s="6"/>
    </row>
    <row r="3262" spans="3:11" x14ac:dyDescent="0.25">
      <c r="C3262" s="6"/>
      <c r="G3262" s="6"/>
      <c r="K3262" s="6"/>
    </row>
    <row r="3263" spans="3:11" x14ac:dyDescent="0.25">
      <c r="C3263" s="6"/>
      <c r="G3263" s="6"/>
      <c r="K3263" s="6"/>
    </row>
    <row r="3264" spans="3:11" x14ac:dyDescent="0.25">
      <c r="C3264" s="6"/>
      <c r="G3264" s="6"/>
      <c r="K3264" s="6"/>
    </row>
    <row r="3265" spans="3:11" x14ac:dyDescent="0.25">
      <c r="C3265" s="6"/>
      <c r="G3265" s="6"/>
      <c r="K3265" s="6"/>
    </row>
    <row r="3266" spans="3:11" x14ac:dyDescent="0.25">
      <c r="C3266" s="6"/>
      <c r="G3266" s="6"/>
      <c r="K3266" s="6"/>
    </row>
    <row r="3267" spans="3:11" x14ac:dyDescent="0.25">
      <c r="C3267" s="6"/>
      <c r="G3267" s="6"/>
      <c r="K3267" s="6"/>
    </row>
    <row r="3268" spans="3:11" x14ac:dyDescent="0.25">
      <c r="C3268" s="6"/>
      <c r="G3268" s="6"/>
      <c r="K3268" s="6"/>
    </row>
    <row r="3269" spans="3:11" x14ac:dyDescent="0.25">
      <c r="C3269" s="6"/>
      <c r="G3269" s="6"/>
      <c r="K3269" s="6"/>
    </row>
    <row r="3270" spans="3:11" x14ac:dyDescent="0.25">
      <c r="C3270" s="6"/>
      <c r="G3270" s="6"/>
      <c r="K3270" s="6"/>
    </row>
    <row r="3271" spans="3:11" x14ac:dyDescent="0.25">
      <c r="C3271" s="6"/>
      <c r="G3271" s="6"/>
      <c r="K3271" s="6"/>
    </row>
    <row r="3272" spans="3:11" x14ac:dyDescent="0.25">
      <c r="C3272" s="6"/>
      <c r="G3272" s="6"/>
      <c r="K3272" s="6"/>
    </row>
    <row r="3273" spans="3:11" x14ac:dyDescent="0.25">
      <c r="C3273" s="6"/>
      <c r="G3273" s="6"/>
      <c r="K3273" s="6"/>
    </row>
    <row r="3274" spans="3:11" x14ac:dyDescent="0.25">
      <c r="C3274" s="6"/>
      <c r="G3274" s="6"/>
      <c r="K3274" s="6"/>
    </row>
    <row r="3275" spans="3:11" x14ac:dyDescent="0.25">
      <c r="C3275" s="6"/>
      <c r="G3275" s="6"/>
      <c r="K3275" s="6"/>
    </row>
    <row r="3276" spans="3:11" x14ac:dyDescent="0.25">
      <c r="C3276" s="6"/>
      <c r="G3276" s="6"/>
      <c r="K3276" s="6"/>
    </row>
    <row r="3277" spans="3:11" x14ac:dyDescent="0.25">
      <c r="C3277" s="6"/>
      <c r="G3277" s="6"/>
      <c r="K3277" s="6"/>
    </row>
    <row r="3278" spans="3:11" x14ac:dyDescent="0.25">
      <c r="C3278" s="6"/>
      <c r="G3278" s="6"/>
      <c r="K3278" s="6"/>
    </row>
    <row r="3279" spans="3:11" x14ac:dyDescent="0.25">
      <c r="C3279" s="6"/>
      <c r="G3279" s="6"/>
      <c r="K3279" s="6"/>
    </row>
    <row r="3280" spans="3:11" x14ac:dyDescent="0.25">
      <c r="C3280" s="6"/>
      <c r="G3280" s="6"/>
      <c r="K3280" s="6"/>
    </row>
    <row r="3281" spans="3:11" x14ac:dyDescent="0.25">
      <c r="C3281" s="6"/>
      <c r="G3281" s="6"/>
      <c r="K3281" s="6"/>
    </row>
    <row r="3282" spans="3:11" x14ac:dyDescent="0.25">
      <c r="C3282" s="6"/>
      <c r="G3282" s="6"/>
      <c r="K3282" s="6"/>
    </row>
    <row r="3283" spans="3:11" x14ac:dyDescent="0.25">
      <c r="C3283" s="6"/>
      <c r="G3283" s="6"/>
      <c r="K3283" s="6"/>
    </row>
    <row r="3284" spans="3:11" x14ac:dyDescent="0.25">
      <c r="C3284" s="6"/>
      <c r="G3284" s="6"/>
      <c r="K3284" s="6"/>
    </row>
    <row r="3285" spans="3:11" x14ac:dyDescent="0.25">
      <c r="C3285" s="6"/>
      <c r="G3285" s="6"/>
      <c r="K3285" s="6"/>
    </row>
    <row r="3286" spans="3:11" x14ac:dyDescent="0.25">
      <c r="C3286" s="6"/>
      <c r="G3286" s="6"/>
      <c r="K3286" s="6"/>
    </row>
    <row r="3287" spans="3:11" x14ac:dyDescent="0.25">
      <c r="C3287" s="6"/>
      <c r="G3287" s="6"/>
      <c r="K3287" s="6"/>
    </row>
    <row r="3288" spans="3:11" x14ac:dyDescent="0.25">
      <c r="C3288" s="6"/>
      <c r="G3288" s="6"/>
      <c r="K3288" s="6"/>
    </row>
    <row r="3289" spans="3:11" x14ac:dyDescent="0.25">
      <c r="C3289" s="6"/>
      <c r="G3289" s="6"/>
      <c r="K3289" s="6"/>
    </row>
    <row r="3290" spans="3:11" x14ac:dyDescent="0.25">
      <c r="C3290" s="6"/>
      <c r="G3290" s="6"/>
      <c r="K3290" s="6"/>
    </row>
    <row r="3291" spans="3:11" x14ac:dyDescent="0.25">
      <c r="C3291" s="6"/>
      <c r="G3291" s="6"/>
      <c r="K3291" s="6"/>
    </row>
    <row r="3292" spans="3:11" x14ac:dyDescent="0.25">
      <c r="C3292" s="6"/>
      <c r="G3292" s="6"/>
      <c r="K3292" s="6"/>
    </row>
    <row r="3293" spans="3:11" x14ac:dyDescent="0.25">
      <c r="C3293" s="6"/>
      <c r="G3293" s="6"/>
      <c r="K3293" s="6"/>
    </row>
    <row r="3294" spans="3:11" x14ac:dyDescent="0.25">
      <c r="C3294" s="6"/>
      <c r="G3294" s="6"/>
      <c r="K3294" s="6"/>
    </row>
    <row r="3295" spans="3:11" x14ac:dyDescent="0.25">
      <c r="C3295" s="6"/>
      <c r="G3295" s="6"/>
      <c r="K3295" s="6"/>
    </row>
    <row r="3296" spans="3:11" x14ac:dyDescent="0.25">
      <c r="C3296" s="6"/>
      <c r="G3296" s="6"/>
      <c r="K3296" s="6"/>
    </row>
    <row r="3297" spans="3:11" x14ac:dyDescent="0.25">
      <c r="C3297" s="6"/>
      <c r="G3297" s="6"/>
      <c r="K3297" s="6"/>
    </row>
    <row r="3298" spans="3:11" x14ac:dyDescent="0.25">
      <c r="C3298" s="6"/>
      <c r="G3298" s="6"/>
      <c r="K3298" s="6"/>
    </row>
    <row r="3299" spans="3:11" x14ac:dyDescent="0.25">
      <c r="C3299" s="6"/>
      <c r="G3299" s="6"/>
      <c r="K3299" s="6"/>
    </row>
    <row r="3300" spans="3:11" x14ac:dyDescent="0.25">
      <c r="C3300" s="6"/>
      <c r="G3300" s="6"/>
      <c r="K3300" s="6"/>
    </row>
    <row r="3301" spans="3:11" x14ac:dyDescent="0.25">
      <c r="C3301" s="6"/>
      <c r="G3301" s="6"/>
      <c r="K3301" s="6"/>
    </row>
    <row r="3302" spans="3:11" x14ac:dyDescent="0.25">
      <c r="C3302" s="6"/>
      <c r="G3302" s="6"/>
      <c r="K3302" s="6"/>
    </row>
    <row r="3303" spans="3:11" x14ac:dyDescent="0.25">
      <c r="C3303" s="6"/>
      <c r="G3303" s="6"/>
      <c r="K3303" s="6"/>
    </row>
    <row r="3304" spans="3:11" x14ac:dyDescent="0.25">
      <c r="C3304" s="6"/>
      <c r="G3304" s="6"/>
      <c r="K3304" s="6"/>
    </row>
    <row r="3305" spans="3:11" x14ac:dyDescent="0.25">
      <c r="C3305" s="6"/>
      <c r="G3305" s="6"/>
      <c r="K3305" s="6"/>
    </row>
    <row r="3306" spans="3:11" x14ac:dyDescent="0.25">
      <c r="C3306" s="6"/>
      <c r="G3306" s="6"/>
      <c r="K3306" s="6"/>
    </row>
    <row r="3307" spans="3:11" x14ac:dyDescent="0.25">
      <c r="C3307" s="6"/>
      <c r="G3307" s="6"/>
      <c r="K3307" s="6"/>
    </row>
    <row r="3308" spans="3:11" x14ac:dyDescent="0.25">
      <c r="C3308" s="6"/>
      <c r="G3308" s="6"/>
      <c r="K3308" s="6"/>
    </row>
    <row r="3309" spans="3:11" x14ac:dyDescent="0.25">
      <c r="C3309" s="6"/>
      <c r="G3309" s="6"/>
      <c r="K3309" s="6"/>
    </row>
    <row r="3310" spans="3:11" x14ac:dyDescent="0.25">
      <c r="C3310" s="6"/>
      <c r="G3310" s="6"/>
      <c r="K3310" s="6"/>
    </row>
    <row r="3311" spans="3:11" x14ac:dyDescent="0.25">
      <c r="C3311" s="6"/>
      <c r="G3311" s="6"/>
      <c r="K3311" s="6"/>
    </row>
    <row r="3312" spans="3:11" x14ac:dyDescent="0.25">
      <c r="C3312" s="6"/>
      <c r="G3312" s="6"/>
      <c r="K3312" s="6"/>
    </row>
    <row r="3313" spans="3:11" x14ac:dyDescent="0.25">
      <c r="C3313" s="6"/>
      <c r="G3313" s="6"/>
      <c r="K3313" s="6"/>
    </row>
    <row r="3314" spans="3:11" x14ac:dyDescent="0.25">
      <c r="C3314" s="6"/>
      <c r="G3314" s="6"/>
      <c r="K3314" s="6"/>
    </row>
    <row r="3315" spans="3:11" x14ac:dyDescent="0.25">
      <c r="C3315" s="6"/>
      <c r="G3315" s="6"/>
      <c r="K3315" s="6"/>
    </row>
    <row r="3316" spans="3:11" x14ac:dyDescent="0.25">
      <c r="C3316" s="6"/>
      <c r="G3316" s="6"/>
      <c r="K3316" s="6"/>
    </row>
    <row r="3317" spans="3:11" x14ac:dyDescent="0.25">
      <c r="C3317" s="6"/>
      <c r="G3317" s="6"/>
      <c r="K3317" s="6"/>
    </row>
    <row r="3318" spans="3:11" x14ac:dyDescent="0.25">
      <c r="C3318" s="6"/>
      <c r="G3318" s="6"/>
      <c r="K3318" s="6"/>
    </row>
    <row r="3319" spans="3:11" x14ac:dyDescent="0.25">
      <c r="C3319" s="6"/>
      <c r="G3319" s="6"/>
      <c r="K3319" s="6"/>
    </row>
    <row r="3320" spans="3:11" x14ac:dyDescent="0.25">
      <c r="C3320" s="6"/>
      <c r="G3320" s="6"/>
      <c r="K3320" s="6"/>
    </row>
    <row r="3321" spans="3:11" x14ac:dyDescent="0.25">
      <c r="C3321" s="6"/>
      <c r="G3321" s="6"/>
      <c r="K3321" s="6"/>
    </row>
    <row r="3322" spans="3:11" x14ac:dyDescent="0.25">
      <c r="C3322" s="6"/>
      <c r="G3322" s="6"/>
      <c r="K3322" s="6"/>
    </row>
    <row r="3323" spans="3:11" x14ac:dyDescent="0.25">
      <c r="C3323" s="6"/>
      <c r="G3323" s="6"/>
      <c r="K3323" s="6"/>
    </row>
    <row r="3324" spans="3:11" x14ac:dyDescent="0.25">
      <c r="C3324" s="6"/>
      <c r="G3324" s="6"/>
      <c r="K3324" s="6"/>
    </row>
    <row r="3325" spans="3:11" x14ac:dyDescent="0.25">
      <c r="C3325" s="6"/>
      <c r="G3325" s="6"/>
      <c r="K3325" s="6"/>
    </row>
    <row r="3326" spans="3:11" x14ac:dyDescent="0.25">
      <c r="C3326" s="6"/>
      <c r="G3326" s="6"/>
      <c r="K3326" s="6"/>
    </row>
    <row r="3327" spans="3:11" x14ac:dyDescent="0.25">
      <c r="C3327" s="6"/>
      <c r="G3327" s="6"/>
      <c r="K3327" s="6"/>
    </row>
    <row r="3328" spans="3:11" x14ac:dyDescent="0.25">
      <c r="C3328" s="6"/>
      <c r="G3328" s="6"/>
      <c r="K3328" s="6"/>
    </row>
    <row r="3329" spans="3:11" x14ac:dyDescent="0.25">
      <c r="C3329" s="6"/>
      <c r="G3329" s="6"/>
      <c r="K3329" s="6"/>
    </row>
    <row r="3330" spans="3:11" x14ac:dyDescent="0.25">
      <c r="C3330" s="6"/>
      <c r="G3330" s="6"/>
      <c r="K3330" s="6"/>
    </row>
    <row r="3331" spans="3:11" x14ac:dyDescent="0.25">
      <c r="C3331" s="6"/>
      <c r="G3331" s="6"/>
      <c r="K3331" s="6"/>
    </row>
    <row r="3332" spans="3:11" x14ac:dyDescent="0.25">
      <c r="C3332" s="6"/>
      <c r="G3332" s="6"/>
      <c r="K3332" s="6"/>
    </row>
    <row r="3333" spans="3:11" x14ac:dyDescent="0.25">
      <c r="C3333" s="6"/>
      <c r="G3333" s="6"/>
      <c r="K3333" s="6"/>
    </row>
    <row r="3334" spans="3:11" x14ac:dyDescent="0.25">
      <c r="C3334" s="6"/>
      <c r="G3334" s="6"/>
      <c r="K3334" s="6"/>
    </row>
    <row r="3335" spans="3:11" x14ac:dyDescent="0.25">
      <c r="C3335" s="6"/>
      <c r="G3335" s="6"/>
      <c r="K3335" s="6"/>
    </row>
    <row r="3336" spans="3:11" x14ac:dyDescent="0.25">
      <c r="C3336" s="6"/>
      <c r="G3336" s="6"/>
      <c r="K3336" s="6"/>
    </row>
    <row r="3337" spans="3:11" x14ac:dyDescent="0.25">
      <c r="C3337" s="6"/>
      <c r="G3337" s="6"/>
      <c r="K3337" s="6"/>
    </row>
    <row r="3338" spans="3:11" x14ac:dyDescent="0.25">
      <c r="C3338" s="6"/>
      <c r="G3338" s="6"/>
      <c r="K3338" s="6"/>
    </row>
    <row r="3339" spans="3:11" x14ac:dyDescent="0.25">
      <c r="C3339" s="6"/>
      <c r="G3339" s="6"/>
      <c r="K3339" s="6"/>
    </row>
    <row r="3340" spans="3:11" x14ac:dyDescent="0.25">
      <c r="C3340" s="6"/>
      <c r="G3340" s="6"/>
      <c r="K3340" s="6"/>
    </row>
    <row r="3341" spans="3:11" x14ac:dyDescent="0.25">
      <c r="C3341" s="6"/>
      <c r="G3341" s="6"/>
      <c r="K3341" s="6"/>
    </row>
    <row r="3342" spans="3:11" x14ac:dyDescent="0.25">
      <c r="C3342" s="6"/>
      <c r="G3342" s="6"/>
      <c r="K3342" s="6"/>
    </row>
    <row r="3343" spans="3:11" x14ac:dyDescent="0.25">
      <c r="C3343" s="6"/>
      <c r="G3343" s="6"/>
      <c r="K3343" s="6"/>
    </row>
    <row r="3344" spans="3:11" x14ac:dyDescent="0.25">
      <c r="C3344" s="6"/>
      <c r="G3344" s="6"/>
      <c r="K3344" s="6"/>
    </row>
    <row r="3345" spans="3:11" x14ac:dyDescent="0.25">
      <c r="C3345" s="6"/>
      <c r="G3345" s="6"/>
      <c r="K3345" s="6"/>
    </row>
    <row r="3346" spans="3:11" x14ac:dyDescent="0.25">
      <c r="C3346" s="6"/>
      <c r="G3346" s="6"/>
      <c r="K3346" s="6"/>
    </row>
    <row r="3347" spans="3:11" x14ac:dyDescent="0.25">
      <c r="C3347" s="6"/>
      <c r="G3347" s="6"/>
      <c r="K3347" s="6"/>
    </row>
    <row r="3348" spans="3:11" x14ac:dyDescent="0.25">
      <c r="C3348" s="6"/>
      <c r="G3348" s="6"/>
      <c r="K3348" s="6"/>
    </row>
    <row r="3349" spans="3:11" x14ac:dyDescent="0.25">
      <c r="C3349" s="6"/>
      <c r="G3349" s="6"/>
      <c r="K3349" s="6"/>
    </row>
    <row r="3350" spans="3:11" x14ac:dyDescent="0.25">
      <c r="C3350" s="6"/>
      <c r="G3350" s="6"/>
      <c r="K3350" s="6"/>
    </row>
    <row r="3351" spans="3:11" x14ac:dyDescent="0.25">
      <c r="C3351" s="6"/>
      <c r="G3351" s="6"/>
      <c r="K3351" s="6"/>
    </row>
    <row r="3352" spans="3:11" x14ac:dyDescent="0.25">
      <c r="C3352" s="6"/>
      <c r="G3352" s="6"/>
      <c r="K3352" s="6"/>
    </row>
    <row r="3353" spans="3:11" x14ac:dyDescent="0.25">
      <c r="C3353" s="6"/>
      <c r="G3353" s="6"/>
      <c r="K3353" s="6"/>
    </row>
    <row r="3354" spans="3:11" x14ac:dyDescent="0.25">
      <c r="C3354" s="6"/>
      <c r="G3354" s="6"/>
      <c r="K3354" s="6"/>
    </row>
    <row r="3355" spans="3:11" x14ac:dyDescent="0.25">
      <c r="C3355" s="6"/>
      <c r="G3355" s="6"/>
      <c r="K3355" s="6"/>
    </row>
    <row r="3356" spans="3:11" x14ac:dyDescent="0.25">
      <c r="C3356" s="6"/>
      <c r="G3356" s="6"/>
      <c r="K3356" s="6"/>
    </row>
    <row r="3357" spans="3:11" x14ac:dyDescent="0.25">
      <c r="C3357" s="6"/>
      <c r="G3357" s="6"/>
      <c r="K3357" s="6"/>
    </row>
    <row r="3358" spans="3:11" x14ac:dyDescent="0.25">
      <c r="C3358" s="6"/>
      <c r="G3358" s="6"/>
      <c r="K3358" s="6"/>
    </row>
    <row r="3359" spans="3:11" x14ac:dyDescent="0.25">
      <c r="C3359" s="6"/>
      <c r="G3359" s="6"/>
      <c r="K3359" s="6"/>
    </row>
    <row r="3360" spans="3:11" x14ac:dyDescent="0.25">
      <c r="C3360" s="6"/>
      <c r="G3360" s="6"/>
      <c r="K3360" s="6"/>
    </row>
    <row r="3361" spans="3:11" x14ac:dyDescent="0.25">
      <c r="C3361" s="6"/>
      <c r="G3361" s="6"/>
      <c r="K3361" s="6"/>
    </row>
    <row r="3362" spans="3:11" x14ac:dyDescent="0.25">
      <c r="C3362" s="6"/>
      <c r="G3362" s="6"/>
      <c r="K3362" s="6"/>
    </row>
    <row r="3363" spans="3:11" x14ac:dyDescent="0.25">
      <c r="C3363" s="6"/>
      <c r="G3363" s="6"/>
      <c r="K3363" s="6"/>
    </row>
    <row r="3364" spans="3:11" x14ac:dyDescent="0.25">
      <c r="C3364" s="6"/>
      <c r="G3364" s="6"/>
      <c r="K3364" s="6"/>
    </row>
    <row r="3365" spans="3:11" x14ac:dyDescent="0.25">
      <c r="C3365" s="6"/>
      <c r="G3365" s="6"/>
      <c r="K3365" s="6"/>
    </row>
    <row r="3366" spans="3:11" x14ac:dyDescent="0.25">
      <c r="C3366" s="6"/>
      <c r="G3366" s="6"/>
      <c r="K3366" s="6"/>
    </row>
    <row r="3367" spans="3:11" x14ac:dyDescent="0.25">
      <c r="C3367" s="6"/>
      <c r="G3367" s="6"/>
      <c r="K3367" s="6"/>
    </row>
    <row r="3368" spans="3:11" x14ac:dyDescent="0.25">
      <c r="C3368" s="6"/>
      <c r="G3368" s="6"/>
      <c r="K3368" s="6"/>
    </row>
    <row r="3369" spans="3:11" x14ac:dyDescent="0.25">
      <c r="C3369" s="6"/>
      <c r="G3369" s="6"/>
      <c r="K3369" s="6"/>
    </row>
    <row r="3370" spans="3:11" x14ac:dyDescent="0.25">
      <c r="C3370" s="6"/>
      <c r="G3370" s="6"/>
      <c r="K3370" s="6"/>
    </row>
    <row r="3371" spans="3:11" x14ac:dyDescent="0.25">
      <c r="C3371" s="6"/>
      <c r="G3371" s="6"/>
      <c r="K3371" s="6"/>
    </row>
    <row r="3372" spans="3:11" x14ac:dyDescent="0.25">
      <c r="C3372" s="6"/>
      <c r="G3372" s="6"/>
      <c r="K3372" s="6"/>
    </row>
    <row r="3373" spans="3:11" x14ac:dyDescent="0.25">
      <c r="C3373" s="6"/>
      <c r="G3373" s="6"/>
      <c r="K3373" s="6"/>
    </row>
    <row r="3374" spans="3:11" x14ac:dyDescent="0.25">
      <c r="C3374" s="6"/>
      <c r="G3374" s="6"/>
      <c r="K3374" s="6"/>
    </row>
    <row r="3375" spans="3:11" x14ac:dyDescent="0.25">
      <c r="C3375" s="6"/>
      <c r="G3375" s="6"/>
      <c r="K3375" s="6"/>
    </row>
    <row r="3376" spans="3:11" x14ac:dyDescent="0.25">
      <c r="C3376" s="6"/>
      <c r="G3376" s="6"/>
      <c r="K3376" s="6"/>
    </row>
    <row r="3377" spans="3:11" x14ac:dyDescent="0.25">
      <c r="C3377" s="6"/>
      <c r="G3377" s="6"/>
      <c r="K3377" s="6"/>
    </row>
    <row r="3378" spans="3:11" x14ac:dyDescent="0.25">
      <c r="C3378" s="6"/>
      <c r="G3378" s="6"/>
      <c r="K3378" s="6"/>
    </row>
    <row r="3379" spans="3:11" x14ac:dyDescent="0.25">
      <c r="C3379" s="6"/>
      <c r="G3379" s="6"/>
      <c r="K3379" s="6"/>
    </row>
    <row r="3380" spans="3:11" x14ac:dyDescent="0.25">
      <c r="C3380" s="6"/>
      <c r="G3380" s="6"/>
      <c r="K3380" s="6"/>
    </row>
    <row r="3381" spans="3:11" x14ac:dyDescent="0.25">
      <c r="C3381" s="6"/>
      <c r="G3381" s="6"/>
      <c r="K3381" s="6"/>
    </row>
    <row r="3382" spans="3:11" x14ac:dyDescent="0.25">
      <c r="C3382" s="6"/>
      <c r="G3382" s="6"/>
      <c r="K3382" s="6"/>
    </row>
    <row r="3383" spans="3:11" x14ac:dyDescent="0.25">
      <c r="C3383" s="6"/>
      <c r="G3383" s="6"/>
      <c r="K3383" s="6"/>
    </row>
    <row r="3384" spans="3:11" x14ac:dyDescent="0.25">
      <c r="C3384" s="6"/>
      <c r="G3384" s="6"/>
      <c r="K3384" s="6"/>
    </row>
    <row r="3385" spans="3:11" x14ac:dyDescent="0.25">
      <c r="C3385" s="6"/>
      <c r="G3385" s="6"/>
      <c r="K3385" s="6"/>
    </row>
    <row r="3386" spans="3:11" x14ac:dyDescent="0.25">
      <c r="C3386" s="6"/>
      <c r="G3386" s="6"/>
      <c r="K3386" s="6"/>
    </row>
    <row r="3387" spans="3:11" x14ac:dyDescent="0.25">
      <c r="C3387" s="6"/>
      <c r="G3387" s="6"/>
      <c r="K3387" s="6"/>
    </row>
    <row r="3388" spans="3:11" x14ac:dyDescent="0.25">
      <c r="C3388" s="6"/>
      <c r="G3388" s="6"/>
      <c r="K3388" s="6"/>
    </row>
    <row r="3389" spans="3:11" x14ac:dyDescent="0.25">
      <c r="C3389" s="6"/>
      <c r="G3389" s="6"/>
      <c r="K3389" s="6"/>
    </row>
    <row r="3390" spans="3:11" x14ac:dyDescent="0.25">
      <c r="C3390" s="6"/>
      <c r="G3390" s="6"/>
      <c r="K3390" s="6"/>
    </row>
    <row r="3391" spans="3:11" x14ac:dyDescent="0.25">
      <c r="C3391" s="6"/>
      <c r="G3391" s="6"/>
      <c r="K3391" s="6"/>
    </row>
    <row r="3392" spans="3:11" x14ac:dyDescent="0.25">
      <c r="C3392" s="6"/>
      <c r="G3392" s="6"/>
      <c r="K3392" s="6"/>
    </row>
    <row r="3393" spans="3:11" x14ac:dyDescent="0.25">
      <c r="C3393" s="6"/>
      <c r="G3393" s="6"/>
      <c r="K3393" s="6"/>
    </row>
    <row r="3394" spans="3:11" x14ac:dyDescent="0.25">
      <c r="C3394" s="6"/>
      <c r="G3394" s="6"/>
      <c r="K3394" s="6"/>
    </row>
    <row r="3395" spans="3:11" x14ac:dyDescent="0.25">
      <c r="C3395" s="6"/>
      <c r="G3395" s="6"/>
      <c r="K3395" s="6"/>
    </row>
    <row r="3396" spans="3:11" x14ac:dyDescent="0.25">
      <c r="C3396" s="6"/>
      <c r="G3396" s="6"/>
      <c r="K3396" s="6"/>
    </row>
    <row r="3397" spans="3:11" x14ac:dyDescent="0.25">
      <c r="C3397" s="6"/>
      <c r="G3397" s="6"/>
      <c r="K3397" s="6"/>
    </row>
    <row r="3398" spans="3:11" x14ac:dyDescent="0.25">
      <c r="C3398" s="6"/>
      <c r="G3398" s="6"/>
      <c r="K3398" s="6"/>
    </row>
    <row r="3399" spans="3:11" x14ac:dyDescent="0.25">
      <c r="C3399" s="6"/>
      <c r="G3399" s="6"/>
      <c r="K3399" s="6"/>
    </row>
    <row r="3400" spans="3:11" x14ac:dyDescent="0.25">
      <c r="C3400" s="6"/>
      <c r="G3400" s="6"/>
      <c r="K3400" s="6"/>
    </row>
    <row r="3401" spans="3:11" x14ac:dyDescent="0.25">
      <c r="C3401" s="6"/>
      <c r="G3401" s="6"/>
      <c r="K3401" s="6"/>
    </row>
    <row r="3402" spans="3:11" x14ac:dyDescent="0.25">
      <c r="C3402" s="6"/>
      <c r="G3402" s="6"/>
      <c r="K3402" s="6"/>
    </row>
    <row r="3403" spans="3:11" x14ac:dyDescent="0.25">
      <c r="C3403" s="6"/>
      <c r="G3403" s="6"/>
      <c r="K3403" s="6"/>
    </row>
    <row r="3404" spans="3:11" x14ac:dyDescent="0.25">
      <c r="C3404" s="6"/>
      <c r="G3404" s="6"/>
      <c r="K3404" s="6"/>
    </row>
    <row r="3405" spans="3:11" x14ac:dyDescent="0.25">
      <c r="C3405" s="6"/>
      <c r="G3405" s="6"/>
      <c r="K3405" s="6"/>
    </row>
    <row r="3406" spans="3:11" x14ac:dyDescent="0.25">
      <c r="C3406" s="6"/>
      <c r="G3406" s="6"/>
      <c r="K3406" s="6"/>
    </row>
    <row r="3407" spans="3:11" x14ac:dyDescent="0.25">
      <c r="C3407" s="6"/>
      <c r="G3407" s="6"/>
      <c r="K3407" s="6"/>
    </row>
    <row r="3408" spans="3:11" x14ac:dyDescent="0.25">
      <c r="C3408" s="6"/>
      <c r="G3408" s="6"/>
      <c r="K3408" s="6"/>
    </row>
    <row r="3409" spans="3:11" x14ac:dyDescent="0.25">
      <c r="C3409" s="6"/>
      <c r="G3409" s="6"/>
      <c r="K3409" s="6"/>
    </row>
    <row r="3410" spans="3:11" x14ac:dyDescent="0.25">
      <c r="C3410" s="6"/>
      <c r="G3410" s="6"/>
      <c r="K3410" s="6"/>
    </row>
    <row r="3411" spans="3:11" x14ac:dyDescent="0.25">
      <c r="C3411" s="6"/>
      <c r="G3411" s="6"/>
      <c r="K3411" s="6"/>
    </row>
    <row r="3412" spans="3:11" x14ac:dyDescent="0.25">
      <c r="C3412" s="6"/>
      <c r="G3412" s="6"/>
      <c r="K3412" s="6"/>
    </row>
    <row r="3413" spans="3:11" x14ac:dyDescent="0.25">
      <c r="C3413" s="6"/>
      <c r="G3413" s="6"/>
      <c r="K3413" s="6"/>
    </row>
    <row r="3414" spans="3:11" x14ac:dyDescent="0.25">
      <c r="C3414" s="6"/>
      <c r="G3414" s="6"/>
      <c r="K3414" s="6"/>
    </row>
    <row r="3415" spans="3:11" x14ac:dyDescent="0.25">
      <c r="C3415" s="6"/>
      <c r="G3415" s="6"/>
      <c r="K3415" s="6"/>
    </row>
    <row r="3416" spans="3:11" x14ac:dyDescent="0.25">
      <c r="C3416" s="6"/>
      <c r="G3416" s="6"/>
      <c r="K3416" s="6"/>
    </row>
    <row r="3417" spans="3:11" x14ac:dyDescent="0.25">
      <c r="C3417" s="6"/>
      <c r="G3417" s="6"/>
      <c r="K3417" s="6"/>
    </row>
    <row r="3418" spans="3:11" x14ac:dyDescent="0.25">
      <c r="C3418" s="6"/>
      <c r="G3418" s="6"/>
      <c r="K3418" s="6"/>
    </row>
    <row r="3419" spans="3:11" x14ac:dyDescent="0.25">
      <c r="C3419" s="6"/>
      <c r="G3419" s="6"/>
      <c r="K3419" s="6"/>
    </row>
    <row r="3420" spans="3:11" x14ac:dyDescent="0.25">
      <c r="C3420" s="6"/>
      <c r="G3420" s="6"/>
      <c r="K3420" s="6"/>
    </row>
    <row r="3421" spans="3:11" x14ac:dyDescent="0.25">
      <c r="C3421" s="6"/>
      <c r="G3421" s="6"/>
      <c r="K3421" s="6"/>
    </row>
    <row r="3422" spans="3:11" x14ac:dyDescent="0.25">
      <c r="C3422" s="6"/>
      <c r="G3422" s="6"/>
      <c r="K3422" s="6"/>
    </row>
    <row r="3423" spans="3:11" x14ac:dyDescent="0.25">
      <c r="C3423" s="6"/>
      <c r="G3423" s="6"/>
      <c r="K3423" s="6"/>
    </row>
    <row r="3424" spans="3:11" x14ac:dyDescent="0.25">
      <c r="C3424" s="6"/>
      <c r="G3424" s="6"/>
      <c r="K3424" s="6"/>
    </row>
    <row r="3425" spans="3:11" x14ac:dyDescent="0.25">
      <c r="C3425" s="6"/>
      <c r="G3425" s="6"/>
      <c r="K3425" s="6"/>
    </row>
    <row r="3426" spans="3:11" x14ac:dyDescent="0.25">
      <c r="C3426" s="6"/>
      <c r="G3426" s="6"/>
      <c r="K3426" s="6"/>
    </row>
    <row r="3427" spans="3:11" x14ac:dyDescent="0.25">
      <c r="C3427" s="6"/>
      <c r="G3427" s="6"/>
      <c r="K3427" s="6"/>
    </row>
    <row r="3428" spans="3:11" x14ac:dyDescent="0.25">
      <c r="C3428" s="6"/>
      <c r="G3428" s="6"/>
      <c r="K3428" s="6"/>
    </row>
    <row r="3429" spans="3:11" x14ac:dyDescent="0.25">
      <c r="C3429" s="6"/>
      <c r="G3429" s="6"/>
      <c r="K3429" s="6"/>
    </row>
    <row r="3430" spans="3:11" x14ac:dyDescent="0.25">
      <c r="C3430" s="6"/>
      <c r="G3430" s="6"/>
      <c r="K3430" s="6"/>
    </row>
    <row r="3431" spans="3:11" x14ac:dyDescent="0.25">
      <c r="C3431" s="6"/>
      <c r="G3431" s="6"/>
      <c r="K3431" s="6"/>
    </row>
    <row r="3432" spans="3:11" x14ac:dyDescent="0.25">
      <c r="C3432" s="6"/>
      <c r="G3432" s="6"/>
      <c r="K3432" s="6"/>
    </row>
    <row r="3433" spans="3:11" x14ac:dyDescent="0.25">
      <c r="C3433" s="6"/>
      <c r="G3433" s="6"/>
      <c r="K3433" s="6"/>
    </row>
    <row r="3434" spans="3:11" x14ac:dyDescent="0.25">
      <c r="C3434" s="6"/>
      <c r="G3434" s="6"/>
      <c r="K3434" s="6"/>
    </row>
    <row r="3435" spans="3:11" x14ac:dyDescent="0.25">
      <c r="C3435" s="6"/>
      <c r="G3435" s="6"/>
      <c r="K3435" s="6"/>
    </row>
    <row r="3436" spans="3:11" x14ac:dyDescent="0.25">
      <c r="C3436" s="6"/>
      <c r="G3436" s="6"/>
      <c r="K3436" s="6"/>
    </row>
    <row r="3437" spans="3:11" x14ac:dyDescent="0.25">
      <c r="C3437" s="6"/>
      <c r="G3437" s="6"/>
      <c r="K3437" s="6"/>
    </row>
    <row r="3438" spans="3:11" x14ac:dyDescent="0.25">
      <c r="C3438" s="6"/>
      <c r="G3438" s="6"/>
      <c r="K3438" s="6"/>
    </row>
    <row r="3439" spans="3:11" x14ac:dyDescent="0.25">
      <c r="C3439" s="6"/>
      <c r="G3439" s="6"/>
      <c r="K3439" s="6"/>
    </row>
    <row r="3440" spans="3:11" x14ac:dyDescent="0.25">
      <c r="C3440" s="6"/>
      <c r="G3440" s="6"/>
      <c r="K3440" s="6"/>
    </row>
    <row r="3441" spans="3:11" x14ac:dyDescent="0.25">
      <c r="C3441" s="6"/>
      <c r="G3441" s="6"/>
      <c r="K3441" s="6"/>
    </row>
    <row r="3442" spans="3:11" x14ac:dyDescent="0.25">
      <c r="C3442" s="6"/>
      <c r="G3442" s="6"/>
      <c r="K3442" s="6"/>
    </row>
    <row r="3443" spans="3:11" x14ac:dyDescent="0.25">
      <c r="C3443" s="6"/>
      <c r="G3443" s="6"/>
      <c r="K3443" s="6"/>
    </row>
    <row r="3444" spans="3:11" x14ac:dyDescent="0.25">
      <c r="C3444" s="6"/>
      <c r="G3444" s="6"/>
      <c r="K3444" s="6"/>
    </row>
    <row r="3445" spans="3:11" x14ac:dyDescent="0.25">
      <c r="C3445" s="6"/>
      <c r="G3445" s="6"/>
      <c r="K3445" s="6"/>
    </row>
    <row r="3446" spans="3:11" x14ac:dyDescent="0.25">
      <c r="C3446" s="6"/>
      <c r="G3446" s="6"/>
      <c r="K3446" s="6"/>
    </row>
    <row r="3447" spans="3:11" x14ac:dyDescent="0.25">
      <c r="C3447" s="6"/>
      <c r="G3447" s="6"/>
      <c r="K3447" s="6"/>
    </row>
    <row r="3448" spans="3:11" x14ac:dyDescent="0.25">
      <c r="C3448" s="6"/>
      <c r="G3448" s="6"/>
      <c r="K3448" s="6"/>
    </row>
    <row r="3449" spans="3:11" x14ac:dyDescent="0.25">
      <c r="C3449" s="6"/>
      <c r="G3449" s="6"/>
      <c r="K3449" s="6"/>
    </row>
    <row r="3450" spans="3:11" x14ac:dyDescent="0.25">
      <c r="C3450" s="6"/>
      <c r="G3450" s="6"/>
      <c r="K3450" s="6"/>
    </row>
    <row r="3451" spans="3:11" x14ac:dyDescent="0.25">
      <c r="C3451" s="6"/>
      <c r="G3451" s="6"/>
      <c r="K3451" s="6"/>
    </row>
    <row r="3452" spans="3:11" x14ac:dyDescent="0.25">
      <c r="C3452" s="6"/>
      <c r="G3452" s="6"/>
      <c r="K3452" s="6"/>
    </row>
    <row r="3453" spans="3:11" x14ac:dyDescent="0.25">
      <c r="C3453" s="6"/>
      <c r="G3453" s="6"/>
      <c r="K3453" s="6"/>
    </row>
    <row r="3454" spans="3:11" x14ac:dyDescent="0.25">
      <c r="C3454" s="6"/>
      <c r="G3454" s="6"/>
      <c r="K3454" s="6"/>
    </row>
    <row r="3455" spans="3:11" x14ac:dyDescent="0.25">
      <c r="C3455" s="6"/>
      <c r="G3455" s="6"/>
      <c r="K3455" s="6"/>
    </row>
    <row r="3456" spans="3:11" x14ac:dyDescent="0.25">
      <c r="C3456" s="6"/>
      <c r="G3456" s="6"/>
      <c r="K3456" s="6"/>
    </row>
    <row r="3457" spans="3:11" x14ac:dyDescent="0.25">
      <c r="C3457" s="6"/>
      <c r="G3457" s="6"/>
      <c r="K3457" s="6"/>
    </row>
    <row r="3458" spans="3:11" x14ac:dyDescent="0.25">
      <c r="C3458" s="6"/>
      <c r="G3458" s="6"/>
      <c r="K3458" s="6"/>
    </row>
    <row r="3459" spans="3:11" x14ac:dyDescent="0.25">
      <c r="C3459" s="6"/>
      <c r="G3459" s="6"/>
      <c r="K3459" s="6"/>
    </row>
    <row r="3460" spans="3:11" x14ac:dyDescent="0.25">
      <c r="C3460" s="6"/>
      <c r="G3460" s="6"/>
      <c r="K3460" s="6"/>
    </row>
    <row r="3461" spans="3:11" x14ac:dyDescent="0.25">
      <c r="C3461" s="6"/>
      <c r="G3461" s="6"/>
      <c r="K3461" s="6"/>
    </row>
    <row r="3462" spans="3:11" x14ac:dyDescent="0.25">
      <c r="C3462" s="6"/>
      <c r="G3462" s="6"/>
      <c r="K3462" s="6"/>
    </row>
    <row r="3463" spans="3:11" x14ac:dyDescent="0.25">
      <c r="C3463" s="6"/>
      <c r="G3463" s="6"/>
      <c r="K3463" s="6"/>
    </row>
    <row r="3464" spans="3:11" x14ac:dyDescent="0.25">
      <c r="C3464" s="6"/>
      <c r="G3464" s="6"/>
      <c r="K3464" s="6"/>
    </row>
    <row r="3465" spans="3:11" x14ac:dyDescent="0.25">
      <c r="C3465" s="6"/>
      <c r="G3465" s="6"/>
      <c r="K3465" s="6"/>
    </row>
    <row r="3466" spans="3:11" x14ac:dyDescent="0.25">
      <c r="C3466" s="6"/>
      <c r="G3466" s="6"/>
      <c r="K3466" s="6"/>
    </row>
    <row r="3467" spans="3:11" x14ac:dyDescent="0.25">
      <c r="C3467" s="6"/>
      <c r="G3467" s="6"/>
      <c r="K3467" s="6"/>
    </row>
    <row r="3468" spans="3:11" x14ac:dyDescent="0.25">
      <c r="C3468" s="6"/>
      <c r="G3468" s="6"/>
      <c r="K3468" s="6"/>
    </row>
    <row r="3469" spans="3:11" x14ac:dyDescent="0.25">
      <c r="C3469" s="6"/>
      <c r="G3469" s="6"/>
      <c r="K3469" s="6"/>
    </row>
    <row r="3470" spans="3:11" x14ac:dyDescent="0.25">
      <c r="C3470" s="6"/>
      <c r="G3470" s="6"/>
      <c r="K3470" s="6"/>
    </row>
    <row r="3471" spans="3:11" x14ac:dyDescent="0.25">
      <c r="C3471" s="6"/>
      <c r="G3471" s="6"/>
      <c r="K3471" s="6"/>
    </row>
    <row r="3472" spans="3:11" x14ac:dyDescent="0.25">
      <c r="C3472" s="6"/>
      <c r="G3472" s="6"/>
      <c r="K3472" s="6"/>
    </row>
    <row r="3473" spans="3:11" x14ac:dyDescent="0.25">
      <c r="C3473" s="6"/>
      <c r="G3473" s="6"/>
      <c r="K3473" s="6"/>
    </row>
    <row r="3474" spans="3:11" x14ac:dyDescent="0.25">
      <c r="C3474" s="6"/>
      <c r="G3474" s="6"/>
      <c r="K3474" s="6"/>
    </row>
    <row r="3475" spans="3:11" x14ac:dyDescent="0.25">
      <c r="C3475" s="6"/>
      <c r="G3475" s="6"/>
      <c r="K3475" s="6"/>
    </row>
    <row r="3476" spans="3:11" x14ac:dyDescent="0.25">
      <c r="C3476" s="6"/>
      <c r="G3476" s="6"/>
      <c r="K3476" s="6"/>
    </row>
    <row r="3477" spans="3:11" x14ac:dyDescent="0.25">
      <c r="C3477" s="6"/>
      <c r="G3477" s="6"/>
      <c r="K3477" s="6"/>
    </row>
    <row r="3478" spans="3:11" x14ac:dyDescent="0.25">
      <c r="C3478" s="6"/>
      <c r="G3478" s="6"/>
      <c r="K3478" s="6"/>
    </row>
    <row r="3479" spans="3:11" x14ac:dyDescent="0.25">
      <c r="C3479" s="6"/>
      <c r="G3479" s="6"/>
      <c r="K3479" s="6"/>
    </row>
    <row r="3480" spans="3:11" x14ac:dyDescent="0.25">
      <c r="C3480" s="6"/>
      <c r="G3480" s="6"/>
      <c r="K3480" s="6"/>
    </row>
    <row r="3481" spans="3:11" x14ac:dyDescent="0.25">
      <c r="C3481" s="6"/>
      <c r="G3481" s="6"/>
      <c r="K3481" s="6"/>
    </row>
    <row r="3482" spans="3:11" x14ac:dyDescent="0.25">
      <c r="C3482" s="6"/>
      <c r="G3482" s="6"/>
      <c r="K3482" s="6"/>
    </row>
    <row r="3483" spans="3:11" x14ac:dyDescent="0.25">
      <c r="C3483" s="6"/>
      <c r="G3483" s="6"/>
      <c r="K3483" s="6"/>
    </row>
    <row r="3484" spans="3:11" x14ac:dyDescent="0.25">
      <c r="C3484" s="6"/>
      <c r="G3484" s="6"/>
      <c r="K3484" s="6"/>
    </row>
    <row r="3485" spans="3:11" x14ac:dyDescent="0.25">
      <c r="C3485" s="6"/>
      <c r="G3485" s="6"/>
      <c r="K3485" s="6"/>
    </row>
    <row r="3486" spans="3:11" x14ac:dyDescent="0.25">
      <c r="C3486" s="6"/>
      <c r="G3486" s="6"/>
      <c r="K3486" s="6"/>
    </row>
    <row r="3487" spans="3:11" x14ac:dyDescent="0.25">
      <c r="C3487" s="6"/>
      <c r="G3487" s="6"/>
      <c r="K3487" s="6"/>
    </row>
    <row r="3488" spans="3:11" x14ac:dyDescent="0.25">
      <c r="C3488" s="6"/>
      <c r="G3488" s="6"/>
      <c r="K3488" s="6"/>
    </row>
    <row r="3489" spans="3:11" x14ac:dyDescent="0.25">
      <c r="C3489" s="6"/>
      <c r="G3489" s="6"/>
      <c r="K3489" s="6"/>
    </row>
    <row r="3490" spans="3:11" x14ac:dyDescent="0.25">
      <c r="C3490" s="6"/>
      <c r="G3490" s="6"/>
      <c r="K3490" s="6"/>
    </row>
    <row r="3491" spans="3:11" x14ac:dyDescent="0.25">
      <c r="C3491" s="6"/>
      <c r="G3491" s="6"/>
      <c r="K3491" s="6"/>
    </row>
    <row r="3492" spans="3:11" x14ac:dyDescent="0.25">
      <c r="C3492" s="6"/>
      <c r="G3492" s="6"/>
      <c r="K3492" s="6"/>
    </row>
    <row r="3493" spans="3:11" x14ac:dyDescent="0.25">
      <c r="C3493" s="6"/>
      <c r="G3493" s="6"/>
      <c r="K3493" s="6"/>
    </row>
    <row r="3494" spans="3:11" x14ac:dyDescent="0.25">
      <c r="C3494" s="6"/>
      <c r="G3494" s="6"/>
      <c r="K3494" s="6"/>
    </row>
    <row r="3495" spans="3:11" x14ac:dyDescent="0.25">
      <c r="C3495" s="6"/>
      <c r="G3495" s="6"/>
      <c r="K3495" s="6"/>
    </row>
    <row r="3496" spans="3:11" x14ac:dyDescent="0.25">
      <c r="C3496" s="6"/>
      <c r="G3496" s="6"/>
      <c r="K3496" s="6"/>
    </row>
    <row r="3497" spans="3:11" x14ac:dyDescent="0.25">
      <c r="C3497" s="6"/>
      <c r="G3497" s="6"/>
      <c r="K3497" s="6"/>
    </row>
    <row r="3498" spans="3:11" x14ac:dyDescent="0.25">
      <c r="C3498" s="6"/>
      <c r="G3498" s="6"/>
      <c r="K3498" s="6"/>
    </row>
    <row r="3499" spans="3:11" x14ac:dyDescent="0.25">
      <c r="C3499" s="6"/>
      <c r="G3499" s="6"/>
      <c r="K3499" s="6"/>
    </row>
    <row r="3500" spans="3:11" x14ac:dyDescent="0.25">
      <c r="C3500" s="6"/>
      <c r="G3500" s="6"/>
      <c r="K3500" s="6"/>
    </row>
    <row r="3501" spans="3:11" x14ac:dyDescent="0.25">
      <c r="C3501" s="6"/>
      <c r="G3501" s="6"/>
      <c r="K3501" s="6"/>
    </row>
    <row r="3502" spans="3:11" x14ac:dyDescent="0.25">
      <c r="C3502" s="6"/>
      <c r="G3502" s="6"/>
      <c r="K3502" s="6"/>
    </row>
    <row r="3503" spans="3:11" x14ac:dyDescent="0.25">
      <c r="C3503" s="6"/>
      <c r="G3503" s="6"/>
      <c r="K3503" s="6"/>
    </row>
    <row r="3504" spans="3:11" x14ac:dyDescent="0.25">
      <c r="C3504" s="6"/>
      <c r="G3504" s="6"/>
      <c r="K3504" s="6"/>
    </row>
    <row r="3505" spans="3:11" x14ac:dyDescent="0.25">
      <c r="C3505" s="6"/>
      <c r="G3505" s="6"/>
      <c r="K3505" s="6"/>
    </row>
    <row r="3506" spans="3:11" x14ac:dyDescent="0.25">
      <c r="C3506" s="6"/>
      <c r="G3506" s="6"/>
      <c r="K3506" s="6"/>
    </row>
    <row r="3507" spans="3:11" x14ac:dyDescent="0.25">
      <c r="C3507" s="6"/>
      <c r="G3507" s="6"/>
      <c r="K3507" s="6"/>
    </row>
    <row r="3508" spans="3:11" x14ac:dyDescent="0.25">
      <c r="C3508" s="6"/>
      <c r="G3508" s="6"/>
      <c r="K3508" s="6"/>
    </row>
    <row r="3509" spans="3:11" x14ac:dyDescent="0.25">
      <c r="C3509" s="6"/>
      <c r="G3509" s="6"/>
      <c r="K3509" s="6"/>
    </row>
    <row r="3510" spans="3:11" x14ac:dyDescent="0.25">
      <c r="C3510" s="6"/>
      <c r="G3510" s="6"/>
      <c r="K3510" s="6"/>
    </row>
    <row r="3511" spans="3:11" x14ac:dyDescent="0.25">
      <c r="C3511" s="6"/>
      <c r="G3511" s="6"/>
      <c r="K3511" s="6"/>
    </row>
    <row r="3512" spans="3:11" x14ac:dyDescent="0.25">
      <c r="C3512" s="6"/>
      <c r="G3512" s="6"/>
      <c r="K3512" s="6"/>
    </row>
    <row r="3513" spans="3:11" x14ac:dyDescent="0.25">
      <c r="C3513" s="6"/>
      <c r="G3513" s="6"/>
      <c r="K3513" s="6"/>
    </row>
    <row r="3514" spans="3:11" x14ac:dyDescent="0.25">
      <c r="C3514" s="6"/>
      <c r="G3514" s="6"/>
      <c r="K3514" s="6"/>
    </row>
    <row r="3515" spans="3:11" x14ac:dyDescent="0.25">
      <c r="C3515" s="6"/>
      <c r="G3515" s="6"/>
      <c r="K3515" s="6"/>
    </row>
    <row r="3516" spans="3:11" x14ac:dyDescent="0.25">
      <c r="C3516" s="6"/>
      <c r="G3516" s="6"/>
      <c r="K3516" s="6"/>
    </row>
    <row r="3517" spans="3:11" x14ac:dyDescent="0.25">
      <c r="C3517" s="6"/>
      <c r="G3517" s="6"/>
      <c r="K3517" s="6"/>
    </row>
    <row r="3518" spans="3:11" x14ac:dyDescent="0.25">
      <c r="C3518" s="6"/>
      <c r="G3518" s="6"/>
      <c r="K3518" s="6"/>
    </row>
    <row r="3519" spans="3:11" x14ac:dyDescent="0.25">
      <c r="C3519" s="6"/>
      <c r="G3519" s="6"/>
      <c r="K3519" s="6"/>
    </row>
    <row r="3520" spans="3:11" x14ac:dyDescent="0.25">
      <c r="C3520" s="6"/>
      <c r="G3520" s="6"/>
      <c r="K3520" s="6"/>
    </row>
    <row r="3521" spans="3:11" x14ac:dyDescent="0.25">
      <c r="C3521" s="6"/>
      <c r="G3521" s="6"/>
      <c r="K3521" s="6"/>
    </row>
    <row r="3522" spans="3:11" x14ac:dyDescent="0.25">
      <c r="C3522" s="6"/>
      <c r="G3522" s="6"/>
      <c r="K3522" s="6"/>
    </row>
    <row r="3523" spans="3:11" x14ac:dyDescent="0.25">
      <c r="C3523" s="6"/>
      <c r="G3523" s="6"/>
      <c r="K3523" s="6"/>
    </row>
    <row r="3524" spans="3:11" x14ac:dyDescent="0.25">
      <c r="C3524" s="6"/>
      <c r="G3524" s="6"/>
      <c r="K3524" s="6"/>
    </row>
    <row r="3525" spans="3:11" x14ac:dyDescent="0.25">
      <c r="C3525" s="6"/>
      <c r="G3525" s="6"/>
      <c r="K3525" s="6"/>
    </row>
    <row r="3526" spans="3:11" x14ac:dyDescent="0.25">
      <c r="C3526" s="6"/>
      <c r="G3526" s="6"/>
      <c r="K3526" s="6"/>
    </row>
    <row r="3527" spans="3:11" x14ac:dyDescent="0.25">
      <c r="C3527" s="6"/>
      <c r="G3527" s="6"/>
      <c r="K3527" s="6"/>
    </row>
    <row r="3528" spans="3:11" x14ac:dyDescent="0.25">
      <c r="C3528" s="6"/>
      <c r="G3528" s="6"/>
      <c r="K3528" s="6"/>
    </row>
    <row r="3529" spans="3:11" x14ac:dyDescent="0.25">
      <c r="C3529" s="6"/>
      <c r="G3529" s="6"/>
      <c r="K3529" s="6"/>
    </row>
    <row r="3530" spans="3:11" x14ac:dyDescent="0.25">
      <c r="C3530" s="6"/>
      <c r="G3530" s="6"/>
      <c r="K3530" s="6"/>
    </row>
    <row r="3531" spans="3:11" x14ac:dyDescent="0.25">
      <c r="C3531" s="6"/>
      <c r="G3531" s="6"/>
      <c r="K3531" s="6"/>
    </row>
    <row r="3532" spans="3:11" x14ac:dyDescent="0.25">
      <c r="C3532" s="6"/>
      <c r="G3532" s="6"/>
      <c r="K3532" s="6"/>
    </row>
    <row r="3533" spans="3:11" x14ac:dyDescent="0.25">
      <c r="C3533" s="6"/>
      <c r="G3533" s="6"/>
      <c r="K3533" s="6"/>
    </row>
    <row r="3534" spans="3:11" x14ac:dyDescent="0.25">
      <c r="C3534" s="6"/>
      <c r="G3534" s="6"/>
      <c r="K3534" s="6"/>
    </row>
    <row r="3535" spans="3:11" x14ac:dyDescent="0.25">
      <c r="C3535" s="6"/>
      <c r="G3535" s="6"/>
      <c r="K3535" s="6"/>
    </row>
    <row r="3536" spans="3:11" x14ac:dyDescent="0.25">
      <c r="C3536" s="6"/>
      <c r="G3536" s="6"/>
      <c r="K3536" s="6"/>
    </row>
    <row r="3537" spans="3:11" x14ac:dyDescent="0.25">
      <c r="C3537" s="6"/>
      <c r="G3537" s="6"/>
      <c r="K3537" s="6"/>
    </row>
    <row r="3538" spans="3:11" x14ac:dyDescent="0.25">
      <c r="C3538" s="6"/>
      <c r="G3538" s="6"/>
      <c r="K3538" s="6"/>
    </row>
    <row r="3539" spans="3:11" x14ac:dyDescent="0.25">
      <c r="C3539" s="6"/>
      <c r="G3539" s="6"/>
      <c r="K3539" s="6"/>
    </row>
    <row r="3540" spans="3:11" x14ac:dyDescent="0.25">
      <c r="C3540" s="6"/>
      <c r="G3540" s="6"/>
      <c r="K3540" s="6"/>
    </row>
    <row r="3541" spans="3:11" x14ac:dyDescent="0.25">
      <c r="C3541" s="6"/>
      <c r="G3541" s="6"/>
      <c r="K3541" s="6"/>
    </row>
    <row r="3542" spans="3:11" x14ac:dyDescent="0.25">
      <c r="C3542" s="6"/>
      <c r="G3542" s="6"/>
      <c r="K3542" s="6"/>
    </row>
    <row r="3543" spans="3:11" x14ac:dyDescent="0.25">
      <c r="C3543" s="6"/>
      <c r="G3543" s="6"/>
      <c r="K3543" s="6"/>
    </row>
    <row r="3544" spans="3:11" x14ac:dyDescent="0.25">
      <c r="C3544" s="6"/>
      <c r="G3544" s="6"/>
      <c r="K3544" s="6"/>
    </row>
    <row r="3545" spans="3:11" x14ac:dyDescent="0.25">
      <c r="C3545" s="6"/>
      <c r="G3545" s="6"/>
      <c r="K3545" s="6"/>
    </row>
    <row r="3546" spans="3:11" x14ac:dyDescent="0.25">
      <c r="C3546" s="6"/>
      <c r="G3546" s="6"/>
      <c r="K3546" s="6"/>
    </row>
    <row r="3547" spans="3:11" x14ac:dyDescent="0.25">
      <c r="C3547" s="6"/>
      <c r="G3547" s="6"/>
      <c r="K3547" s="6"/>
    </row>
    <row r="3548" spans="3:11" x14ac:dyDescent="0.25">
      <c r="C3548" s="6"/>
      <c r="G3548" s="6"/>
      <c r="K3548" s="6"/>
    </row>
    <row r="3549" spans="3:11" x14ac:dyDescent="0.25">
      <c r="C3549" s="6"/>
      <c r="G3549" s="6"/>
      <c r="K3549" s="6"/>
    </row>
    <row r="3550" spans="3:11" x14ac:dyDescent="0.25">
      <c r="C3550" s="6"/>
      <c r="G3550" s="6"/>
      <c r="K3550" s="6"/>
    </row>
    <row r="3551" spans="3:11" x14ac:dyDescent="0.25">
      <c r="C3551" s="6"/>
      <c r="G3551" s="6"/>
      <c r="K3551" s="6"/>
    </row>
    <row r="3552" spans="3:11" x14ac:dyDescent="0.25">
      <c r="C3552" s="6"/>
      <c r="G3552" s="6"/>
      <c r="K3552" s="6"/>
    </row>
    <row r="3553" spans="3:11" x14ac:dyDescent="0.25">
      <c r="C3553" s="6"/>
      <c r="G3553" s="6"/>
      <c r="K3553" s="6"/>
    </row>
    <row r="3554" spans="3:11" x14ac:dyDescent="0.25">
      <c r="C3554" s="6"/>
      <c r="G3554" s="6"/>
      <c r="K3554" s="6"/>
    </row>
    <row r="3555" spans="3:11" x14ac:dyDescent="0.25">
      <c r="C3555" s="6"/>
      <c r="G3555" s="6"/>
      <c r="K3555" s="6"/>
    </row>
    <row r="3556" spans="3:11" x14ac:dyDescent="0.25">
      <c r="C3556" s="6"/>
      <c r="G3556" s="6"/>
      <c r="K3556" s="6"/>
    </row>
    <row r="3557" spans="3:11" x14ac:dyDescent="0.25">
      <c r="C3557" s="6"/>
      <c r="G3557" s="6"/>
      <c r="K3557" s="6"/>
    </row>
    <row r="3558" spans="3:11" x14ac:dyDescent="0.25">
      <c r="C3558" s="6"/>
      <c r="G3558" s="6"/>
      <c r="K3558" s="6"/>
    </row>
    <row r="3559" spans="3:11" x14ac:dyDescent="0.25">
      <c r="C3559" s="6"/>
      <c r="G3559" s="6"/>
      <c r="K3559" s="6"/>
    </row>
    <row r="3560" spans="3:11" x14ac:dyDescent="0.25">
      <c r="C3560" s="6"/>
      <c r="G3560" s="6"/>
      <c r="K3560" s="6"/>
    </row>
    <row r="3561" spans="3:11" x14ac:dyDescent="0.25">
      <c r="C3561" s="6"/>
      <c r="G3561" s="6"/>
      <c r="K3561" s="6"/>
    </row>
    <row r="3562" spans="3:11" x14ac:dyDescent="0.25">
      <c r="C3562" s="6"/>
      <c r="G3562" s="6"/>
      <c r="K3562" s="6"/>
    </row>
    <row r="3563" spans="3:11" x14ac:dyDescent="0.25">
      <c r="C3563" s="6"/>
      <c r="G3563" s="6"/>
      <c r="K3563" s="6"/>
    </row>
    <row r="3564" spans="3:11" x14ac:dyDescent="0.25">
      <c r="C3564" s="6"/>
      <c r="G3564" s="6"/>
      <c r="K3564" s="6"/>
    </row>
    <row r="3565" spans="3:11" x14ac:dyDescent="0.25">
      <c r="C3565" s="6"/>
      <c r="G3565" s="6"/>
      <c r="K3565" s="6"/>
    </row>
    <row r="3566" spans="3:11" x14ac:dyDescent="0.25">
      <c r="C3566" s="6"/>
      <c r="G3566" s="6"/>
      <c r="K3566" s="6"/>
    </row>
    <row r="3567" spans="3:11" x14ac:dyDescent="0.25">
      <c r="C3567" s="6"/>
      <c r="G3567" s="6"/>
      <c r="K3567" s="6"/>
    </row>
    <row r="3568" spans="3:11" x14ac:dyDescent="0.25">
      <c r="C3568" s="6"/>
      <c r="G3568" s="6"/>
      <c r="K3568" s="6"/>
    </row>
    <row r="3569" spans="3:11" x14ac:dyDescent="0.25">
      <c r="C3569" s="6"/>
      <c r="G3569" s="6"/>
      <c r="K3569" s="6"/>
    </row>
    <row r="3570" spans="3:11" x14ac:dyDescent="0.25">
      <c r="C3570" s="6"/>
      <c r="G3570" s="6"/>
      <c r="K3570" s="6"/>
    </row>
    <row r="3571" spans="3:11" x14ac:dyDescent="0.25">
      <c r="C3571" s="6"/>
      <c r="G3571" s="6"/>
      <c r="K3571" s="6"/>
    </row>
    <row r="3572" spans="3:11" x14ac:dyDescent="0.25">
      <c r="C3572" s="6"/>
      <c r="G3572" s="6"/>
      <c r="K3572" s="6"/>
    </row>
    <row r="3573" spans="3:11" x14ac:dyDescent="0.25">
      <c r="C3573" s="6"/>
      <c r="G3573" s="6"/>
      <c r="K3573" s="6"/>
    </row>
    <row r="3574" spans="3:11" x14ac:dyDescent="0.25">
      <c r="C3574" s="6"/>
      <c r="G3574" s="6"/>
      <c r="K3574" s="6"/>
    </row>
    <row r="3575" spans="3:11" x14ac:dyDescent="0.25">
      <c r="C3575" s="6"/>
      <c r="G3575" s="6"/>
      <c r="K3575" s="6"/>
    </row>
    <row r="3576" spans="3:11" x14ac:dyDescent="0.25">
      <c r="C3576" s="6"/>
      <c r="G3576" s="6"/>
      <c r="K3576" s="6"/>
    </row>
    <row r="3577" spans="3:11" x14ac:dyDescent="0.25">
      <c r="C3577" s="6"/>
      <c r="G3577" s="6"/>
      <c r="K3577" s="6"/>
    </row>
    <row r="3578" spans="3:11" x14ac:dyDescent="0.25">
      <c r="C3578" s="6"/>
      <c r="G3578" s="6"/>
      <c r="K3578" s="6"/>
    </row>
    <row r="3579" spans="3:11" x14ac:dyDescent="0.25">
      <c r="C3579" s="6"/>
      <c r="G3579" s="6"/>
      <c r="K3579" s="6"/>
    </row>
    <row r="3580" spans="3:11" x14ac:dyDescent="0.25">
      <c r="C3580" s="6"/>
      <c r="G3580" s="6"/>
      <c r="K3580" s="6"/>
    </row>
    <row r="3581" spans="3:11" x14ac:dyDescent="0.25">
      <c r="C3581" s="6"/>
      <c r="G3581" s="6"/>
      <c r="K3581" s="6"/>
    </row>
    <row r="3582" spans="3:11" x14ac:dyDescent="0.25">
      <c r="C3582" s="6"/>
      <c r="G3582" s="6"/>
      <c r="K3582" s="6"/>
    </row>
    <row r="3583" spans="3:11" x14ac:dyDescent="0.25">
      <c r="C3583" s="6"/>
      <c r="G3583" s="6"/>
      <c r="K3583" s="6"/>
    </row>
    <row r="3584" spans="3:11" x14ac:dyDescent="0.25">
      <c r="C3584" s="6"/>
      <c r="G3584" s="6"/>
      <c r="K3584" s="6"/>
    </row>
    <row r="3585" spans="3:11" x14ac:dyDescent="0.25">
      <c r="C3585" s="6"/>
      <c r="G3585" s="6"/>
      <c r="K3585" s="6"/>
    </row>
    <row r="3586" spans="3:11" x14ac:dyDescent="0.25">
      <c r="C3586" s="6"/>
      <c r="G3586" s="6"/>
      <c r="K3586" s="6"/>
    </row>
    <row r="3587" spans="3:11" x14ac:dyDescent="0.25">
      <c r="C3587" s="6"/>
      <c r="G3587" s="6"/>
      <c r="K3587" s="6"/>
    </row>
    <row r="3588" spans="3:11" x14ac:dyDescent="0.25">
      <c r="C3588" s="6"/>
      <c r="G3588" s="6"/>
      <c r="K3588" s="6"/>
    </row>
    <row r="3589" spans="3:11" x14ac:dyDescent="0.25">
      <c r="C3589" s="6"/>
      <c r="G3589" s="6"/>
      <c r="K3589" s="6"/>
    </row>
    <row r="3590" spans="3:11" x14ac:dyDescent="0.25">
      <c r="C3590" s="6"/>
      <c r="G3590" s="6"/>
      <c r="K3590" s="6"/>
    </row>
    <row r="3591" spans="3:11" x14ac:dyDescent="0.25">
      <c r="C3591" s="6"/>
      <c r="G3591" s="6"/>
      <c r="K3591" s="6"/>
    </row>
    <row r="3592" spans="3:11" x14ac:dyDescent="0.25">
      <c r="C3592" s="6"/>
      <c r="G3592" s="6"/>
      <c r="K3592" s="6"/>
    </row>
    <row r="3593" spans="3:11" x14ac:dyDescent="0.25">
      <c r="C3593" s="6"/>
      <c r="G3593" s="6"/>
      <c r="K3593" s="6"/>
    </row>
    <row r="3594" spans="3:11" x14ac:dyDescent="0.25">
      <c r="C3594" s="6"/>
      <c r="G3594" s="6"/>
      <c r="K3594" s="6"/>
    </row>
    <row r="3595" spans="3:11" x14ac:dyDescent="0.25">
      <c r="C3595" s="6"/>
      <c r="G3595" s="6"/>
      <c r="K3595" s="6"/>
    </row>
    <row r="3596" spans="3:11" x14ac:dyDescent="0.25">
      <c r="C3596" s="6"/>
      <c r="G3596" s="6"/>
      <c r="K3596" s="6"/>
    </row>
    <row r="3597" spans="3:11" x14ac:dyDescent="0.25">
      <c r="C3597" s="6"/>
      <c r="G3597" s="6"/>
      <c r="K3597" s="6"/>
    </row>
    <row r="3598" spans="3:11" x14ac:dyDescent="0.25">
      <c r="C3598" s="6"/>
      <c r="G3598" s="6"/>
      <c r="K3598" s="6"/>
    </row>
    <row r="3599" spans="3:11" x14ac:dyDescent="0.25">
      <c r="C3599" s="6"/>
      <c r="G3599" s="6"/>
      <c r="K3599" s="6"/>
    </row>
    <row r="3600" spans="3:11" x14ac:dyDescent="0.25">
      <c r="C3600" s="6"/>
      <c r="G3600" s="6"/>
      <c r="K3600" s="6"/>
    </row>
    <row r="3601" spans="3:11" x14ac:dyDescent="0.25">
      <c r="C3601" s="6"/>
      <c r="G3601" s="6"/>
      <c r="K3601" s="6"/>
    </row>
    <row r="3602" spans="3:11" x14ac:dyDescent="0.25">
      <c r="C3602" s="6"/>
      <c r="G3602" s="6"/>
      <c r="K3602" s="6"/>
    </row>
    <row r="3603" spans="3:11" x14ac:dyDescent="0.25">
      <c r="C3603" s="6"/>
      <c r="G3603" s="6"/>
      <c r="K3603" s="6"/>
    </row>
    <row r="3604" spans="3:11" x14ac:dyDescent="0.25">
      <c r="C3604" s="6"/>
      <c r="G3604" s="6"/>
      <c r="K3604" s="6"/>
    </row>
    <row r="3605" spans="3:11" x14ac:dyDescent="0.25">
      <c r="C3605" s="6"/>
      <c r="G3605" s="6"/>
      <c r="K3605" s="6"/>
    </row>
    <row r="3606" spans="3:11" x14ac:dyDescent="0.25">
      <c r="C3606" s="6"/>
      <c r="G3606" s="6"/>
      <c r="K3606" s="6"/>
    </row>
    <row r="3607" spans="3:11" x14ac:dyDescent="0.25">
      <c r="C3607" s="6"/>
      <c r="G3607" s="6"/>
      <c r="K3607" s="6"/>
    </row>
    <row r="3608" spans="3:11" x14ac:dyDescent="0.25">
      <c r="C3608" s="6"/>
      <c r="G3608" s="6"/>
      <c r="K3608" s="6"/>
    </row>
    <row r="3609" spans="3:11" x14ac:dyDescent="0.25">
      <c r="C3609" s="6"/>
      <c r="G3609" s="6"/>
      <c r="K3609" s="6"/>
    </row>
    <row r="3610" spans="3:11" x14ac:dyDescent="0.25">
      <c r="C3610" s="6"/>
      <c r="G3610" s="6"/>
      <c r="K3610" s="6"/>
    </row>
    <row r="3611" spans="3:11" x14ac:dyDescent="0.25">
      <c r="C3611" s="6"/>
      <c r="G3611" s="6"/>
      <c r="K3611" s="6"/>
    </row>
    <row r="3612" spans="3:11" x14ac:dyDescent="0.25">
      <c r="C3612" s="6"/>
      <c r="G3612" s="6"/>
      <c r="K3612" s="6"/>
    </row>
    <row r="3613" spans="3:11" x14ac:dyDescent="0.25">
      <c r="C3613" s="6"/>
      <c r="G3613" s="6"/>
      <c r="K3613" s="6"/>
    </row>
    <row r="3614" spans="3:11" x14ac:dyDescent="0.25">
      <c r="C3614" s="6"/>
      <c r="G3614" s="6"/>
      <c r="K3614" s="6"/>
    </row>
    <row r="3615" spans="3:11" x14ac:dyDescent="0.25">
      <c r="C3615" s="6"/>
      <c r="G3615" s="6"/>
      <c r="K3615" s="6"/>
    </row>
    <row r="3616" spans="3:11" x14ac:dyDescent="0.25">
      <c r="C3616" s="6"/>
      <c r="G3616" s="6"/>
      <c r="K3616" s="6"/>
    </row>
    <row r="3617" spans="3:11" x14ac:dyDescent="0.25">
      <c r="C3617" s="6"/>
      <c r="G3617" s="6"/>
      <c r="K3617" s="6"/>
    </row>
    <row r="3618" spans="3:11" x14ac:dyDescent="0.25">
      <c r="C3618" s="6"/>
      <c r="G3618" s="6"/>
      <c r="K3618" s="6"/>
    </row>
    <row r="3619" spans="3:11" x14ac:dyDescent="0.25">
      <c r="C3619" s="6"/>
      <c r="G3619" s="6"/>
      <c r="K3619" s="6"/>
    </row>
    <row r="3620" spans="3:11" x14ac:dyDescent="0.25">
      <c r="C3620" s="6"/>
      <c r="G3620" s="6"/>
      <c r="K3620" s="6"/>
    </row>
    <row r="3621" spans="3:11" x14ac:dyDescent="0.25">
      <c r="C3621" s="6"/>
      <c r="G3621" s="6"/>
      <c r="K3621" s="6"/>
    </row>
    <row r="3622" spans="3:11" x14ac:dyDescent="0.25">
      <c r="C3622" s="6"/>
      <c r="G3622" s="6"/>
      <c r="K3622" s="6"/>
    </row>
    <row r="3623" spans="3:11" x14ac:dyDescent="0.25">
      <c r="C3623" s="6"/>
      <c r="G3623" s="6"/>
      <c r="K3623" s="6"/>
    </row>
    <row r="3624" spans="3:11" x14ac:dyDescent="0.25">
      <c r="C3624" s="6"/>
      <c r="G3624" s="6"/>
      <c r="K3624" s="6"/>
    </row>
    <row r="3625" spans="3:11" x14ac:dyDescent="0.25">
      <c r="C3625" s="6"/>
      <c r="G3625" s="6"/>
      <c r="K3625" s="6"/>
    </row>
    <row r="3626" spans="3:11" x14ac:dyDescent="0.25">
      <c r="C3626" s="6"/>
      <c r="G3626" s="6"/>
      <c r="K3626" s="6"/>
    </row>
    <row r="3627" spans="3:11" x14ac:dyDescent="0.25">
      <c r="C3627" s="6"/>
      <c r="G3627" s="6"/>
      <c r="K3627" s="6"/>
    </row>
    <row r="3628" spans="3:11" x14ac:dyDescent="0.25">
      <c r="C3628" s="6"/>
      <c r="G3628" s="6"/>
      <c r="K3628" s="6"/>
    </row>
    <row r="3629" spans="3:11" x14ac:dyDescent="0.25">
      <c r="C3629" s="6"/>
      <c r="G3629" s="6"/>
      <c r="K3629" s="6"/>
    </row>
    <row r="3630" spans="3:11" x14ac:dyDescent="0.25">
      <c r="C3630" s="6"/>
      <c r="G3630" s="6"/>
      <c r="K3630" s="6"/>
    </row>
    <row r="3631" spans="3:11" x14ac:dyDescent="0.25">
      <c r="C3631" s="6"/>
      <c r="G3631" s="6"/>
      <c r="K3631" s="6"/>
    </row>
    <row r="3632" spans="3:11" x14ac:dyDescent="0.25">
      <c r="C3632" s="6"/>
      <c r="G3632" s="6"/>
      <c r="K3632" s="6"/>
    </row>
    <row r="3633" spans="3:11" x14ac:dyDescent="0.25">
      <c r="C3633" s="6"/>
      <c r="G3633" s="6"/>
      <c r="K3633" s="6"/>
    </row>
    <row r="3634" spans="3:11" x14ac:dyDescent="0.25">
      <c r="C3634" s="6"/>
      <c r="G3634" s="6"/>
      <c r="K3634" s="6"/>
    </row>
    <row r="3635" spans="3:11" x14ac:dyDescent="0.25">
      <c r="C3635" s="6"/>
      <c r="G3635" s="6"/>
      <c r="K3635" s="6"/>
    </row>
    <row r="3636" spans="3:11" x14ac:dyDescent="0.25">
      <c r="C3636" s="6"/>
      <c r="G3636" s="6"/>
      <c r="K3636" s="6"/>
    </row>
    <row r="3637" spans="3:11" x14ac:dyDescent="0.25">
      <c r="C3637" s="6"/>
      <c r="G3637" s="6"/>
      <c r="K3637" s="6"/>
    </row>
    <row r="3638" spans="3:11" x14ac:dyDescent="0.25">
      <c r="C3638" s="6"/>
      <c r="G3638" s="6"/>
      <c r="K3638" s="6"/>
    </row>
    <row r="3639" spans="3:11" x14ac:dyDescent="0.25">
      <c r="C3639" s="6"/>
      <c r="G3639" s="6"/>
      <c r="K3639" s="6"/>
    </row>
    <row r="3640" spans="3:11" x14ac:dyDescent="0.25">
      <c r="C3640" s="6"/>
      <c r="G3640" s="6"/>
      <c r="K3640" s="6"/>
    </row>
    <row r="3641" spans="3:11" x14ac:dyDescent="0.25">
      <c r="C3641" s="6"/>
      <c r="G3641" s="6"/>
      <c r="K3641" s="6"/>
    </row>
    <row r="3642" spans="3:11" x14ac:dyDescent="0.25">
      <c r="C3642" s="6"/>
      <c r="G3642" s="6"/>
      <c r="K3642" s="6"/>
    </row>
    <row r="3643" spans="3:11" x14ac:dyDescent="0.25">
      <c r="C3643" s="6"/>
      <c r="G3643" s="6"/>
      <c r="K3643" s="6"/>
    </row>
    <row r="3644" spans="3:11" x14ac:dyDescent="0.25">
      <c r="C3644" s="6"/>
      <c r="G3644" s="6"/>
      <c r="K3644" s="6"/>
    </row>
    <row r="3645" spans="3:11" x14ac:dyDescent="0.25">
      <c r="C3645" s="6"/>
      <c r="G3645" s="6"/>
      <c r="K3645" s="6"/>
    </row>
    <row r="3646" spans="3:11" x14ac:dyDescent="0.25">
      <c r="C3646" s="6"/>
      <c r="G3646" s="6"/>
      <c r="K3646" s="6"/>
    </row>
    <row r="3647" spans="3:11" x14ac:dyDescent="0.25">
      <c r="C3647" s="6"/>
      <c r="G3647" s="6"/>
      <c r="K3647" s="6"/>
    </row>
    <row r="3648" spans="3:11" x14ac:dyDescent="0.25">
      <c r="C3648" s="6"/>
      <c r="G3648" s="6"/>
      <c r="K3648" s="6"/>
    </row>
    <row r="3649" spans="3:11" x14ac:dyDescent="0.25">
      <c r="C3649" s="6"/>
      <c r="G3649" s="6"/>
      <c r="K3649" s="6"/>
    </row>
    <row r="3650" spans="3:11" x14ac:dyDescent="0.25">
      <c r="C3650" s="6"/>
      <c r="G3650" s="6"/>
      <c r="K3650" s="6"/>
    </row>
    <row r="3651" spans="3:11" x14ac:dyDescent="0.25">
      <c r="C3651" s="6"/>
      <c r="G3651" s="6"/>
      <c r="K3651" s="6"/>
    </row>
    <row r="3652" spans="3:11" x14ac:dyDescent="0.25">
      <c r="C3652" s="6"/>
      <c r="G3652" s="6"/>
      <c r="K3652" s="6"/>
    </row>
    <row r="3653" spans="3:11" x14ac:dyDescent="0.25">
      <c r="C3653" s="6"/>
      <c r="G3653" s="6"/>
      <c r="K3653" s="6"/>
    </row>
    <row r="3654" spans="3:11" x14ac:dyDescent="0.25">
      <c r="C3654" s="6"/>
      <c r="G3654" s="6"/>
      <c r="K3654" s="6"/>
    </row>
    <row r="3655" spans="3:11" x14ac:dyDescent="0.25">
      <c r="C3655" s="6"/>
      <c r="G3655" s="6"/>
      <c r="K3655" s="6"/>
    </row>
    <row r="3656" spans="3:11" x14ac:dyDescent="0.25">
      <c r="C3656" s="6"/>
      <c r="G3656" s="6"/>
      <c r="K3656" s="6"/>
    </row>
    <row r="3657" spans="3:11" x14ac:dyDescent="0.25">
      <c r="C3657" s="6"/>
      <c r="G3657" s="6"/>
      <c r="K3657" s="6"/>
    </row>
    <row r="3658" spans="3:11" x14ac:dyDescent="0.25">
      <c r="C3658" s="6"/>
      <c r="G3658" s="6"/>
      <c r="K3658" s="6"/>
    </row>
    <row r="3659" spans="3:11" x14ac:dyDescent="0.25">
      <c r="C3659" s="6"/>
      <c r="G3659" s="6"/>
      <c r="K3659" s="6"/>
    </row>
    <row r="3660" spans="3:11" x14ac:dyDescent="0.25">
      <c r="C3660" s="6"/>
      <c r="G3660" s="6"/>
      <c r="K3660" s="6"/>
    </row>
    <row r="3661" spans="3:11" x14ac:dyDescent="0.25">
      <c r="C3661" s="6"/>
      <c r="G3661" s="6"/>
      <c r="K3661" s="6"/>
    </row>
    <row r="3662" spans="3:11" x14ac:dyDescent="0.25">
      <c r="C3662" s="6"/>
      <c r="G3662" s="6"/>
      <c r="K3662" s="6"/>
    </row>
    <row r="3663" spans="3:11" x14ac:dyDescent="0.25">
      <c r="C3663" s="6"/>
      <c r="G3663" s="6"/>
      <c r="K3663" s="6"/>
    </row>
    <row r="3664" spans="3:11" x14ac:dyDescent="0.25">
      <c r="C3664" s="6"/>
      <c r="G3664" s="6"/>
      <c r="K3664" s="6"/>
    </row>
    <row r="3665" spans="3:11" x14ac:dyDescent="0.25">
      <c r="C3665" s="6"/>
      <c r="G3665" s="6"/>
      <c r="K3665" s="6"/>
    </row>
    <row r="3666" spans="3:11" x14ac:dyDescent="0.25">
      <c r="C3666" s="6"/>
      <c r="G3666" s="6"/>
      <c r="K3666" s="6"/>
    </row>
    <row r="3667" spans="3:11" x14ac:dyDescent="0.25">
      <c r="C3667" s="6"/>
      <c r="G3667" s="6"/>
      <c r="K3667" s="6"/>
    </row>
    <row r="3668" spans="3:11" x14ac:dyDescent="0.25">
      <c r="C3668" s="6"/>
      <c r="G3668" s="6"/>
      <c r="K3668" s="6"/>
    </row>
    <row r="3669" spans="3:11" x14ac:dyDescent="0.25">
      <c r="C3669" s="6"/>
      <c r="G3669" s="6"/>
      <c r="K3669" s="6"/>
    </row>
    <row r="3670" spans="3:11" x14ac:dyDescent="0.25">
      <c r="C3670" s="6"/>
      <c r="G3670" s="6"/>
      <c r="K3670" s="6"/>
    </row>
    <row r="3671" spans="3:11" x14ac:dyDescent="0.25">
      <c r="C3671" s="6"/>
      <c r="G3671" s="6"/>
      <c r="K3671" s="6"/>
    </row>
    <row r="3672" spans="3:11" x14ac:dyDescent="0.25">
      <c r="C3672" s="6"/>
      <c r="G3672" s="6"/>
      <c r="K3672" s="6"/>
    </row>
    <row r="3673" spans="3:11" x14ac:dyDescent="0.25">
      <c r="C3673" s="6"/>
      <c r="G3673" s="6"/>
      <c r="K3673" s="6"/>
    </row>
    <row r="3674" spans="3:11" x14ac:dyDescent="0.25">
      <c r="C3674" s="6"/>
      <c r="G3674" s="6"/>
      <c r="K3674" s="6"/>
    </row>
    <row r="3675" spans="3:11" x14ac:dyDescent="0.25">
      <c r="C3675" s="6"/>
      <c r="G3675" s="6"/>
      <c r="K3675" s="6"/>
    </row>
    <row r="3676" spans="3:11" x14ac:dyDescent="0.25">
      <c r="C3676" s="6"/>
      <c r="G3676" s="6"/>
      <c r="K3676" s="6"/>
    </row>
    <row r="3677" spans="3:11" x14ac:dyDescent="0.25">
      <c r="C3677" s="6"/>
      <c r="G3677" s="6"/>
      <c r="K3677" s="6"/>
    </row>
    <row r="3678" spans="3:11" x14ac:dyDescent="0.25">
      <c r="C3678" s="6"/>
      <c r="G3678" s="6"/>
      <c r="K3678" s="6"/>
    </row>
    <row r="3679" spans="3:11" x14ac:dyDescent="0.25">
      <c r="C3679" s="6"/>
      <c r="G3679" s="6"/>
      <c r="K3679" s="6"/>
    </row>
    <row r="3680" spans="3:11" x14ac:dyDescent="0.25">
      <c r="C3680" s="6"/>
      <c r="G3680" s="6"/>
      <c r="K3680" s="6"/>
    </row>
    <row r="3681" spans="3:11" x14ac:dyDescent="0.25">
      <c r="C3681" s="6"/>
      <c r="G3681" s="6"/>
      <c r="K3681" s="6"/>
    </row>
    <row r="3682" spans="3:11" x14ac:dyDescent="0.25">
      <c r="C3682" s="6"/>
      <c r="G3682" s="6"/>
      <c r="K3682" s="6"/>
    </row>
    <row r="3683" spans="3:11" x14ac:dyDescent="0.25">
      <c r="C3683" s="6"/>
      <c r="G3683" s="6"/>
      <c r="K3683" s="6"/>
    </row>
    <row r="3684" spans="3:11" x14ac:dyDescent="0.25">
      <c r="C3684" s="6"/>
      <c r="G3684" s="6"/>
      <c r="K3684" s="6"/>
    </row>
    <row r="3685" spans="3:11" x14ac:dyDescent="0.25">
      <c r="C3685" s="6"/>
      <c r="G3685" s="6"/>
      <c r="K3685" s="6"/>
    </row>
    <row r="3686" spans="3:11" x14ac:dyDescent="0.25">
      <c r="C3686" s="6"/>
      <c r="G3686" s="6"/>
      <c r="K3686" s="6"/>
    </row>
    <row r="3687" spans="3:11" x14ac:dyDescent="0.25">
      <c r="C3687" s="6"/>
      <c r="G3687" s="6"/>
      <c r="K3687" s="6"/>
    </row>
    <row r="3688" spans="3:11" x14ac:dyDescent="0.25">
      <c r="C3688" s="6"/>
      <c r="G3688" s="6"/>
      <c r="K3688" s="6"/>
    </row>
    <row r="3689" spans="3:11" x14ac:dyDescent="0.25">
      <c r="C3689" s="6"/>
      <c r="G3689" s="6"/>
      <c r="K3689" s="6"/>
    </row>
    <row r="3690" spans="3:11" x14ac:dyDescent="0.25">
      <c r="C3690" s="6"/>
      <c r="G3690" s="6"/>
      <c r="K3690" s="6"/>
    </row>
    <row r="3691" spans="3:11" x14ac:dyDescent="0.25">
      <c r="C3691" s="6"/>
      <c r="G3691" s="6"/>
      <c r="K3691" s="6"/>
    </row>
    <row r="3692" spans="3:11" x14ac:dyDescent="0.25">
      <c r="C3692" s="6"/>
      <c r="G3692" s="6"/>
      <c r="K3692" s="6"/>
    </row>
    <row r="3693" spans="3:11" x14ac:dyDescent="0.25">
      <c r="C3693" s="6"/>
      <c r="G3693" s="6"/>
      <c r="K3693" s="6"/>
    </row>
    <row r="3694" spans="3:11" x14ac:dyDescent="0.25">
      <c r="C3694" s="6"/>
      <c r="G3694" s="6"/>
      <c r="K3694" s="6"/>
    </row>
    <row r="3695" spans="3:11" x14ac:dyDescent="0.25">
      <c r="C3695" s="6"/>
      <c r="G3695" s="6"/>
      <c r="K3695" s="6"/>
    </row>
    <row r="3696" spans="3:11" x14ac:dyDescent="0.25">
      <c r="C3696" s="6"/>
      <c r="G3696" s="6"/>
      <c r="K3696" s="6"/>
    </row>
    <row r="3697" spans="3:11" x14ac:dyDescent="0.25">
      <c r="C3697" s="6"/>
      <c r="G3697" s="6"/>
      <c r="K3697" s="6"/>
    </row>
    <row r="3698" spans="3:11" x14ac:dyDescent="0.25">
      <c r="C3698" s="6"/>
      <c r="G3698" s="6"/>
      <c r="K3698" s="6"/>
    </row>
    <row r="3699" spans="3:11" x14ac:dyDescent="0.25">
      <c r="C3699" s="6"/>
      <c r="G3699" s="6"/>
      <c r="K3699" s="6"/>
    </row>
    <row r="3700" spans="3:11" x14ac:dyDescent="0.25">
      <c r="C3700" s="6"/>
      <c r="G3700" s="6"/>
      <c r="K3700" s="6"/>
    </row>
    <row r="3701" spans="3:11" x14ac:dyDescent="0.25">
      <c r="C3701" s="6"/>
      <c r="G3701" s="6"/>
      <c r="K3701" s="6"/>
    </row>
    <row r="3702" spans="3:11" x14ac:dyDescent="0.25">
      <c r="C3702" s="6"/>
      <c r="G3702" s="6"/>
      <c r="K3702" s="6"/>
    </row>
    <row r="3703" spans="3:11" x14ac:dyDescent="0.25">
      <c r="C3703" s="6"/>
      <c r="G3703" s="6"/>
      <c r="K3703" s="6"/>
    </row>
    <row r="3704" spans="3:11" x14ac:dyDescent="0.25">
      <c r="C3704" s="6"/>
      <c r="G3704" s="6"/>
      <c r="K3704" s="6"/>
    </row>
    <row r="3705" spans="3:11" x14ac:dyDescent="0.25">
      <c r="C3705" s="6"/>
      <c r="G3705" s="6"/>
      <c r="K3705" s="6"/>
    </row>
    <row r="3706" spans="3:11" x14ac:dyDescent="0.25">
      <c r="C3706" s="6"/>
      <c r="G3706" s="6"/>
      <c r="K3706" s="6"/>
    </row>
    <row r="3707" spans="3:11" x14ac:dyDescent="0.25">
      <c r="C3707" s="6"/>
      <c r="G3707" s="6"/>
      <c r="K3707" s="6"/>
    </row>
    <row r="3708" spans="3:11" x14ac:dyDescent="0.25">
      <c r="C3708" s="6"/>
      <c r="G3708" s="6"/>
      <c r="K3708" s="6"/>
    </row>
    <row r="3709" spans="3:11" x14ac:dyDescent="0.25">
      <c r="C3709" s="6"/>
      <c r="G3709" s="6"/>
      <c r="K3709" s="6"/>
    </row>
    <row r="3710" spans="3:11" x14ac:dyDescent="0.25">
      <c r="C3710" s="6"/>
      <c r="G3710" s="6"/>
      <c r="K3710" s="6"/>
    </row>
    <row r="3711" spans="3:11" x14ac:dyDescent="0.25">
      <c r="C3711" s="6"/>
      <c r="G3711" s="6"/>
      <c r="K3711" s="6"/>
    </row>
    <row r="3712" spans="3:11" x14ac:dyDescent="0.25">
      <c r="C3712" s="6"/>
      <c r="G3712" s="6"/>
      <c r="K3712" s="6"/>
    </row>
    <row r="3713" spans="3:11" x14ac:dyDescent="0.25">
      <c r="C3713" s="6"/>
      <c r="G3713" s="6"/>
      <c r="K3713" s="6"/>
    </row>
    <row r="3714" spans="3:11" x14ac:dyDescent="0.25">
      <c r="C3714" s="6"/>
      <c r="G3714" s="6"/>
      <c r="K3714" s="6"/>
    </row>
    <row r="3715" spans="3:11" x14ac:dyDescent="0.25">
      <c r="C3715" s="6"/>
      <c r="G3715" s="6"/>
      <c r="K3715" s="6"/>
    </row>
    <row r="3716" spans="3:11" x14ac:dyDescent="0.25">
      <c r="C3716" s="6"/>
      <c r="G3716" s="6"/>
      <c r="K3716" s="6"/>
    </row>
    <row r="3717" spans="3:11" x14ac:dyDescent="0.25">
      <c r="C3717" s="6"/>
      <c r="G3717" s="6"/>
      <c r="K3717" s="6"/>
    </row>
    <row r="3718" spans="3:11" x14ac:dyDescent="0.25">
      <c r="C3718" s="6"/>
      <c r="G3718" s="6"/>
      <c r="K3718" s="6"/>
    </row>
    <row r="3719" spans="3:11" x14ac:dyDescent="0.25">
      <c r="C3719" s="6"/>
      <c r="G3719" s="6"/>
      <c r="K3719" s="6"/>
    </row>
    <row r="3720" spans="3:11" x14ac:dyDescent="0.25">
      <c r="C3720" s="6"/>
      <c r="G3720" s="6"/>
      <c r="K3720" s="6"/>
    </row>
    <row r="3721" spans="3:11" x14ac:dyDescent="0.25">
      <c r="C3721" s="6"/>
      <c r="G3721" s="6"/>
      <c r="K3721" s="6"/>
    </row>
    <row r="3722" spans="3:11" x14ac:dyDescent="0.25">
      <c r="C3722" s="6"/>
      <c r="G3722" s="6"/>
      <c r="K3722" s="6"/>
    </row>
    <row r="3723" spans="3:11" x14ac:dyDescent="0.25">
      <c r="C3723" s="6"/>
      <c r="G3723" s="6"/>
      <c r="K3723" s="6"/>
    </row>
    <row r="3724" spans="3:11" x14ac:dyDescent="0.25">
      <c r="C3724" s="6"/>
      <c r="G3724" s="6"/>
      <c r="K3724" s="6"/>
    </row>
    <row r="3725" spans="3:11" x14ac:dyDescent="0.25">
      <c r="C3725" s="6"/>
      <c r="G3725" s="6"/>
      <c r="K3725" s="6"/>
    </row>
    <row r="3726" spans="3:11" x14ac:dyDescent="0.25">
      <c r="C3726" s="6"/>
      <c r="G3726" s="6"/>
      <c r="K3726" s="6"/>
    </row>
    <row r="3727" spans="3:11" x14ac:dyDescent="0.25">
      <c r="C3727" s="6"/>
      <c r="G3727" s="6"/>
      <c r="K3727" s="6"/>
    </row>
    <row r="3728" spans="3:11" x14ac:dyDescent="0.25">
      <c r="C3728" s="6"/>
      <c r="G3728" s="6"/>
      <c r="K3728" s="6"/>
    </row>
    <row r="3729" spans="3:11" x14ac:dyDescent="0.25">
      <c r="C3729" s="6"/>
      <c r="G3729" s="6"/>
      <c r="K3729" s="6"/>
    </row>
    <row r="3730" spans="3:11" x14ac:dyDescent="0.25">
      <c r="C3730" s="6"/>
      <c r="G3730" s="6"/>
      <c r="K3730" s="6"/>
    </row>
    <row r="3731" spans="3:11" x14ac:dyDescent="0.25">
      <c r="C3731" s="6"/>
      <c r="G3731" s="6"/>
      <c r="K3731" s="6"/>
    </row>
    <row r="3732" spans="3:11" x14ac:dyDescent="0.25">
      <c r="C3732" s="6"/>
      <c r="G3732" s="6"/>
      <c r="K3732" s="6"/>
    </row>
    <row r="3733" spans="3:11" x14ac:dyDescent="0.25">
      <c r="C3733" s="6"/>
      <c r="G3733" s="6"/>
      <c r="K3733" s="6"/>
    </row>
    <row r="3734" spans="3:11" x14ac:dyDescent="0.25">
      <c r="C3734" s="6"/>
      <c r="G3734" s="6"/>
      <c r="K3734" s="6"/>
    </row>
    <row r="3735" spans="3:11" x14ac:dyDescent="0.25">
      <c r="C3735" s="6"/>
      <c r="G3735" s="6"/>
      <c r="K3735" s="6"/>
    </row>
    <row r="3736" spans="3:11" x14ac:dyDescent="0.25">
      <c r="C3736" s="6"/>
      <c r="G3736" s="6"/>
      <c r="K3736" s="6"/>
    </row>
    <row r="3737" spans="3:11" x14ac:dyDescent="0.25">
      <c r="C3737" s="6"/>
      <c r="G3737" s="6"/>
      <c r="K3737" s="6"/>
    </row>
    <row r="3738" spans="3:11" x14ac:dyDescent="0.25">
      <c r="C3738" s="6"/>
      <c r="G3738" s="6"/>
      <c r="K3738" s="6"/>
    </row>
    <row r="3739" spans="3:11" x14ac:dyDescent="0.25">
      <c r="C3739" s="6"/>
      <c r="G3739" s="6"/>
      <c r="K3739" s="6"/>
    </row>
    <row r="3740" spans="3:11" x14ac:dyDescent="0.25">
      <c r="C3740" s="6"/>
      <c r="G3740" s="6"/>
      <c r="K3740" s="6"/>
    </row>
    <row r="3741" spans="3:11" x14ac:dyDescent="0.25">
      <c r="C3741" s="6"/>
      <c r="G3741" s="6"/>
      <c r="K3741" s="6"/>
    </row>
    <row r="3742" spans="3:11" x14ac:dyDescent="0.25">
      <c r="C3742" s="6"/>
      <c r="G3742" s="6"/>
      <c r="K3742" s="6"/>
    </row>
    <row r="3743" spans="3:11" x14ac:dyDescent="0.25">
      <c r="C3743" s="6"/>
      <c r="G3743" s="6"/>
      <c r="K3743" s="6"/>
    </row>
    <row r="3744" spans="3:11" x14ac:dyDescent="0.25">
      <c r="C3744" s="6"/>
      <c r="G3744" s="6"/>
      <c r="K3744" s="6"/>
    </row>
    <row r="3745" spans="3:11" x14ac:dyDescent="0.25">
      <c r="C3745" s="6"/>
      <c r="G3745" s="6"/>
      <c r="K3745" s="6"/>
    </row>
    <row r="3746" spans="3:11" x14ac:dyDescent="0.25">
      <c r="C3746" s="6"/>
      <c r="G3746" s="6"/>
      <c r="K3746" s="6"/>
    </row>
    <row r="3747" spans="3:11" x14ac:dyDescent="0.25">
      <c r="C3747" s="6"/>
      <c r="G3747" s="6"/>
      <c r="K3747" s="6"/>
    </row>
    <row r="3748" spans="3:11" x14ac:dyDescent="0.25">
      <c r="C3748" s="6"/>
      <c r="G3748" s="6"/>
      <c r="K3748" s="6"/>
    </row>
    <row r="3749" spans="3:11" x14ac:dyDescent="0.25">
      <c r="C3749" s="6"/>
      <c r="G3749" s="6"/>
      <c r="K3749" s="6"/>
    </row>
    <row r="3750" spans="3:11" x14ac:dyDescent="0.25">
      <c r="C3750" s="6"/>
      <c r="G3750" s="6"/>
      <c r="K3750" s="6"/>
    </row>
    <row r="3751" spans="3:11" x14ac:dyDescent="0.25">
      <c r="C3751" s="6"/>
      <c r="G3751" s="6"/>
      <c r="K3751" s="6"/>
    </row>
    <row r="3752" spans="3:11" x14ac:dyDescent="0.25">
      <c r="C3752" s="6"/>
      <c r="G3752" s="6"/>
      <c r="K3752" s="6"/>
    </row>
    <row r="3753" spans="3:11" x14ac:dyDescent="0.25">
      <c r="C3753" s="6"/>
      <c r="G3753" s="6"/>
      <c r="K3753" s="6"/>
    </row>
    <row r="3754" spans="3:11" x14ac:dyDescent="0.25">
      <c r="C3754" s="6"/>
      <c r="G3754" s="6"/>
      <c r="K3754" s="6"/>
    </row>
    <row r="3755" spans="3:11" x14ac:dyDescent="0.25">
      <c r="C3755" s="6"/>
      <c r="G3755" s="6"/>
      <c r="K3755" s="6"/>
    </row>
    <row r="3756" spans="3:11" x14ac:dyDescent="0.25">
      <c r="C3756" s="6"/>
      <c r="G3756" s="6"/>
      <c r="K3756" s="6"/>
    </row>
    <row r="3757" spans="3:11" x14ac:dyDescent="0.25">
      <c r="C3757" s="6"/>
      <c r="G3757" s="6"/>
      <c r="K3757" s="6"/>
    </row>
    <row r="3758" spans="3:11" x14ac:dyDescent="0.25">
      <c r="C3758" s="6"/>
      <c r="G3758" s="6"/>
      <c r="K3758" s="6"/>
    </row>
    <row r="3759" spans="3:11" x14ac:dyDescent="0.25">
      <c r="C3759" s="6"/>
      <c r="G3759" s="6"/>
      <c r="K3759" s="6"/>
    </row>
    <row r="3760" spans="3:11" x14ac:dyDescent="0.25">
      <c r="C3760" s="6"/>
      <c r="G3760" s="6"/>
      <c r="K3760" s="6"/>
    </row>
    <row r="3761" spans="3:11" x14ac:dyDescent="0.25">
      <c r="C3761" s="6"/>
      <c r="G3761" s="6"/>
      <c r="K3761" s="6"/>
    </row>
    <row r="3762" spans="3:11" x14ac:dyDescent="0.25">
      <c r="C3762" s="6"/>
      <c r="G3762" s="6"/>
      <c r="K3762" s="6"/>
    </row>
    <row r="3763" spans="3:11" x14ac:dyDescent="0.25">
      <c r="C3763" s="6"/>
      <c r="G3763" s="6"/>
      <c r="K3763" s="6"/>
    </row>
    <row r="3764" spans="3:11" x14ac:dyDescent="0.25">
      <c r="C3764" s="6"/>
      <c r="G3764" s="6"/>
      <c r="K3764" s="6"/>
    </row>
    <row r="3765" spans="3:11" x14ac:dyDescent="0.25">
      <c r="C3765" s="6"/>
      <c r="G3765" s="6"/>
      <c r="K3765" s="6"/>
    </row>
    <row r="3766" spans="3:11" x14ac:dyDescent="0.25">
      <c r="C3766" s="6"/>
      <c r="G3766" s="6"/>
      <c r="K3766" s="6"/>
    </row>
    <row r="3767" spans="3:11" x14ac:dyDescent="0.25">
      <c r="C3767" s="6"/>
      <c r="G3767" s="6"/>
      <c r="K3767" s="6"/>
    </row>
    <row r="3768" spans="3:11" x14ac:dyDescent="0.25">
      <c r="C3768" s="6"/>
      <c r="G3768" s="6"/>
      <c r="K3768" s="6"/>
    </row>
    <row r="3769" spans="3:11" x14ac:dyDescent="0.25">
      <c r="C3769" s="6"/>
      <c r="G3769" s="6"/>
      <c r="K3769" s="6"/>
    </row>
    <row r="3770" spans="3:11" x14ac:dyDescent="0.25">
      <c r="C3770" s="6"/>
      <c r="G3770" s="6"/>
      <c r="K3770" s="6"/>
    </row>
    <row r="3771" spans="3:11" x14ac:dyDescent="0.25">
      <c r="C3771" s="6"/>
      <c r="G3771" s="6"/>
      <c r="K3771" s="6"/>
    </row>
    <row r="3772" spans="3:11" x14ac:dyDescent="0.25">
      <c r="C3772" s="6"/>
      <c r="G3772" s="6"/>
      <c r="K3772" s="6"/>
    </row>
    <row r="3773" spans="3:11" x14ac:dyDescent="0.25">
      <c r="C3773" s="6"/>
      <c r="G3773" s="6"/>
      <c r="K3773" s="6"/>
    </row>
    <row r="3774" spans="3:11" x14ac:dyDescent="0.25">
      <c r="C3774" s="6"/>
      <c r="G3774" s="6"/>
      <c r="K3774" s="6"/>
    </row>
    <row r="3775" spans="3:11" x14ac:dyDescent="0.25">
      <c r="C3775" s="6"/>
      <c r="G3775" s="6"/>
      <c r="K3775" s="6"/>
    </row>
    <row r="3776" spans="3:11" x14ac:dyDescent="0.25">
      <c r="C3776" s="6"/>
      <c r="G3776" s="6"/>
      <c r="K3776" s="6"/>
    </row>
    <row r="3777" spans="3:11" x14ac:dyDescent="0.25">
      <c r="C3777" s="6"/>
      <c r="G3777" s="6"/>
      <c r="K3777" s="6"/>
    </row>
    <row r="3778" spans="3:11" x14ac:dyDescent="0.25">
      <c r="C3778" s="6"/>
      <c r="G3778" s="6"/>
      <c r="K3778" s="6"/>
    </row>
    <row r="3779" spans="3:11" x14ac:dyDescent="0.25">
      <c r="C3779" s="6"/>
      <c r="G3779" s="6"/>
      <c r="K3779" s="6"/>
    </row>
    <row r="3780" spans="3:11" x14ac:dyDescent="0.25">
      <c r="C3780" s="6"/>
      <c r="G3780" s="6"/>
      <c r="K3780" s="6"/>
    </row>
    <row r="3781" spans="3:11" x14ac:dyDescent="0.25">
      <c r="C3781" s="6"/>
      <c r="G3781" s="6"/>
      <c r="K3781" s="6"/>
    </row>
    <row r="3782" spans="3:11" x14ac:dyDescent="0.25">
      <c r="C3782" s="6"/>
      <c r="G3782" s="6"/>
      <c r="K3782" s="6"/>
    </row>
    <row r="3783" spans="3:11" x14ac:dyDescent="0.25">
      <c r="C3783" s="6"/>
      <c r="G3783" s="6"/>
      <c r="K3783" s="6"/>
    </row>
    <row r="3784" spans="3:11" x14ac:dyDescent="0.25">
      <c r="C3784" s="6"/>
      <c r="G3784" s="6"/>
      <c r="K3784" s="6"/>
    </row>
    <row r="3785" spans="3:11" x14ac:dyDescent="0.25">
      <c r="C3785" s="6"/>
      <c r="G3785" s="6"/>
      <c r="K3785" s="6"/>
    </row>
    <row r="3786" spans="3:11" x14ac:dyDescent="0.25">
      <c r="C3786" s="6"/>
      <c r="G3786" s="6"/>
      <c r="K3786" s="6"/>
    </row>
    <row r="3787" spans="3:11" x14ac:dyDescent="0.25">
      <c r="C3787" s="6"/>
      <c r="G3787" s="6"/>
      <c r="K3787" s="6"/>
    </row>
    <row r="3788" spans="3:11" x14ac:dyDescent="0.25">
      <c r="C3788" s="6"/>
      <c r="G3788" s="6"/>
      <c r="K3788" s="6"/>
    </row>
    <row r="3789" spans="3:11" x14ac:dyDescent="0.25">
      <c r="C3789" s="6"/>
      <c r="G3789" s="6"/>
      <c r="K3789" s="6"/>
    </row>
    <row r="3790" spans="3:11" x14ac:dyDescent="0.25">
      <c r="C3790" s="6"/>
      <c r="G3790" s="6"/>
      <c r="K3790" s="6"/>
    </row>
    <row r="3791" spans="3:11" x14ac:dyDescent="0.25">
      <c r="C3791" s="6"/>
      <c r="G3791" s="6"/>
      <c r="K3791" s="6"/>
    </row>
    <row r="3792" spans="3:11" x14ac:dyDescent="0.25">
      <c r="C3792" s="6"/>
      <c r="G3792" s="6"/>
      <c r="K3792" s="6"/>
    </row>
    <row r="3793" spans="3:11" x14ac:dyDescent="0.25">
      <c r="C3793" s="6"/>
      <c r="G3793" s="6"/>
      <c r="K3793" s="6"/>
    </row>
    <row r="3794" spans="3:11" x14ac:dyDescent="0.25">
      <c r="C3794" s="6"/>
      <c r="G3794" s="6"/>
      <c r="K3794" s="6"/>
    </row>
    <row r="3795" spans="3:11" x14ac:dyDescent="0.25">
      <c r="C3795" s="6"/>
      <c r="G3795" s="6"/>
      <c r="K3795" s="6"/>
    </row>
    <row r="3796" spans="3:11" x14ac:dyDescent="0.25">
      <c r="C3796" s="6"/>
      <c r="G3796" s="6"/>
      <c r="K3796" s="6"/>
    </row>
    <row r="3797" spans="3:11" x14ac:dyDescent="0.25">
      <c r="C3797" s="6"/>
      <c r="G3797" s="6"/>
      <c r="K3797" s="6"/>
    </row>
    <row r="3798" spans="3:11" x14ac:dyDescent="0.25">
      <c r="C3798" s="6"/>
      <c r="G3798" s="6"/>
      <c r="K3798" s="6"/>
    </row>
    <row r="3799" spans="3:11" x14ac:dyDescent="0.25">
      <c r="C3799" s="6"/>
      <c r="G3799" s="6"/>
      <c r="K3799" s="6"/>
    </row>
    <row r="3800" spans="3:11" x14ac:dyDescent="0.25">
      <c r="C3800" s="6"/>
      <c r="G3800" s="6"/>
      <c r="K3800" s="6"/>
    </row>
    <row r="3801" spans="3:11" x14ac:dyDescent="0.25">
      <c r="C3801" s="6"/>
      <c r="G3801" s="6"/>
      <c r="K3801" s="6"/>
    </row>
    <row r="3802" spans="3:11" x14ac:dyDescent="0.25">
      <c r="C3802" s="6"/>
      <c r="G3802" s="6"/>
      <c r="K3802" s="6"/>
    </row>
    <row r="3803" spans="3:11" x14ac:dyDescent="0.25">
      <c r="C3803" s="6"/>
      <c r="G3803" s="6"/>
      <c r="K3803" s="6"/>
    </row>
    <row r="3804" spans="3:11" x14ac:dyDescent="0.25">
      <c r="C3804" s="6"/>
      <c r="G3804" s="6"/>
      <c r="K3804" s="6"/>
    </row>
    <row r="3805" spans="3:11" x14ac:dyDescent="0.25">
      <c r="C3805" s="6"/>
      <c r="G3805" s="6"/>
      <c r="K3805" s="6"/>
    </row>
    <row r="3806" spans="3:11" x14ac:dyDescent="0.25">
      <c r="C3806" s="6"/>
      <c r="G3806" s="6"/>
      <c r="K3806" s="6"/>
    </row>
    <row r="3807" spans="3:11" x14ac:dyDescent="0.25">
      <c r="C3807" s="6"/>
      <c r="G3807" s="6"/>
      <c r="K3807" s="6"/>
    </row>
    <row r="3808" spans="3:11" x14ac:dyDescent="0.25">
      <c r="C3808" s="6"/>
      <c r="G3808" s="6"/>
      <c r="K3808" s="6"/>
    </row>
    <row r="3809" spans="3:11" x14ac:dyDescent="0.25">
      <c r="C3809" s="6"/>
      <c r="G3809" s="6"/>
      <c r="K3809" s="6"/>
    </row>
    <row r="3810" spans="3:11" x14ac:dyDescent="0.25">
      <c r="C3810" s="6"/>
      <c r="G3810" s="6"/>
      <c r="K3810" s="6"/>
    </row>
    <row r="3811" spans="3:11" x14ac:dyDescent="0.25">
      <c r="C3811" s="6"/>
      <c r="G3811" s="6"/>
      <c r="K3811" s="6"/>
    </row>
    <row r="3812" spans="3:11" x14ac:dyDescent="0.25">
      <c r="C3812" s="6"/>
      <c r="G3812" s="6"/>
      <c r="K3812" s="6"/>
    </row>
    <row r="3813" spans="3:11" x14ac:dyDescent="0.25">
      <c r="C3813" s="6"/>
      <c r="G3813" s="6"/>
      <c r="K3813" s="6"/>
    </row>
    <row r="3814" spans="3:11" x14ac:dyDescent="0.25">
      <c r="C3814" s="6"/>
      <c r="G3814" s="6"/>
      <c r="K3814" s="6"/>
    </row>
    <row r="3815" spans="3:11" x14ac:dyDescent="0.25">
      <c r="C3815" s="6"/>
      <c r="G3815" s="6"/>
      <c r="K3815" s="6"/>
    </row>
    <row r="3816" spans="3:11" x14ac:dyDescent="0.25">
      <c r="C3816" s="6"/>
      <c r="G3816" s="6"/>
      <c r="K3816" s="6"/>
    </row>
    <row r="3817" spans="3:11" x14ac:dyDescent="0.25">
      <c r="C3817" s="6"/>
      <c r="G3817" s="6"/>
      <c r="K3817" s="6"/>
    </row>
    <row r="3818" spans="3:11" x14ac:dyDescent="0.25">
      <c r="C3818" s="6"/>
      <c r="G3818" s="6"/>
      <c r="K3818" s="6"/>
    </row>
    <row r="3819" spans="3:11" x14ac:dyDescent="0.25">
      <c r="C3819" s="6"/>
      <c r="G3819" s="6"/>
      <c r="K3819" s="6"/>
    </row>
    <row r="3820" spans="3:11" x14ac:dyDescent="0.25">
      <c r="C3820" s="6"/>
      <c r="G3820" s="6"/>
      <c r="K3820" s="6"/>
    </row>
    <row r="3821" spans="3:11" x14ac:dyDescent="0.25">
      <c r="C3821" s="6"/>
      <c r="G3821" s="6"/>
      <c r="K3821" s="6"/>
    </row>
    <row r="3822" spans="3:11" x14ac:dyDescent="0.25">
      <c r="C3822" s="6"/>
      <c r="G3822" s="6"/>
      <c r="K3822" s="6"/>
    </row>
    <row r="3823" spans="3:11" x14ac:dyDescent="0.25">
      <c r="C3823" s="6"/>
      <c r="G3823" s="6"/>
      <c r="K3823" s="6"/>
    </row>
    <row r="3824" spans="3:11" x14ac:dyDescent="0.25">
      <c r="C3824" s="6"/>
      <c r="G3824" s="6"/>
      <c r="K3824" s="6"/>
    </row>
    <row r="3825" spans="3:11" x14ac:dyDescent="0.25">
      <c r="C3825" s="6"/>
      <c r="G3825" s="6"/>
      <c r="K3825" s="6"/>
    </row>
    <row r="3826" spans="3:11" x14ac:dyDescent="0.25">
      <c r="C3826" s="6"/>
      <c r="G3826" s="6"/>
      <c r="K3826" s="6"/>
    </row>
    <row r="3827" spans="3:11" x14ac:dyDescent="0.25">
      <c r="C3827" s="6"/>
      <c r="G3827" s="6"/>
      <c r="K3827" s="6"/>
    </row>
    <row r="3828" spans="3:11" x14ac:dyDescent="0.25">
      <c r="C3828" s="6"/>
      <c r="G3828" s="6"/>
      <c r="K3828" s="6"/>
    </row>
    <row r="3829" spans="3:11" x14ac:dyDescent="0.25">
      <c r="C3829" s="6"/>
      <c r="G3829" s="6"/>
      <c r="K3829" s="6"/>
    </row>
    <row r="3830" spans="3:11" x14ac:dyDescent="0.25">
      <c r="C3830" s="6"/>
      <c r="G3830" s="6"/>
      <c r="K3830" s="6"/>
    </row>
    <row r="3831" spans="3:11" x14ac:dyDescent="0.25">
      <c r="C3831" s="6"/>
      <c r="G3831" s="6"/>
      <c r="K3831" s="6"/>
    </row>
    <row r="3832" spans="3:11" x14ac:dyDescent="0.25">
      <c r="C3832" s="6"/>
      <c r="G3832" s="6"/>
      <c r="K3832" s="6"/>
    </row>
    <row r="3833" spans="3:11" x14ac:dyDescent="0.25">
      <c r="C3833" s="6"/>
      <c r="G3833" s="6"/>
      <c r="K3833" s="6"/>
    </row>
    <row r="3834" spans="3:11" x14ac:dyDescent="0.25">
      <c r="C3834" s="6"/>
      <c r="G3834" s="6"/>
      <c r="K3834" s="6"/>
    </row>
    <row r="3835" spans="3:11" x14ac:dyDescent="0.25">
      <c r="C3835" s="6"/>
      <c r="G3835" s="6"/>
      <c r="K3835" s="6"/>
    </row>
    <row r="3836" spans="3:11" x14ac:dyDescent="0.25">
      <c r="C3836" s="6"/>
      <c r="G3836" s="6"/>
      <c r="K3836" s="6"/>
    </row>
    <row r="3837" spans="3:11" x14ac:dyDescent="0.25">
      <c r="C3837" s="6"/>
      <c r="G3837" s="6"/>
      <c r="K3837" s="6"/>
    </row>
    <row r="3838" spans="3:11" x14ac:dyDescent="0.25">
      <c r="C3838" s="6"/>
      <c r="G3838" s="6"/>
      <c r="K3838" s="6"/>
    </row>
    <row r="3839" spans="3:11" x14ac:dyDescent="0.25">
      <c r="C3839" s="6"/>
      <c r="G3839" s="6"/>
      <c r="K3839" s="6"/>
    </row>
    <row r="3840" spans="3:11" x14ac:dyDescent="0.25">
      <c r="C3840" s="6"/>
      <c r="G3840" s="6"/>
      <c r="K3840" s="6"/>
    </row>
    <row r="3841" spans="3:11" x14ac:dyDescent="0.25">
      <c r="C3841" s="6"/>
      <c r="G3841" s="6"/>
      <c r="K3841" s="6"/>
    </row>
    <row r="3842" spans="3:11" x14ac:dyDescent="0.25">
      <c r="C3842" s="6"/>
      <c r="G3842" s="6"/>
      <c r="K3842" s="6"/>
    </row>
    <row r="3843" spans="3:11" x14ac:dyDescent="0.25">
      <c r="C3843" s="6"/>
      <c r="G3843" s="6"/>
      <c r="K3843" s="6"/>
    </row>
    <row r="3844" spans="3:11" x14ac:dyDescent="0.25">
      <c r="C3844" s="6"/>
      <c r="G3844" s="6"/>
      <c r="K3844" s="6"/>
    </row>
    <row r="3845" spans="3:11" x14ac:dyDescent="0.25">
      <c r="C3845" s="6"/>
      <c r="G3845" s="6"/>
      <c r="K3845" s="6"/>
    </row>
    <row r="3846" spans="3:11" x14ac:dyDescent="0.25">
      <c r="C3846" s="6"/>
      <c r="G3846" s="6"/>
      <c r="K3846" s="6"/>
    </row>
    <row r="3847" spans="3:11" x14ac:dyDescent="0.25">
      <c r="C3847" s="6"/>
      <c r="G3847" s="6"/>
      <c r="K3847" s="6"/>
    </row>
    <row r="3848" spans="3:11" x14ac:dyDescent="0.25">
      <c r="C3848" s="6"/>
      <c r="G3848" s="6"/>
      <c r="K3848" s="6"/>
    </row>
    <row r="3849" spans="3:11" x14ac:dyDescent="0.25">
      <c r="C3849" s="6"/>
      <c r="G3849" s="6"/>
      <c r="K3849" s="6"/>
    </row>
    <row r="3850" spans="3:11" x14ac:dyDescent="0.25">
      <c r="C3850" s="6"/>
      <c r="G3850" s="6"/>
      <c r="K3850" s="6"/>
    </row>
    <row r="3851" spans="3:11" x14ac:dyDescent="0.25">
      <c r="C3851" s="6"/>
      <c r="G3851" s="6"/>
      <c r="K3851" s="6"/>
    </row>
    <row r="3852" spans="3:11" x14ac:dyDescent="0.25">
      <c r="C3852" s="6"/>
      <c r="G3852" s="6"/>
      <c r="K3852" s="6"/>
    </row>
    <row r="3853" spans="3:11" x14ac:dyDescent="0.25">
      <c r="C3853" s="6"/>
      <c r="G3853" s="6"/>
      <c r="K3853" s="6"/>
    </row>
    <row r="3854" spans="3:11" x14ac:dyDescent="0.25">
      <c r="C3854" s="6"/>
      <c r="G3854" s="6"/>
      <c r="K3854" s="6"/>
    </row>
    <row r="3855" spans="3:11" x14ac:dyDescent="0.25">
      <c r="C3855" s="6"/>
      <c r="G3855" s="6"/>
      <c r="K3855" s="6"/>
    </row>
    <row r="3856" spans="3:11" x14ac:dyDescent="0.25">
      <c r="C3856" s="6"/>
      <c r="G3856" s="6"/>
      <c r="K3856" s="6"/>
    </row>
    <row r="3857" spans="3:11" x14ac:dyDescent="0.25">
      <c r="C3857" s="6"/>
      <c r="G3857" s="6"/>
      <c r="K3857" s="6"/>
    </row>
    <row r="3858" spans="3:11" x14ac:dyDescent="0.25">
      <c r="C3858" s="6"/>
      <c r="G3858" s="6"/>
      <c r="K3858" s="6"/>
    </row>
    <row r="3859" spans="3:11" x14ac:dyDescent="0.25">
      <c r="C3859" s="6"/>
      <c r="G3859" s="6"/>
      <c r="K3859" s="6"/>
    </row>
    <row r="3860" spans="3:11" x14ac:dyDescent="0.25">
      <c r="C3860" s="6"/>
      <c r="G3860" s="6"/>
      <c r="K3860" s="6"/>
    </row>
    <row r="3861" spans="3:11" x14ac:dyDescent="0.25">
      <c r="C3861" s="6"/>
      <c r="G3861" s="6"/>
      <c r="K3861" s="6"/>
    </row>
    <row r="3862" spans="3:11" x14ac:dyDescent="0.25">
      <c r="C3862" s="6"/>
      <c r="G3862" s="6"/>
      <c r="K3862" s="6"/>
    </row>
    <row r="3863" spans="3:11" x14ac:dyDescent="0.25">
      <c r="C3863" s="6"/>
      <c r="G3863" s="6"/>
      <c r="K3863" s="6"/>
    </row>
    <row r="3864" spans="3:11" x14ac:dyDescent="0.25">
      <c r="C3864" s="6"/>
      <c r="G3864" s="6"/>
      <c r="K3864" s="6"/>
    </row>
    <row r="3865" spans="3:11" x14ac:dyDescent="0.25">
      <c r="C3865" s="6"/>
      <c r="G3865" s="6"/>
      <c r="K3865" s="6"/>
    </row>
    <row r="3866" spans="3:11" x14ac:dyDescent="0.25">
      <c r="C3866" s="6"/>
      <c r="G3866" s="6"/>
      <c r="K3866" s="6"/>
    </row>
    <row r="3867" spans="3:11" x14ac:dyDescent="0.25">
      <c r="C3867" s="6"/>
      <c r="G3867" s="6"/>
      <c r="K3867" s="6"/>
    </row>
    <row r="3868" spans="3:11" x14ac:dyDescent="0.25">
      <c r="C3868" s="6"/>
      <c r="G3868" s="6"/>
      <c r="K3868" s="6"/>
    </row>
    <row r="3869" spans="3:11" x14ac:dyDescent="0.25">
      <c r="C3869" s="6"/>
      <c r="G3869" s="6"/>
      <c r="K3869" s="6"/>
    </row>
    <row r="3870" spans="3:11" x14ac:dyDescent="0.25">
      <c r="C3870" s="6"/>
      <c r="G3870" s="6"/>
      <c r="K3870" s="6"/>
    </row>
    <row r="3871" spans="3:11" x14ac:dyDescent="0.25">
      <c r="C3871" s="6"/>
      <c r="G3871" s="6"/>
      <c r="K3871" s="6"/>
    </row>
    <row r="3872" spans="3:11" x14ac:dyDescent="0.25">
      <c r="C3872" s="6"/>
      <c r="G3872" s="6"/>
      <c r="K3872" s="6"/>
    </row>
    <row r="3873" spans="3:11" x14ac:dyDescent="0.25">
      <c r="C3873" s="6"/>
      <c r="G3873" s="6"/>
      <c r="K3873" s="6"/>
    </row>
    <row r="3874" spans="3:11" x14ac:dyDescent="0.25">
      <c r="C3874" s="6"/>
      <c r="G3874" s="6"/>
      <c r="K3874" s="6"/>
    </row>
    <row r="3875" spans="3:11" x14ac:dyDescent="0.25">
      <c r="C3875" s="6"/>
      <c r="G3875" s="6"/>
      <c r="K3875" s="6"/>
    </row>
    <row r="3876" spans="3:11" x14ac:dyDescent="0.25">
      <c r="C3876" s="6"/>
      <c r="G3876" s="6"/>
      <c r="K3876" s="6"/>
    </row>
    <row r="3877" spans="3:11" x14ac:dyDescent="0.25">
      <c r="C3877" s="6"/>
      <c r="G3877" s="6"/>
      <c r="K3877" s="6"/>
    </row>
    <row r="3878" spans="3:11" x14ac:dyDescent="0.25">
      <c r="C3878" s="6"/>
      <c r="G3878" s="6"/>
      <c r="K3878" s="6"/>
    </row>
    <row r="3879" spans="3:11" x14ac:dyDescent="0.25">
      <c r="C3879" s="6"/>
      <c r="G3879" s="6"/>
      <c r="K3879" s="6"/>
    </row>
    <row r="3880" spans="3:11" x14ac:dyDescent="0.25">
      <c r="C3880" s="6"/>
      <c r="G3880" s="6"/>
      <c r="K3880" s="6"/>
    </row>
    <row r="3881" spans="3:11" x14ac:dyDescent="0.25">
      <c r="C3881" s="6"/>
      <c r="G3881" s="6"/>
      <c r="K3881" s="6"/>
    </row>
    <row r="3882" spans="3:11" x14ac:dyDescent="0.25">
      <c r="C3882" s="6"/>
      <c r="G3882" s="6"/>
      <c r="K3882" s="6"/>
    </row>
    <row r="3883" spans="3:11" x14ac:dyDescent="0.25">
      <c r="C3883" s="6"/>
      <c r="G3883" s="6"/>
      <c r="K3883" s="6"/>
    </row>
    <row r="3884" spans="3:11" x14ac:dyDescent="0.25">
      <c r="C3884" s="6"/>
      <c r="G3884" s="6"/>
      <c r="K3884" s="6"/>
    </row>
    <row r="3885" spans="3:11" x14ac:dyDescent="0.25">
      <c r="C3885" s="6"/>
      <c r="G3885" s="6"/>
      <c r="K3885" s="6"/>
    </row>
    <row r="3886" spans="3:11" x14ac:dyDescent="0.25">
      <c r="C3886" s="6"/>
      <c r="G3886" s="6"/>
      <c r="K3886" s="6"/>
    </row>
    <row r="3887" spans="3:11" x14ac:dyDescent="0.25">
      <c r="C3887" s="6"/>
      <c r="G3887" s="6"/>
      <c r="K3887" s="6"/>
    </row>
    <row r="3888" spans="3:11" x14ac:dyDescent="0.25">
      <c r="C3888" s="6"/>
      <c r="G3888" s="6"/>
      <c r="K3888" s="6"/>
    </row>
    <row r="3889" spans="3:11" x14ac:dyDescent="0.25">
      <c r="C3889" s="6"/>
      <c r="G3889" s="6"/>
      <c r="K3889" s="6"/>
    </row>
    <row r="3890" spans="3:11" x14ac:dyDescent="0.25">
      <c r="C3890" s="6"/>
      <c r="G3890" s="6"/>
      <c r="K3890" s="6"/>
    </row>
    <row r="3891" spans="3:11" x14ac:dyDescent="0.25">
      <c r="C3891" s="6"/>
      <c r="G3891" s="6"/>
      <c r="K3891" s="6"/>
    </row>
    <row r="3892" spans="3:11" x14ac:dyDescent="0.25">
      <c r="C3892" s="6"/>
      <c r="G3892" s="6"/>
      <c r="K3892" s="6"/>
    </row>
    <row r="3893" spans="3:11" x14ac:dyDescent="0.25">
      <c r="C3893" s="6"/>
      <c r="G3893" s="6"/>
      <c r="K3893" s="6"/>
    </row>
    <row r="3894" spans="3:11" x14ac:dyDescent="0.25">
      <c r="C3894" s="6"/>
      <c r="G3894" s="6"/>
      <c r="K3894" s="6"/>
    </row>
    <row r="3895" spans="3:11" x14ac:dyDescent="0.25">
      <c r="C3895" s="6"/>
      <c r="G3895" s="6"/>
      <c r="K3895" s="6"/>
    </row>
    <row r="3896" spans="3:11" x14ac:dyDescent="0.25">
      <c r="C3896" s="6"/>
      <c r="G3896" s="6"/>
      <c r="K3896" s="6"/>
    </row>
    <row r="3897" spans="3:11" x14ac:dyDescent="0.25">
      <c r="C3897" s="6"/>
      <c r="G3897" s="6"/>
      <c r="K3897" s="6"/>
    </row>
    <row r="3898" spans="3:11" x14ac:dyDescent="0.25">
      <c r="C3898" s="6"/>
      <c r="G3898" s="6"/>
      <c r="K3898" s="6"/>
    </row>
    <row r="3899" spans="3:11" x14ac:dyDescent="0.25">
      <c r="C3899" s="6"/>
      <c r="G3899" s="6"/>
      <c r="K3899" s="6"/>
    </row>
    <row r="3900" spans="3:11" x14ac:dyDescent="0.25">
      <c r="C3900" s="6"/>
      <c r="G3900" s="6"/>
      <c r="K3900" s="6"/>
    </row>
    <row r="3901" spans="3:11" x14ac:dyDescent="0.25">
      <c r="C3901" s="6"/>
      <c r="G3901" s="6"/>
      <c r="K3901" s="6"/>
    </row>
    <row r="3902" spans="3:11" x14ac:dyDescent="0.25">
      <c r="C3902" s="6"/>
      <c r="G3902" s="6"/>
      <c r="K3902" s="6"/>
    </row>
    <row r="3903" spans="3:11" x14ac:dyDescent="0.25">
      <c r="C3903" s="6"/>
      <c r="G3903" s="6"/>
      <c r="K3903" s="6"/>
    </row>
    <row r="3904" spans="3:11" x14ac:dyDescent="0.25">
      <c r="C3904" s="6"/>
      <c r="G3904" s="6"/>
      <c r="K3904" s="6"/>
    </row>
    <row r="3905" spans="3:11" x14ac:dyDescent="0.25">
      <c r="C3905" s="6"/>
      <c r="G3905" s="6"/>
      <c r="K3905" s="6"/>
    </row>
    <row r="3906" spans="3:11" x14ac:dyDescent="0.25">
      <c r="C3906" s="6"/>
      <c r="G3906" s="6"/>
      <c r="K3906" s="6"/>
    </row>
    <row r="3907" spans="3:11" x14ac:dyDescent="0.25">
      <c r="C3907" s="6"/>
      <c r="G3907" s="6"/>
      <c r="K3907" s="6"/>
    </row>
    <row r="3908" spans="3:11" x14ac:dyDescent="0.25">
      <c r="C3908" s="6"/>
      <c r="G3908" s="6"/>
      <c r="K3908" s="6"/>
    </row>
    <row r="3909" spans="3:11" x14ac:dyDescent="0.25">
      <c r="C3909" s="6"/>
      <c r="G3909" s="6"/>
      <c r="K3909" s="6"/>
    </row>
    <row r="3910" spans="3:11" x14ac:dyDescent="0.25">
      <c r="C3910" s="6"/>
      <c r="G3910" s="6"/>
      <c r="K3910" s="6"/>
    </row>
    <row r="3911" spans="3:11" x14ac:dyDescent="0.25">
      <c r="C3911" s="6"/>
      <c r="G3911" s="6"/>
      <c r="K3911" s="6"/>
    </row>
    <row r="3912" spans="3:11" x14ac:dyDescent="0.25">
      <c r="C3912" s="6"/>
      <c r="G3912" s="6"/>
      <c r="K3912" s="6"/>
    </row>
    <row r="3913" spans="3:11" x14ac:dyDescent="0.25">
      <c r="C3913" s="6"/>
      <c r="G3913" s="6"/>
      <c r="K3913" s="6"/>
    </row>
    <row r="3914" spans="3:11" x14ac:dyDescent="0.25">
      <c r="C3914" s="6"/>
      <c r="G3914" s="6"/>
      <c r="K3914" s="6"/>
    </row>
    <row r="3915" spans="3:11" x14ac:dyDescent="0.25">
      <c r="C3915" s="6"/>
      <c r="G3915" s="6"/>
      <c r="K3915" s="6"/>
    </row>
    <row r="3916" spans="3:11" x14ac:dyDescent="0.25">
      <c r="C3916" s="6"/>
      <c r="G3916" s="6"/>
      <c r="K3916" s="6"/>
    </row>
    <row r="3917" spans="3:11" x14ac:dyDescent="0.25">
      <c r="C3917" s="6"/>
      <c r="G3917" s="6"/>
      <c r="K3917" s="6"/>
    </row>
    <row r="3918" spans="3:11" x14ac:dyDescent="0.25">
      <c r="C3918" s="6"/>
      <c r="G3918" s="6"/>
      <c r="K3918" s="6"/>
    </row>
    <row r="3919" spans="3:11" x14ac:dyDescent="0.25">
      <c r="C3919" s="6"/>
      <c r="G3919" s="6"/>
      <c r="K3919" s="6"/>
    </row>
    <row r="3920" spans="3:11" x14ac:dyDescent="0.25">
      <c r="C3920" s="6"/>
      <c r="G3920" s="6"/>
      <c r="K3920" s="6"/>
    </row>
    <row r="3921" spans="3:11" x14ac:dyDescent="0.25">
      <c r="C3921" s="6"/>
      <c r="G3921" s="6"/>
      <c r="K3921" s="6"/>
    </row>
    <row r="3922" spans="3:11" x14ac:dyDescent="0.25">
      <c r="C3922" s="6"/>
      <c r="G3922" s="6"/>
      <c r="K3922" s="6"/>
    </row>
    <row r="3923" spans="3:11" x14ac:dyDescent="0.25">
      <c r="C3923" s="6"/>
      <c r="G3923" s="6"/>
      <c r="K3923" s="6"/>
    </row>
    <row r="3924" spans="3:11" x14ac:dyDescent="0.25">
      <c r="C3924" s="6"/>
      <c r="G3924" s="6"/>
      <c r="K3924" s="6"/>
    </row>
    <row r="3925" spans="3:11" x14ac:dyDescent="0.25">
      <c r="C3925" s="6"/>
      <c r="G3925" s="6"/>
      <c r="K3925" s="6"/>
    </row>
    <row r="3926" spans="3:11" x14ac:dyDescent="0.25">
      <c r="C3926" s="6"/>
      <c r="G3926" s="6"/>
      <c r="K3926" s="6"/>
    </row>
    <row r="3927" spans="3:11" x14ac:dyDescent="0.25">
      <c r="C3927" s="6"/>
      <c r="G3927" s="6"/>
      <c r="K3927" s="6"/>
    </row>
    <row r="3928" spans="3:11" x14ac:dyDescent="0.25">
      <c r="C3928" s="6"/>
      <c r="G3928" s="6"/>
      <c r="K3928" s="6"/>
    </row>
    <row r="3929" spans="3:11" x14ac:dyDescent="0.25">
      <c r="C3929" s="6"/>
      <c r="G3929" s="6"/>
      <c r="K3929" s="6"/>
    </row>
    <row r="3930" spans="3:11" x14ac:dyDescent="0.25">
      <c r="C3930" s="6"/>
      <c r="G3930" s="6"/>
      <c r="K3930" s="6"/>
    </row>
    <row r="3931" spans="3:11" x14ac:dyDescent="0.25">
      <c r="C3931" s="6"/>
      <c r="G3931" s="6"/>
      <c r="K3931" s="6"/>
    </row>
    <row r="3932" spans="3:11" x14ac:dyDescent="0.25">
      <c r="C3932" s="6"/>
      <c r="G3932" s="6"/>
      <c r="K3932" s="6"/>
    </row>
    <row r="3933" spans="3:11" x14ac:dyDescent="0.25">
      <c r="C3933" s="6"/>
      <c r="G3933" s="6"/>
      <c r="K3933" s="6"/>
    </row>
    <row r="3934" spans="3:11" x14ac:dyDescent="0.25">
      <c r="C3934" s="6"/>
      <c r="G3934" s="6"/>
      <c r="K3934" s="6"/>
    </row>
    <row r="3935" spans="3:11" x14ac:dyDescent="0.25">
      <c r="C3935" s="6"/>
      <c r="G3935" s="6"/>
      <c r="K3935" s="6"/>
    </row>
    <row r="3936" spans="3:11" x14ac:dyDescent="0.25">
      <c r="C3936" s="6"/>
      <c r="G3936" s="6"/>
      <c r="K3936" s="6"/>
    </row>
    <row r="3937" spans="3:11" x14ac:dyDescent="0.25">
      <c r="C3937" s="6"/>
      <c r="G3937" s="6"/>
      <c r="K3937" s="6"/>
    </row>
    <row r="3938" spans="3:11" x14ac:dyDescent="0.25">
      <c r="C3938" s="6"/>
      <c r="G3938" s="6"/>
      <c r="K3938" s="6"/>
    </row>
    <row r="3939" spans="3:11" x14ac:dyDescent="0.25">
      <c r="C3939" s="6"/>
      <c r="G3939" s="6"/>
      <c r="K3939" s="6"/>
    </row>
    <row r="3940" spans="3:11" x14ac:dyDescent="0.25">
      <c r="C3940" s="6"/>
      <c r="G3940" s="6"/>
      <c r="K3940" s="6"/>
    </row>
    <row r="3941" spans="3:11" x14ac:dyDescent="0.25">
      <c r="C3941" s="6"/>
      <c r="G3941" s="6"/>
      <c r="K3941" s="6"/>
    </row>
    <row r="3942" spans="3:11" x14ac:dyDescent="0.25">
      <c r="C3942" s="6"/>
      <c r="G3942" s="6"/>
      <c r="K3942" s="6"/>
    </row>
    <row r="3943" spans="3:11" x14ac:dyDescent="0.25">
      <c r="C3943" s="6"/>
      <c r="G3943" s="6"/>
      <c r="K3943" s="6"/>
    </row>
    <row r="3944" spans="3:11" x14ac:dyDescent="0.25">
      <c r="C3944" s="6"/>
      <c r="G3944" s="6"/>
      <c r="K3944" s="6"/>
    </row>
    <row r="3945" spans="3:11" x14ac:dyDescent="0.25">
      <c r="C3945" s="6"/>
      <c r="G3945" s="6"/>
      <c r="K3945" s="6"/>
    </row>
    <row r="3946" spans="3:11" x14ac:dyDescent="0.25">
      <c r="C3946" s="6"/>
      <c r="G3946" s="6"/>
      <c r="K3946" s="6"/>
    </row>
    <row r="3947" spans="3:11" x14ac:dyDescent="0.25">
      <c r="C3947" s="6"/>
      <c r="G3947" s="6"/>
      <c r="K3947" s="6"/>
    </row>
    <row r="3948" spans="3:11" x14ac:dyDescent="0.25">
      <c r="C3948" s="6"/>
      <c r="G3948" s="6"/>
      <c r="K3948" s="6"/>
    </row>
    <row r="3949" spans="3:11" x14ac:dyDescent="0.25">
      <c r="C3949" s="6"/>
      <c r="G3949" s="6"/>
      <c r="K3949" s="6"/>
    </row>
    <row r="3950" spans="3:11" x14ac:dyDescent="0.25">
      <c r="C3950" s="6"/>
      <c r="G3950" s="6"/>
      <c r="K3950" s="6"/>
    </row>
    <row r="3951" spans="3:11" x14ac:dyDescent="0.25">
      <c r="C3951" s="6"/>
      <c r="G3951" s="6"/>
      <c r="K3951" s="6"/>
    </row>
    <row r="3952" spans="3:11" x14ac:dyDescent="0.25">
      <c r="C3952" s="6"/>
      <c r="G3952" s="6"/>
      <c r="K3952" s="6"/>
    </row>
    <row r="3953" spans="3:11" x14ac:dyDescent="0.25">
      <c r="C3953" s="6"/>
      <c r="G3953" s="6"/>
      <c r="K3953" s="6"/>
    </row>
    <row r="3954" spans="3:11" x14ac:dyDescent="0.25">
      <c r="C3954" s="6"/>
      <c r="G3954" s="6"/>
      <c r="K3954" s="6"/>
    </row>
    <row r="3955" spans="3:11" x14ac:dyDescent="0.25">
      <c r="C3955" s="6"/>
      <c r="G3955" s="6"/>
      <c r="K3955" s="6"/>
    </row>
    <row r="3956" spans="3:11" x14ac:dyDescent="0.25">
      <c r="C3956" s="6"/>
      <c r="G3956" s="6"/>
      <c r="K3956" s="6"/>
    </row>
    <row r="3957" spans="3:11" x14ac:dyDescent="0.25">
      <c r="C3957" s="6"/>
      <c r="G3957" s="6"/>
      <c r="K3957" s="6"/>
    </row>
    <row r="3958" spans="3:11" x14ac:dyDescent="0.25">
      <c r="C3958" s="6"/>
      <c r="G3958" s="6"/>
      <c r="K3958" s="6"/>
    </row>
    <row r="3959" spans="3:11" x14ac:dyDescent="0.25">
      <c r="C3959" s="6"/>
      <c r="G3959" s="6"/>
      <c r="K3959" s="6"/>
    </row>
    <row r="3960" spans="3:11" x14ac:dyDescent="0.25">
      <c r="C3960" s="6"/>
      <c r="G3960" s="6"/>
      <c r="K3960" s="6"/>
    </row>
    <row r="3961" spans="3:11" x14ac:dyDescent="0.25">
      <c r="C3961" s="6"/>
      <c r="G3961" s="6"/>
      <c r="K3961" s="6"/>
    </row>
    <row r="3962" spans="3:11" x14ac:dyDescent="0.25">
      <c r="C3962" s="6"/>
      <c r="G3962" s="6"/>
      <c r="K3962" s="6"/>
    </row>
    <row r="3963" spans="3:11" x14ac:dyDescent="0.25">
      <c r="C3963" s="6"/>
      <c r="G3963" s="6"/>
      <c r="K3963" s="6"/>
    </row>
    <row r="3964" spans="3:11" x14ac:dyDescent="0.25">
      <c r="C3964" s="6"/>
      <c r="G3964" s="6"/>
      <c r="K3964" s="6"/>
    </row>
    <row r="3965" spans="3:11" x14ac:dyDescent="0.25">
      <c r="C3965" s="6"/>
      <c r="G3965" s="6"/>
      <c r="K3965" s="6"/>
    </row>
    <row r="3966" spans="3:11" x14ac:dyDescent="0.25">
      <c r="C3966" s="6"/>
      <c r="G3966" s="6"/>
      <c r="K3966" s="6"/>
    </row>
    <row r="3967" spans="3:11" x14ac:dyDescent="0.25">
      <c r="C3967" s="6"/>
      <c r="G3967" s="6"/>
      <c r="K3967" s="6"/>
    </row>
    <row r="3968" spans="3:11" x14ac:dyDescent="0.25">
      <c r="C3968" s="6"/>
      <c r="G3968" s="6"/>
      <c r="K3968" s="6"/>
    </row>
    <row r="3969" spans="3:11" x14ac:dyDescent="0.25">
      <c r="C3969" s="6"/>
      <c r="G3969" s="6"/>
      <c r="K3969" s="6"/>
    </row>
    <row r="3970" spans="3:11" x14ac:dyDescent="0.25">
      <c r="C3970" s="6"/>
      <c r="G3970" s="6"/>
      <c r="K3970" s="6"/>
    </row>
    <row r="3971" spans="3:11" x14ac:dyDescent="0.25">
      <c r="C3971" s="6"/>
      <c r="G3971" s="6"/>
      <c r="K3971" s="6"/>
    </row>
    <row r="3972" spans="3:11" x14ac:dyDescent="0.25">
      <c r="C3972" s="6"/>
      <c r="G3972" s="6"/>
      <c r="K3972" s="6"/>
    </row>
    <row r="3973" spans="3:11" x14ac:dyDescent="0.25">
      <c r="C3973" s="6"/>
      <c r="G3973" s="6"/>
      <c r="K3973" s="6"/>
    </row>
    <row r="3974" spans="3:11" x14ac:dyDescent="0.25">
      <c r="C3974" s="6"/>
      <c r="G3974" s="6"/>
      <c r="K3974" s="6"/>
    </row>
    <row r="3975" spans="3:11" x14ac:dyDescent="0.25">
      <c r="C3975" s="6"/>
      <c r="G3975" s="6"/>
      <c r="K3975" s="6"/>
    </row>
    <row r="3976" spans="3:11" x14ac:dyDescent="0.25">
      <c r="C3976" s="6"/>
      <c r="G3976" s="6"/>
      <c r="K3976" s="6"/>
    </row>
    <row r="3977" spans="3:11" x14ac:dyDescent="0.25">
      <c r="C3977" s="6"/>
      <c r="G3977" s="6"/>
      <c r="K3977" s="6"/>
    </row>
    <row r="3978" spans="3:11" x14ac:dyDescent="0.25">
      <c r="C3978" s="6"/>
      <c r="G3978" s="6"/>
      <c r="K3978" s="6"/>
    </row>
    <row r="3979" spans="3:11" x14ac:dyDescent="0.25">
      <c r="C3979" s="6"/>
      <c r="G3979" s="6"/>
      <c r="K3979" s="6"/>
    </row>
    <row r="3980" spans="3:11" x14ac:dyDescent="0.25">
      <c r="C3980" s="6"/>
      <c r="G3980" s="6"/>
      <c r="K3980" s="6"/>
    </row>
    <row r="3981" spans="3:11" x14ac:dyDescent="0.25">
      <c r="C3981" s="6"/>
      <c r="G3981" s="6"/>
      <c r="K3981" s="6"/>
    </row>
    <row r="3982" spans="3:11" x14ac:dyDescent="0.25">
      <c r="C3982" s="6"/>
      <c r="G3982" s="6"/>
      <c r="K3982" s="6"/>
    </row>
    <row r="3983" spans="3:11" x14ac:dyDescent="0.25">
      <c r="C3983" s="6"/>
      <c r="G3983" s="6"/>
      <c r="K3983" s="6"/>
    </row>
    <row r="3984" spans="3:11" x14ac:dyDescent="0.25">
      <c r="C3984" s="6"/>
      <c r="G3984" s="6"/>
      <c r="K3984" s="6"/>
    </row>
    <row r="3985" spans="3:11" x14ac:dyDescent="0.25">
      <c r="C3985" s="6"/>
      <c r="G3985" s="6"/>
      <c r="K3985" s="6"/>
    </row>
    <row r="3986" spans="3:11" x14ac:dyDescent="0.25">
      <c r="C3986" s="6"/>
      <c r="G3986" s="6"/>
      <c r="K3986" s="6"/>
    </row>
    <row r="3987" spans="3:11" x14ac:dyDescent="0.25">
      <c r="C3987" s="6"/>
      <c r="G3987" s="6"/>
      <c r="K3987" s="6"/>
    </row>
    <row r="3988" spans="3:11" x14ac:dyDescent="0.25">
      <c r="C3988" s="6"/>
      <c r="G3988" s="6"/>
      <c r="K3988" s="6"/>
    </row>
    <row r="3989" spans="3:11" x14ac:dyDescent="0.25">
      <c r="C3989" s="6"/>
      <c r="G3989" s="6"/>
      <c r="K3989" s="6"/>
    </row>
    <row r="3990" spans="3:11" x14ac:dyDescent="0.25">
      <c r="C3990" s="6"/>
      <c r="G3990" s="6"/>
      <c r="K3990" s="6"/>
    </row>
    <row r="3991" spans="3:11" x14ac:dyDescent="0.25">
      <c r="C3991" s="6"/>
      <c r="G3991" s="6"/>
      <c r="K3991" s="6"/>
    </row>
    <row r="3992" spans="3:11" x14ac:dyDescent="0.25">
      <c r="C3992" s="6"/>
      <c r="G3992" s="6"/>
      <c r="K3992" s="6"/>
    </row>
    <row r="3993" spans="3:11" x14ac:dyDescent="0.25">
      <c r="C3993" s="6"/>
      <c r="G3993" s="6"/>
      <c r="K3993" s="6"/>
    </row>
    <row r="3994" spans="3:11" x14ac:dyDescent="0.25">
      <c r="C3994" s="6"/>
      <c r="G3994" s="6"/>
      <c r="K3994" s="6"/>
    </row>
    <row r="3995" spans="3:11" x14ac:dyDescent="0.25">
      <c r="C3995" s="6"/>
      <c r="G3995" s="6"/>
      <c r="K3995" s="6"/>
    </row>
    <row r="3996" spans="3:11" x14ac:dyDescent="0.25">
      <c r="C3996" s="6"/>
      <c r="G3996" s="6"/>
      <c r="K3996" s="6"/>
    </row>
    <row r="3997" spans="3:11" x14ac:dyDescent="0.25">
      <c r="C3997" s="6"/>
      <c r="G3997" s="6"/>
      <c r="K3997" s="6"/>
    </row>
    <row r="3998" spans="3:11" x14ac:dyDescent="0.25">
      <c r="C3998" s="6"/>
      <c r="G3998" s="6"/>
      <c r="K3998" s="6"/>
    </row>
    <row r="3999" spans="3:11" x14ac:dyDescent="0.25">
      <c r="C3999" s="6"/>
      <c r="G3999" s="6"/>
      <c r="K3999" s="6"/>
    </row>
    <row r="4000" spans="3:11" x14ac:dyDescent="0.25">
      <c r="C4000" s="6"/>
      <c r="G4000" s="6"/>
      <c r="K4000" s="6"/>
    </row>
    <row r="4001" spans="3:11" x14ac:dyDescent="0.25">
      <c r="C4001" s="6"/>
      <c r="G4001" s="6"/>
      <c r="K4001" s="6"/>
    </row>
    <row r="4002" spans="3:11" x14ac:dyDescent="0.25">
      <c r="C4002" s="6"/>
      <c r="G4002" s="6"/>
      <c r="K4002" s="6"/>
    </row>
    <row r="4003" spans="3:11" x14ac:dyDescent="0.25">
      <c r="C4003" s="6"/>
      <c r="G4003" s="6"/>
      <c r="K4003" s="6"/>
    </row>
    <row r="4004" spans="3:11" x14ac:dyDescent="0.25">
      <c r="C4004" s="6"/>
      <c r="G4004" s="6"/>
      <c r="K4004" s="6"/>
    </row>
    <row r="4005" spans="3:11" x14ac:dyDescent="0.25">
      <c r="C4005" s="6"/>
      <c r="G4005" s="6"/>
      <c r="K4005" s="6"/>
    </row>
    <row r="4006" spans="3:11" x14ac:dyDescent="0.25">
      <c r="C4006" s="6"/>
      <c r="G4006" s="6"/>
      <c r="K4006" s="6"/>
    </row>
    <row r="4007" spans="3:11" x14ac:dyDescent="0.25">
      <c r="C4007" s="6"/>
      <c r="G4007" s="6"/>
      <c r="K4007" s="6"/>
    </row>
    <row r="4008" spans="3:11" x14ac:dyDescent="0.25">
      <c r="C4008" s="6"/>
      <c r="G4008" s="6"/>
      <c r="K4008" s="6"/>
    </row>
    <row r="4009" spans="3:11" x14ac:dyDescent="0.25">
      <c r="C4009" s="6"/>
      <c r="G4009" s="6"/>
      <c r="K4009" s="6"/>
    </row>
    <row r="4010" spans="3:11" x14ac:dyDescent="0.25">
      <c r="C4010" s="6"/>
      <c r="G4010" s="6"/>
      <c r="K4010" s="6"/>
    </row>
    <row r="4011" spans="3:11" x14ac:dyDescent="0.25">
      <c r="C4011" s="6"/>
      <c r="G4011" s="6"/>
      <c r="K4011" s="6"/>
    </row>
    <row r="4012" spans="3:11" x14ac:dyDescent="0.25">
      <c r="C4012" s="6"/>
      <c r="G4012" s="6"/>
      <c r="K4012" s="6"/>
    </row>
    <row r="4013" spans="3:11" x14ac:dyDescent="0.25">
      <c r="C4013" s="6"/>
      <c r="G4013" s="6"/>
      <c r="K4013" s="6"/>
    </row>
    <row r="4014" spans="3:11" x14ac:dyDescent="0.25">
      <c r="C4014" s="6"/>
      <c r="G4014" s="6"/>
      <c r="K4014" s="6"/>
    </row>
    <row r="4015" spans="3:11" x14ac:dyDescent="0.25">
      <c r="C4015" s="6"/>
      <c r="G4015" s="6"/>
      <c r="K4015" s="6"/>
    </row>
    <row r="4016" spans="3:11" x14ac:dyDescent="0.25">
      <c r="C4016" s="6"/>
      <c r="G4016" s="6"/>
      <c r="K4016" s="6"/>
    </row>
    <row r="4017" spans="3:11" x14ac:dyDescent="0.25">
      <c r="C4017" s="6"/>
      <c r="G4017" s="6"/>
      <c r="K4017" s="6"/>
    </row>
    <row r="4018" spans="3:11" x14ac:dyDescent="0.25">
      <c r="C4018" s="6"/>
      <c r="G4018" s="6"/>
      <c r="K4018" s="6"/>
    </row>
    <row r="4019" spans="3:11" x14ac:dyDescent="0.25">
      <c r="C4019" s="6"/>
      <c r="G4019" s="6"/>
      <c r="K4019" s="6"/>
    </row>
    <row r="4020" spans="3:11" x14ac:dyDescent="0.25">
      <c r="C4020" s="6"/>
      <c r="G4020" s="6"/>
      <c r="K4020" s="6"/>
    </row>
    <row r="4021" spans="3:11" x14ac:dyDescent="0.25">
      <c r="C4021" s="6"/>
      <c r="G4021" s="6"/>
      <c r="K4021" s="6"/>
    </row>
    <row r="4022" spans="3:11" x14ac:dyDescent="0.25">
      <c r="C4022" s="6"/>
      <c r="G4022" s="6"/>
      <c r="K4022" s="6"/>
    </row>
    <row r="4023" spans="3:11" x14ac:dyDescent="0.25">
      <c r="C4023" s="6"/>
      <c r="G4023" s="6"/>
      <c r="K4023" s="6"/>
    </row>
    <row r="4024" spans="3:11" x14ac:dyDescent="0.25">
      <c r="C4024" s="6"/>
      <c r="G4024" s="6"/>
      <c r="K4024" s="6"/>
    </row>
    <row r="4025" spans="3:11" x14ac:dyDescent="0.25">
      <c r="C4025" s="6"/>
      <c r="G4025" s="6"/>
      <c r="K4025" s="6"/>
    </row>
    <row r="4026" spans="3:11" x14ac:dyDescent="0.25">
      <c r="C4026" s="6"/>
      <c r="G4026" s="6"/>
      <c r="K4026" s="6"/>
    </row>
    <row r="4027" spans="3:11" x14ac:dyDescent="0.25">
      <c r="C4027" s="6"/>
      <c r="G4027" s="6"/>
      <c r="K4027" s="6"/>
    </row>
    <row r="4028" spans="3:11" x14ac:dyDescent="0.25">
      <c r="C4028" s="6"/>
      <c r="G4028" s="6"/>
      <c r="K4028" s="6"/>
    </row>
    <row r="4029" spans="3:11" x14ac:dyDescent="0.25">
      <c r="C4029" s="6"/>
      <c r="G4029" s="6"/>
      <c r="K4029" s="6"/>
    </row>
    <row r="4030" spans="3:11" x14ac:dyDescent="0.25">
      <c r="C4030" s="6"/>
      <c r="G4030" s="6"/>
      <c r="K4030" s="6"/>
    </row>
    <row r="4031" spans="3:11" x14ac:dyDescent="0.25">
      <c r="C4031" s="6"/>
      <c r="G4031" s="6"/>
      <c r="K4031" s="6"/>
    </row>
    <row r="4032" spans="3:11" x14ac:dyDescent="0.25">
      <c r="C4032" s="6"/>
      <c r="G4032" s="6"/>
      <c r="K4032" s="6"/>
    </row>
    <row r="4033" spans="3:11" x14ac:dyDescent="0.25">
      <c r="C4033" s="6"/>
      <c r="G4033" s="6"/>
      <c r="K4033" s="6"/>
    </row>
    <row r="4034" spans="3:11" x14ac:dyDescent="0.25">
      <c r="C4034" s="6"/>
      <c r="G4034" s="6"/>
      <c r="K4034" s="6"/>
    </row>
    <row r="4035" spans="3:11" x14ac:dyDescent="0.25">
      <c r="C4035" s="6"/>
      <c r="G4035" s="6"/>
      <c r="K4035" s="6"/>
    </row>
    <row r="4036" spans="3:11" x14ac:dyDescent="0.25">
      <c r="C4036" s="6"/>
      <c r="G4036" s="6"/>
      <c r="K4036" s="6"/>
    </row>
    <row r="4037" spans="3:11" x14ac:dyDescent="0.25">
      <c r="C4037" s="6"/>
      <c r="G4037" s="6"/>
      <c r="K4037" s="6"/>
    </row>
    <row r="4038" spans="3:11" x14ac:dyDescent="0.25">
      <c r="C4038" s="6"/>
      <c r="G4038" s="6"/>
      <c r="K4038" s="6"/>
    </row>
    <row r="4039" spans="3:11" x14ac:dyDescent="0.25">
      <c r="C4039" s="6"/>
      <c r="G4039" s="6"/>
      <c r="K4039" s="6"/>
    </row>
    <row r="4040" spans="3:11" x14ac:dyDescent="0.25">
      <c r="C4040" s="6"/>
      <c r="G4040" s="6"/>
      <c r="K4040" s="6"/>
    </row>
    <row r="4041" spans="3:11" x14ac:dyDescent="0.25">
      <c r="C4041" s="6"/>
      <c r="G4041" s="6"/>
      <c r="K4041" s="6"/>
    </row>
    <row r="4042" spans="3:11" x14ac:dyDescent="0.25">
      <c r="C4042" s="6"/>
      <c r="G4042" s="6"/>
      <c r="K4042" s="6"/>
    </row>
    <row r="4043" spans="3:11" x14ac:dyDescent="0.25">
      <c r="C4043" s="6"/>
      <c r="G4043" s="6"/>
      <c r="K4043" s="6"/>
    </row>
    <row r="4044" spans="3:11" x14ac:dyDescent="0.25">
      <c r="C4044" s="6"/>
      <c r="G4044" s="6"/>
      <c r="K4044" s="6"/>
    </row>
    <row r="4045" spans="3:11" x14ac:dyDescent="0.25">
      <c r="C4045" s="6"/>
      <c r="G4045" s="6"/>
      <c r="K4045" s="6"/>
    </row>
    <row r="4046" spans="3:11" x14ac:dyDescent="0.25">
      <c r="C4046" s="6"/>
      <c r="G4046" s="6"/>
      <c r="K4046" s="6"/>
    </row>
    <row r="4047" spans="3:11" x14ac:dyDescent="0.25">
      <c r="C4047" s="6"/>
      <c r="G4047" s="6"/>
      <c r="K4047" s="6"/>
    </row>
    <row r="4048" spans="3:11" x14ac:dyDescent="0.25">
      <c r="C4048" s="6"/>
      <c r="G4048" s="6"/>
      <c r="K4048" s="6"/>
    </row>
    <row r="4049" spans="3:11" x14ac:dyDescent="0.25">
      <c r="C4049" s="6"/>
      <c r="G4049" s="6"/>
      <c r="K4049" s="6"/>
    </row>
    <row r="4050" spans="3:11" x14ac:dyDescent="0.25">
      <c r="C4050" s="6"/>
      <c r="G4050" s="6"/>
      <c r="K4050" s="6"/>
    </row>
    <row r="4051" spans="3:11" x14ac:dyDescent="0.25">
      <c r="C4051" s="6"/>
      <c r="G4051" s="6"/>
      <c r="K4051" s="6"/>
    </row>
    <row r="4052" spans="3:11" x14ac:dyDescent="0.25">
      <c r="C4052" s="6"/>
      <c r="G4052" s="6"/>
      <c r="K4052" s="6"/>
    </row>
    <row r="4053" spans="3:11" x14ac:dyDescent="0.25">
      <c r="C4053" s="6"/>
      <c r="G4053" s="6"/>
      <c r="K4053" s="6"/>
    </row>
    <row r="4054" spans="3:11" x14ac:dyDescent="0.25">
      <c r="C4054" s="6"/>
      <c r="G4054" s="6"/>
      <c r="K4054" s="6"/>
    </row>
    <row r="4055" spans="3:11" x14ac:dyDescent="0.25">
      <c r="C4055" s="6"/>
      <c r="G4055" s="6"/>
      <c r="K4055" s="6"/>
    </row>
    <row r="4056" spans="3:11" x14ac:dyDescent="0.25">
      <c r="C4056" s="6"/>
      <c r="G4056" s="6"/>
      <c r="K4056" s="6"/>
    </row>
    <row r="4057" spans="3:11" x14ac:dyDescent="0.25">
      <c r="C4057" s="6"/>
      <c r="G4057" s="6"/>
      <c r="K4057" s="6"/>
    </row>
    <row r="4058" spans="3:11" x14ac:dyDescent="0.25">
      <c r="C4058" s="6"/>
      <c r="G4058" s="6"/>
      <c r="K4058" s="6"/>
    </row>
    <row r="4059" spans="3:11" x14ac:dyDescent="0.25">
      <c r="C4059" s="6"/>
      <c r="G4059" s="6"/>
      <c r="K4059" s="6"/>
    </row>
    <row r="4060" spans="3:11" x14ac:dyDescent="0.25">
      <c r="C4060" s="6"/>
      <c r="G4060" s="6"/>
      <c r="K4060" s="6"/>
    </row>
    <row r="4061" spans="3:11" x14ac:dyDescent="0.25">
      <c r="C4061" s="6"/>
      <c r="G4061" s="6"/>
      <c r="K4061" s="6"/>
    </row>
    <row r="4062" spans="3:11" x14ac:dyDescent="0.25">
      <c r="C4062" s="6"/>
      <c r="G4062" s="6"/>
      <c r="K4062" s="6"/>
    </row>
    <row r="4063" spans="3:11" x14ac:dyDescent="0.25">
      <c r="C4063" s="6"/>
      <c r="G4063" s="6"/>
      <c r="K4063" s="6"/>
    </row>
    <row r="4064" spans="3:11" x14ac:dyDescent="0.25">
      <c r="C4064" s="6"/>
      <c r="G4064" s="6"/>
      <c r="K4064" s="6"/>
    </row>
    <row r="4065" spans="3:11" x14ac:dyDescent="0.25">
      <c r="C4065" s="6"/>
      <c r="G4065" s="6"/>
      <c r="K4065" s="6"/>
    </row>
    <row r="4066" spans="3:11" x14ac:dyDescent="0.25">
      <c r="C4066" s="6"/>
      <c r="G4066" s="6"/>
      <c r="K4066" s="6"/>
    </row>
    <row r="4067" spans="3:11" x14ac:dyDescent="0.25">
      <c r="C4067" s="6"/>
      <c r="G4067" s="6"/>
      <c r="K4067" s="6"/>
    </row>
    <row r="4068" spans="3:11" x14ac:dyDescent="0.25">
      <c r="C4068" s="6"/>
      <c r="G4068" s="6"/>
      <c r="K4068" s="6"/>
    </row>
    <row r="4069" spans="3:11" x14ac:dyDescent="0.25">
      <c r="C4069" s="6"/>
      <c r="G4069" s="6"/>
      <c r="K4069" s="6"/>
    </row>
    <row r="4070" spans="3:11" x14ac:dyDescent="0.25">
      <c r="C4070" s="6"/>
      <c r="G4070" s="6"/>
      <c r="K4070" s="6"/>
    </row>
    <row r="4071" spans="3:11" x14ac:dyDescent="0.25">
      <c r="C4071" s="6"/>
      <c r="G4071" s="6"/>
      <c r="K4071" s="6"/>
    </row>
    <row r="4072" spans="3:11" x14ac:dyDescent="0.25">
      <c r="C4072" s="6"/>
      <c r="G4072" s="6"/>
      <c r="K4072" s="6"/>
    </row>
    <row r="4073" spans="3:11" x14ac:dyDescent="0.25">
      <c r="C4073" s="6"/>
      <c r="G4073" s="6"/>
      <c r="K4073" s="6"/>
    </row>
    <row r="4074" spans="3:11" x14ac:dyDescent="0.25">
      <c r="C4074" s="6"/>
      <c r="G4074" s="6"/>
      <c r="K4074" s="6"/>
    </row>
    <row r="4075" spans="3:11" x14ac:dyDescent="0.25">
      <c r="C4075" s="6"/>
      <c r="G4075" s="6"/>
      <c r="K4075" s="6"/>
    </row>
    <row r="4076" spans="3:11" x14ac:dyDescent="0.25">
      <c r="C4076" s="6"/>
      <c r="G4076" s="6"/>
      <c r="K4076" s="6"/>
    </row>
    <row r="4077" spans="3:11" x14ac:dyDescent="0.25">
      <c r="C4077" s="6"/>
      <c r="G4077" s="6"/>
      <c r="K4077" s="6"/>
    </row>
    <row r="4078" spans="3:11" x14ac:dyDescent="0.25">
      <c r="C4078" s="6"/>
      <c r="G4078" s="6"/>
      <c r="K4078" s="6"/>
    </row>
    <row r="4079" spans="3:11" x14ac:dyDescent="0.25">
      <c r="C4079" s="6"/>
      <c r="G4079" s="6"/>
      <c r="K4079" s="6"/>
    </row>
    <row r="4080" spans="3:11" x14ac:dyDescent="0.25">
      <c r="C4080" s="6"/>
      <c r="G4080" s="6"/>
      <c r="K4080" s="6"/>
    </row>
    <row r="4081" spans="3:11" x14ac:dyDescent="0.25">
      <c r="C4081" s="6"/>
      <c r="G4081" s="6"/>
      <c r="K4081" s="6"/>
    </row>
    <row r="4082" spans="3:11" x14ac:dyDescent="0.25">
      <c r="C4082" s="6"/>
      <c r="G4082" s="6"/>
      <c r="K4082" s="6"/>
    </row>
    <row r="4083" spans="3:11" x14ac:dyDescent="0.25">
      <c r="C4083" s="6"/>
      <c r="G4083" s="6"/>
      <c r="K4083" s="6"/>
    </row>
    <row r="4084" spans="3:11" x14ac:dyDescent="0.25">
      <c r="C4084" s="6"/>
      <c r="G4084" s="6"/>
      <c r="K4084" s="6"/>
    </row>
    <row r="4085" spans="3:11" x14ac:dyDescent="0.25">
      <c r="C4085" s="6"/>
      <c r="G4085" s="6"/>
      <c r="K4085" s="6"/>
    </row>
    <row r="4086" spans="3:11" x14ac:dyDescent="0.25">
      <c r="C4086" s="6"/>
      <c r="G4086" s="6"/>
      <c r="K4086" s="6"/>
    </row>
    <row r="4087" spans="3:11" x14ac:dyDescent="0.25">
      <c r="C4087" s="6"/>
      <c r="G4087" s="6"/>
      <c r="K4087" s="6"/>
    </row>
    <row r="4088" spans="3:11" x14ac:dyDescent="0.25">
      <c r="C4088" s="6"/>
      <c r="G4088" s="6"/>
      <c r="K4088" s="6"/>
    </row>
    <row r="4089" spans="3:11" x14ac:dyDescent="0.25">
      <c r="C4089" s="6"/>
      <c r="G4089" s="6"/>
      <c r="K4089" s="6"/>
    </row>
    <row r="4090" spans="3:11" x14ac:dyDescent="0.25">
      <c r="C4090" s="6"/>
      <c r="G4090" s="6"/>
      <c r="K4090" s="6"/>
    </row>
    <row r="4091" spans="3:11" x14ac:dyDescent="0.25">
      <c r="C4091" s="6"/>
      <c r="G4091" s="6"/>
      <c r="K4091" s="6"/>
    </row>
    <row r="4092" spans="3:11" x14ac:dyDescent="0.25">
      <c r="C4092" s="6"/>
      <c r="G4092" s="6"/>
      <c r="K4092" s="6"/>
    </row>
    <row r="4093" spans="3:11" x14ac:dyDescent="0.25">
      <c r="C4093" s="6"/>
      <c r="G4093" s="6"/>
      <c r="K4093" s="6"/>
    </row>
    <row r="4094" spans="3:11" x14ac:dyDescent="0.25">
      <c r="C4094" s="6"/>
      <c r="G4094" s="6"/>
      <c r="K4094" s="6"/>
    </row>
    <row r="4095" spans="3:11" x14ac:dyDescent="0.25">
      <c r="C4095" s="6"/>
      <c r="G4095" s="6"/>
      <c r="K4095" s="6"/>
    </row>
    <row r="4096" spans="3:11" x14ac:dyDescent="0.25">
      <c r="C4096" s="6"/>
      <c r="G4096" s="6"/>
      <c r="K4096" s="6"/>
    </row>
    <row r="4097" spans="3:11" x14ac:dyDescent="0.25">
      <c r="C4097" s="6"/>
      <c r="G4097" s="6"/>
      <c r="K4097" s="6"/>
    </row>
    <row r="4098" spans="3:11" x14ac:dyDescent="0.25">
      <c r="C4098" s="6"/>
      <c r="G4098" s="6"/>
      <c r="K4098" s="6"/>
    </row>
    <row r="4099" spans="3:11" x14ac:dyDescent="0.25">
      <c r="C4099" s="6"/>
      <c r="G4099" s="6"/>
      <c r="K4099" s="6"/>
    </row>
    <row r="4100" spans="3:11" x14ac:dyDescent="0.25">
      <c r="C4100" s="6"/>
      <c r="G4100" s="6"/>
      <c r="K4100" s="6"/>
    </row>
    <row r="4101" spans="3:11" x14ac:dyDescent="0.25">
      <c r="C4101" s="6"/>
      <c r="G4101" s="6"/>
      <c r="K4101" s="6"/>
    </row>
    <row r="4102" spans="3:11" x14ac:dyDescent="0.25">
      <c r="C4102" s="6"/>
      <c r="G4102" s="6"/>
      <c r="K4102" s="6"/>
    </row>
    <row r="4103" spans="3:11" x14ac:dyDescent="0.25">
      <c r="C4103" s="6"/>
      <c r="G4103" s="6"/>
      <c r="K4103" s="6"/>
    </row>
    <row r="4104" spans="3:11" x14ac:dyDescent="0.25">
      <c r="C4104" s="6"/>
      <c r="G4104" s="6"/>
      <c r="K4104" s="6"/>
    </row>
    <row r="4105" spans="3:11" x14ac:dyDescent="0.25">
      <c r="C4105" s="6"/>
      <c r="G4105" s="6"/>
      <c r="K4105" s="6"/>
    </row>
    <row r="4106" spans="3:11" x14ac:dyDescent="0.25">
      <c r="C4106" s="6"/>
      <c r="G4106" s="6"/>
      <c r="K4106" s="6"/>
    </row>
    <row r="4107" spans="3:11" x14ac:dyDescent="0.25">
      <c r="C4107" s="6"/>
      <c r="G4107" s="6"/>
      <c r="K4107" s="6"/>
    </row>
    <row r="4108" spans="3:11" x14ac:dyDescent="0.25">
      <c r="C4108" s="6"/>
      <c r="G4108" s="6"/>
      <c r="K4108" s="6"/>
    </row>
    <row r="4109" spans="3:11" x14ac:dyDescent="0.25">
      <c r="C4109" s="6"/>
      <c r="G4109" s="6"/>
      <c r="K4109" s="6"/>
    </row>
    <row r="4110" spans="3:11" x14ac:dyDescent="0.25">
      <c r="C4110" s="6"/>
      <c r="G4110" s="6"/>
      <c r="K4110" s="6"/>
    </row>
    <row r="4111" spans="3:11" x14ac:dyDescent="0.25">
      <c r="C4111" s="6"/>
      <c r="G4111" s="6"/>
      <c r="K4111" s="6"/>
    </row>
    <row r="4112" spans="3:11" x14ac:dyDescent="0.25">
      <c r="C4112" s="6"/>
      <c r="G4112" s="6"/>
      <c r="K4112" s="6"/>
    </row>
    <row r="4113" spans="3:11" x14ac:dyDescent="0.25">
      <c r="C4113" s="6"/>
      <c r="G4113" s="6"/>
      <c r="K4113" s="6"/>
    </row>
    <row r="4114" spans="3:11" x14ac:dyDescent="0.25">
      <c r="C4114" s="6"/>
      <c r="G4114" s="6"/>
      <c r="K4114" s="6"/>
    </row>
    <row r="4115" spans="3:11" x14ac:dyDescent="0.25">
      <c r="C4115" s="6"/>
      <c r="G4115" s="6"/>
      <c r="K4115" s="6"/>
    </row>
    <row r="4116" spans="3:11" x14ac:dyDescent="0.25">
      <c r="C4116" s="6"/>
      <c r="G4116" s="6"/>
      <c r="K4116" s="6"/>
    </row>
    <row r="4117" spans="3:11" x14ac:dyDescent="0.25">
      <c r="C4117" s="6"/>
      <c r="G4117" s="6"/>
      <c r="K4117" s="6"/>
    </row>
    <row r="4118" spans="3:11" x14ac:dyDescent="0.25">
      <c r="C4118" s="6"/>
      <c r="G4118" s="6"/>
      <c r="K4118" s="6"/>
    </row>
    <row r="4119" spans="3:11" x14ac:dyDescent="0.25">
      <c r="C4119" s="6"/>
      <c r="G4119" s="6"/>
      <c r="K4119" s="6"/>
    </row>
    <row r="4120" spans="3:11" x14ac:dyDescent="0.25">
      <c r="C4120" s="6"/>
      <c r="G4120" s="6"/>
      <c r="K4120" s="6"/>
    </row>
    <row r="4121" spans="3:11" x14ac:dyDescent="0.25">
      <c r="C4121" s="6"/>
      <c r="G4121" s="6"/>
      <c r="K4121" s="6"/>
    </row>
    <row r="4122" spans="3:11" x14ac:dyDescent="0.25">
      <c r="C4122" s="6"/>
      <c r="G4122" s="6"/>
      <c r="K4122" s="6"/>
    </row>
    <row r="4123" spans="3:11" x14ac:dyDescent="0.25">
      <c r="C4123" s="6"/>
      <c r="G4123" s="6"/>
      <c r="K4123" s="6"/>
    </row>
    <row r="4124" spans="3:11" x14ac:dyDescent="0.25">
      <c r="C4124" s="6"/>
      <c r="G4124" s="6"/>
      <c r="K4124" s="6"/>
    </row>
    <row r="4125" spans="3:11" x14ac:dyDescent="0.25">
      <c r="C4125" s="6"/>
      <c r="G4125" s="6"/>
      <c r="K4125" s="6"/>
    </row>
    <row r="4126" spans="3:11" x14ac:dyDescent="0.25">
      <c r="C4126" s="6"/>
      <c r="G4126" s="6"/>
      <c r="K4126" s="6"/>
    </row>
    <row r="4127" spans="3:11" x14ac:dyDescent="0.25">
      <c r="C4127" s="6"/>
      <c r="G4127" s="6"/>
      <c r="K4127" s="6"/>
    </row>
    <row r="4128" spans="3:11" x14ac:dyDescent="0.25">
      <c r="C4128" s="6"/>
      <c r="G4128" s="6"/>
      <c r="K4128" s="6"/>
    </row>
    <row r="4129" spans="3:11" x14ac:dyDescent="0.25">
      <c r="C4129" s="6"/>
      <c r="G4129" s="6"/>
      <c r="K4129" s="6"/>
    </row>
    <row r="4130" spans="3:11" x14ac:dyDescent="0.25">
      <c r="C4130" s="6"/>
      <c r="G4130" s="6"/>
      <c r="K4130" s="6"/>
    </row>
    <row r="4131" spans="3:11" x14ac:dyDescent="0.25">
      <c r="C4131" s="6"/>
      <c r="G4131" s="6"/>
      <c r="K4131" s="6"/>
    </row>
    <row r="4132" spans="3:11" x14ac:dyDescent="0.25">
      <c r="C4132" s="6"/>
      <c r="G4132" s="6"/>
      <c r="K4132" s="6"/>
    </row>
    <row r="4133" spans="3:11" x14ac:dyDescent="0.25">
      <c r="C4133" s="6"/>
      <c r="G4133" s="6"/>
      <c r="K4133" s="6"/>
    </row>
    <row r="4134" spans="3:11" x14ac:dyDescent="0.25">
      <c r="C4134" s="6"/>
      <c r="G4134" s="6"/>
      <c r="K4134" s="6"/>
    </row>
    <row r="4135" spans="3:11" x14ac:dyDescent="0.25">
      <c r="C4135" s="6"/>
      <c r="G4135" s="6"/>
      <c r="K4135" s="6"/>
    </row>
    <row r="4136" spans="3:11" x14ac:dyDescent="0.25">
      <c r="C4136" s="6"/>
      <c r="G4136" s="6"/>
      <c r="K4136" s="6"/>
    </row>
    <row r="4137" spans="3:11" x14ac:dyDescent="0.25">
      <c r="C4137" s="6"/>
      <c r="G4137" s="6"/>
      <c r="K4137" s="6"/>
    </row>
    <row r="4138" spans="3:11" x14ac:dyDescent="0.25">
      <c r="C4138" s="6"/>
      <c r="G4138" s="6"/>
      <c r="K4138" s="6"/>
    </row>
    <row r="4139" spans="3:11" x14ac:dyDescent="0.25">
      <c r="C4139" s="6"/>
      <c r="G4139" s="6"/>
      <c r="K4139" s="6"/>
    </row>
    <row r="4140" spans="3:11" x14ac:dyDescent="0.25">
      <c r="C4140" s="6"/>
      <c r="G4140" s="6"/>
      <c r="K4140" s="6"/>
    </row>
    <row r="4141" spans="3:11" x14ac:dyDescent="0.25">
      <c r="C4141" s="6"/>
      <c r="G4141" s="6"/>
      <c r="K4141" s="6"/>
    </row>
    <row r="4142" spans="3:11" x14ac:dyDescent="0.25">
      <c r="C4142" s="6"/>
      <c r="G4142" s="6"/>
      <c r="K4142" s="6"/>
    </row>
    <row r="4143" spans="3:11" x14ac:dyDescent="0.25">
      <c r="C4143" s="6"/>
      <c r="G4143" s="6"/>
      <c r="K4143" s="6"/>
    </row>
    <row r="4144" spans="3:11" x14ac:dyDescent="0.25">
      <c r="C4144" s="6"/>
      <c r="G4144" s="6"/>
      <c r="K4144" s="6"/>
    </row>
    <row r="4145" spans="3:11" x14ac:dyDescent="0.25">
      <c r="C4145" s="6"/>
      <c r="G4145" s="6"/>
      <c r="K4145" s="6"/>
    </row>
    <row r="4146" spans="3:11" x14ac:dyDescent="0.25">
      <c r="C4146" s="6"/>
      <c r="G4146" s="6"/>
      <c r="K4146" s="6"/>
    </row>
    <row r="4147" spans="3:11" x14ac:dyDescent="0.25">
      <c r="C4147" s="6"/>
      <c r="G4147" s="6"/>
      <c r="K4147" s="6"/>
    </row>
    <row r="4148" spans="3:11" x14ac:dyDescent="0.25">
      <c r="C4148" s="6"/>
      <c r="G4148" s="6"/>
      <c r="K4148" s="6"/>
    </row>
    <row r="4149" spans="3:11" x14ac:dyDescent="0.25">
      <c r="C4149" s="6"/>
      <c r="G4149" s="6"/>
      <c r="K4149" s="6"/>
    </row>
    <row r="4150" spans="3:11" x14ac:dyDescent="0.25">
      <c r="C4150" s="6"/>
      <c r="G4150" s="6"/>
      <c r="K4150" s="6"/>
    </row>
    <row r="4151" spans="3:11" x14ac:dyDescent="0.25">
      <c r="C4151" s="6"/>
      <c r="G4151" s="6"/>
      <c r="K4151" s="6"/>
    </row>
    <row r="4152" spans="3:11" x14ac:dyDescent="0.25">
      <c r="C4152" s="6"/>
      <c r="G4152" s="6"/>
      <c r="K4152" s="6"/>
    </row>
    <row r="4153" spans="3:11" x14ac:dyDescent="0.25">
      <c r="C4153" s="6"/>
      <c r="G4153" s="6"/>
      <c r="K4153" s="6"/>
    </row>
    <row r="4154" spans="3:11" x14ac:dyDescent="0.25">
      <c r="C4154" s="6"/>
      <c r="G4154" s="6"/>
      <c r="K4154" s="6"/>
    </row>
    <row r="4155" spans="3:11" x14ac:dyDescent="0.25">
      <c r="C4155" s="6"/>
      <c r="G4155" s="6"/>
      <c r="K4155" s="6"/>
    </row>
    <row r="4156" spans="3:11" x14ac:dyDescent="0.25">
      <c r="C4156" s="6"/>
      <c r="G4156" s="6"/>
      <c r="K4156" s="6"/>
    </row>
    <row r="4157" spans="3:11" x14ac:dyDescent="0.25">
      <c r="C4157" s="6"/>
      <c r="G4157" s="6"/>
      <c r="K4157" s="6"/>
    </row>
    <row r="4158" spans="3:11" x14ac:dyDescent="0.25">
      <c r="C4158" s="6"/>
      <c r="G4158" s="6"/>
      <c r="K4158" s="6"/>
    </row>
    <row r="4159" spans="3:11" x14ac:dyDescent="0.25">
      <c r="C4159" s="6"/>
      <c r="G4159" s="6"/>
      <c r="K4159" s="6"/>
    </row>
    <row r="4160" spans="3:11" x14ac:dyDescent="0.25">
      <c r="C4160" s="6"/>
      <c r="G4160" s="6"/>
      <c r="K4160" s="6"/>
    </row>
    <row r="4161" spans="3:11" x14ac:dyDescent="0.25">
      <c r="C4161" s="6"/>
      <c r="G4161" s="6"/>
      <c r="K4161" s="6"/>
    </row>
    <row r="4162" spans="3:11" x14ac:dyDescent="0.25">
      <c r="C4162" s="6"/>
      <c r="G4162" s="6"/>
      <c r="K4162" s="6"/>
    </row>
    <row r="4163" spans="3:11" x14ac:dyDescent="0.25">
      <c r="C4163" s="6"/>
      <c r="G4163" s="6"/>
      <c r="K4163" s="6"/>
    </row>
    <row r="4164" spans="3:11" x14ac:dyDescent="0.25">
      <c r="C4164" s="6"/>
      <c r="G4164" s="6"/>
      <c r="K4164" s="6"/>
    </row>
    <row r="4165" spans="3:11" x14ac:dyDescent="0.25">
      <c r="C4165" s="6"/>
      <c r="G4165" s="6"/>
      <c r="K4165" s="6"/>
    </row>
    <row r="4166" spans="3:11" x14ac:dyDescent="0.25">
      <c r="C4166" s="6"/>
      <c r="G4166" s="6"/>
      <c r="K4166" s="6"/>
    </row>
    <row r="4167" spans="3:11" x14ac:dyDescent="0.25">
      <c r="C4167" s="6"/>
      <c r="G4167" s="6"/>
      <c r="K4167" s="6"/>
    </row>
    <row r="4168" spans="3:11" x14ac:dyDescent="0.25">
      <c r="C4168" s="6"/>
      <c r="G4168" s="6"/>
      <c r="K4168" s="6"/>
    </row>
    <row r="4169" spans="3:11" x14ac:dyDescent="0.25">
      <c r="C4169" s="6"/>
      <c r="G4169" s="6"/>
      <c r="K4169" s="6"/>
    </row>
    <row r="4170" spans="3:11" x14ac:dyDescent="0.25">
      <c r="C4170" s="6"/>
      <c r="G4170" s="6"/>
      <c r="K4170" s="6"/>
    </row>
    <row r="4171" spans="3:11" x14ac:dyDescent="0.25">
      <c r="C4171" s="6"/>
      <c r="G4171" s="6"/>
      <c r="K4171" s="6"/>
    </row>
    <row r="4172" spans="3:11" x14ac:dyDescent="0.25">
      <c r="C4172" s="6"/>
      <c r="G4172" s="6"/>
      <c r="K4172" s="6"/>
    </row>
    <row r="4173" spans="3:11" x14ac:dyDescent="0.25">
      <c r="C4173" s="6"/>
      <c r="G4173" s="6"/>
      <c r="K4173" s="6"/>
    </row>
    <row r="4174" spans="3:11" x14ac:dyDescent="0.25">
      <c r="C4174" s="6"/>
      <c r="G4174" s="6"/>
      <c r="K4174" s="6"/>
    </row>
    <row r="4175" spans="3:11" x14ac:dyDescent="0.25">
      <c r="C4175" s="6"/>
      <c r="G4175" s="6"/>
      <c r="K4175" s="6"/>
    </row>
    <row r="4176" spans="3:11" x14ac:dyDescent="0.25">
      <c r="C4176" s="6"/>
      <c r="G4176" s="6"/>
      <c r="K4176" s="6"/>
    </row>
    <row r="4177" spans="3:11" x14ac:dyDescent="0.25">
      <c r="C4177" s="6"/>
      <c r="G4177" s="6"/>
      <c r="K4177" s="6"/>
    </row>
    <row r="4178" spans="3:11" x14ac:dyDescent="0.25">
      <c r="C4178" s="6"/>
      <c r="G4178" s="6"/>
      <c r="K4178" s="6"/>
    </row>
    <row r="4179" spans="3:11" x14ac:dyDescent="0.25">
      <c r="C4179" s="6"/>
      <c r="G4179" s="6"/>
      <c r="K4179" s="6"/>
    </row>
    <row r="4180" spans="3:11" x14ac:dyDescent="0.25">
      <c r="C4180" s="6"/>
      <c r="G4180" s="6"/>
      <c r="K4180" s="6"/>
    </row>
    <row r="4181" spans="3:11" x14ac:dyDescent="0.25">
      <c r="C4181" s="6"/>
      <c r="G4181" s="6"/>
      <c r="K4181" s="6"/>
    </row>
    <row r="4182" spans="3:11" x14ac:dyDescent="0.25">
      <c r="C4182" s="6"/>
      <c r="G4182" s="6"/>
      <c r="K4182" s="6"/>
    </row>
    <row r="4183" spans="3:11" x14ac:dyDescent="0.25">
      <c r="C4183" s="6"/>
      <c r="G4183" s="6"/>
      <c r="K4183" s="6"/>
    </row>
    <row r="4184" spans="3:11" x14ac:dyDescent="0.25">
      <c r="C4184" s="6"/>
      <c r="G4184" s="6"/>
      <c r="K4184" s="6"/>
    </row>
    <row r="4185" spans="3:11" x14ac:dyDescent="0.25">
      <c r="C4185" s="6"/>
      <c r="G4185" s="6"/>
      <c r="K4185" s="6"/>
    </row>
    <row r="4186" spans="3:11" x14ac:dyDescent="0.25">
      <c r="C4186" s="6"/>
      <c r="G4186" s="6"/>
      <c r="K4186" s="6"/>
    </row>
    <row r="4187" spans="3:11" x14ac:dyDescent="0.25">
      <c r="C4187" s="6"/>
      <c r="G4187" s="6"/>
      <c r="K4187" s="6"/>
    </row>
    <row r="4188" spans="3:11" x14ac:dyDescent="0.25">
      <c r="C4188" s="6"/>
      <c r="G4188" s="6"/>
      <c r="K4188" s="6"/>
    </row>
    <row r="4189" spans="3:11" x14ac:dyDescent="0.25">
      <c r="C4189" s="6"/>
      <c r="G4189" s="6"/>
      <c r="K4189" s="6"/>
    </row>
    <row r="4190" spans="3:11" x14ac:dyDescent="0.25">
      <c r="C4190" s="6"/>
      <c r="G4190" s="6"/>
      <c r="K4190" s="6"/>
    </row>
    <row r="4191" spans="3:11" x14ac:dyDescent="0.25">
      <c r="C4191" s="6"/>
      <c r="G4191" s="6"/>
      <c r="K4191" s="6"/>
    </row>
    <row r="4192" spans="3:11" x14ac:dyDescent="0.25">
      <c r="C4192" s="6"/>
      <c r="G4192" s="6"/>
      <c r="K4192" s="6"/>
    </row>
    <row r="4193" spans="3:11" x14ac:dyDescent="0.25">
      <c r="C4193" s="6"/>
      <c r="G4193" s="6"/>
      <c r="K4193" s="6"/>
    </row>
    <row r="4194" spans="3:11" x14ac:dyDescent="0.25">
      <c r="C4194" s="6"/>
      <c r="G4194" s="6"/>
      <c r="K4194" s="6"/>
    </row>
    <row r="4195" spans="3:11" x14ac:dyDescent="0.25">
      <c r="C4195" s="6"/>
      <c r="G4195" s="6"/>
      <c r="K4195" s="6"/>
    </row>
    <row r="4196" spans="3:11" x14ac:dyDescent="0.25">
      <c r="C4196" s="6"/>
      <c r="G4196" s="6"/>
      <c r="K4196" s="6"/>
    </row>
    <row r="4197" spans="3:11" x14ac:dyDescent="0.25">
      <c r="C4197" s="6"/>
      <c r="G4197" s="6"/>
      <c r="K4197" s="6"/>
    </row>
    <row r="4198" spans="3:11" x14ac:dyDescent="0.25">
      <c r="C4198" s="6"/>
      <c r="G4198" s="6"/>
      <c r="K4198" s="6"/>
    </row>
    <row r="4199" spans="3:11" x14ac:dyDescent="0.25">
      <c r="C4199" s="6"/>
      <c r="G4199" s="6"/>
      <c r="K4199" s="6"/>
    </row>
    <row r="4200" spans="3:11" x14ac:dyDescent="0.25">
      <c r="C4200" s="6"/>
      <c r="G4200" s="6"/>
      <c r="K4200" s="6"/>
    </row>
    <row r="4201" spans="3:11" x14ac:dyDescent="0.25">
      <c r="C4201" s="6"/>
      <c r="G4201" s="6"/>
      <c r="K4201" s="6"/>
    </row>
    <row r="4202" spans="3:11" x14ac:dyDescent="0.25">
      <c r="C4202" s="6"/>
      <c r="G4202" s="6"/>
      <c r="K4202" s="6"/>
    </row>
    <row r="4203" spans="3:11" x14ac:dyDescent="0.25">
      <c r="C4203" s="6"/>
      <c r="G4203" s="6"/>
      <c r="K4203" s="6"/>
    </row>
    <row r="4204" spans="3:11" x14ac:dyDescent="0.25">
      <c r="C4204" s="6"/>
      <c r="G4204" s="6"/>
      <c r="K4204" s="6"/>
    </row>
    <row r="4205" spans="3:11" x14ac:dyDescent="0.25">
      <c r="C4205" s="6"/>
      <c r="G4205" s="6"/>
      <c r="K4205" s="6"/>
    </row>
    <row r="4206" spans="3:11" x14ac:dyDescent="0.25">
      <c r="C4206" s="6"/>
      <c r="G4206" s="6"/>
      <c r="K4206" s="6"/>
    </row>
    <row r="4207" spans="3:11" x14ac:dyDescent="0.25">
      <c r="C4207" s="6"/>
      <c r="G4207" s="6"/>
      <c r="K4207" s="6"/>
    </row>
    <row r="4208" spans="3:11" x14ac:dyDescent="0.25">
      <c r="C4208" s="6"/>
      <c r="G4208" s="6"/>
      <c r="K4208" s="6"/>
    </row>
    <row r="4209" spans="3:11" x14ac:dyDescent="0.25">
      <c r="C4209" s="6"/>
      <c r="G4209" s="6"/>
      <c r="K4209" s="6"/>
    </row>
    <row r="4210" spans="3:11" x14ac:dyDescent="0.25">
      <c r="C4210" s="6"/>
      <c r="G4210" s="6"/>
      <c r="K4210" s="6"/>
    </row>
    <row r="4211" spans="3:11" x14ac:dyDescent="0.25">
      <c r="C4211" s="6"/>
      <c r="G4211" s="6"/>
      <c r="K4211" s="6"/>
    </row>
    <row r="4212" spans="3:11" x14ac:dyDescent="0.25">
      <c r="C4212" s="6"/>
      <c r="G4212" s="6"/>
      <c r="K4212" s="6"/>
    </row>
    <row r="4213" spans="3:11" x14ac:dyDescent="0.25">
      <c r="C4213" s="6"/>
      <c r="G4213" s="6"/>
      <c r="K4213" s="6"/>
    </row>
    <row r="4214" spans="3:11" x14ac:dyDescent="0.25">
      <c r="C4214" s="6"/>
      <c r="G4214" s="6"/>
      <c r="K4214" s="6"/>
    </row>
    <row r="4215" spans="3:11" x14ac:dyDescent="0.25">
      <c r="C4215" s="6"/>
      <c r="G4215" s="6"/>
      <c r="K4215" s="6"/>
    </row>
    <row r="4216" spans="3:11" x14ac:dyDescent="0.25">
      <c r="C4216" s="6"/>
      <c r="G4216" s="6"/>
      <c r="K4216" s="6"/>
    </row>
    <row r="4217" spans="3:11" x14ac:dyDescent="0.25">
      <c r="C4217" s="6"/>
      <c r="G4217" s="6"/>
      <c r="K4217" s="6"/>
    </row>
    <row r="4218" spans="3:11" x14ac:dyDescent="0.25">
      <c r="C4218" s="6"/>
      <c r="G4218" s="6"/>
      <c r="K4218" s="6"/>
    </row>
    <row r="4219" spans="3:11" x14ac:dyDescent="0.25">
      <c r="C4219" s="6"/>
      <c r="G4219" s="6"/>
      <c r="K4219" s="6"/>
    </row>
    <row r="4220" spans="3:11" x14ac:dyDescent="0.25">
      <c r="C4220" s="6"/>
      <c r="G4220" s="6"/>
      <c r="K4220" s="6"/>
    </row>
    <row r="4221" spans="3:11" x14ac:dyDescent="0.25">
      <c r="C4221" s="6"/>
      <c r="G4221" s="6"/>
      <c r="K4221" s="6"/>
    </row>
    <row r="4222" spans="3:11" x14ac:dyDescent="0.25">
      <c r="C4222" s="6"/>
      <c r="G4222" s="6"/>
      <c r="K4222" s="6"/>
    </row>
    <row r="4223" spans="3:11" x14ac:dyDescent="0.25">
      <c r="C4223" s="6"/>
      <c r="G4223" s="6"/>
      <c r="K4223" s="6"/>
    </row>
    <row r="4224" spans="3:11" x14ac:dyDescent="0.25">
      <c r="C4224" s="6"/>
      <c r="G4224" s="6"/>
      <c r="K4224" s="6"/>
    </row>
    <row r="4225" spans="3:11" x14ac:dyDescent="0.25">
      <c r="C4225" s="6"/>
      <c r="G4225" s="6"/>
      <c r="K4225" s="6"/>
    </row>
    <row r="4226" spans="3:11" x14ac:dyDescent="0.25">
      <c r="C4226" s="6"/>
      <c r="G4226" s="6"/>
      <c r="K4226" s="6"/>
    </row>
    <row r="4227" spans="3:11" x14ac:dyDescent="0.25">
      <c r="C4227" s="6"/>
      <c r="G4227" s="6"/>
      <c r="K4227" s="6"/>
    </row>
    <row r="4228" spans="3:11" x14ac:dyDescent="0.25">
      <c r="C4228" s="6"/>
      <c r="G4228" s="6"/>
      <c r="K4228" s="6"/>
    </row>
    <row r="4229" spans="3:11" x14ac:dyDescent="0.25">
      <c r="C4229" s="6"/>
      <c r="G4229" s="6"/>
      <c r="K4229" s="6"/>
    </row>
    <row r="4230" spans="3:11" x14ac:dyDescent="0.25">
      <c r="C4230" s="6"/>
      <c r="G4230" s="6"/>
      <c r="K4230" s="6"/>
    </row>
    <row r="4231" spans="3:11" x14ac:dyDescent="0.25">
      <c r="C4231" s="6"/>
      <c r="G4231" s="6"/>
      <c r="K4231" s="6"/>
    </row>
    <row r="4232" spans="3:11" x14ac:dyDescent="0.25">
      <c r="C4232" s="6"/>
      <c r="G4232" s="6"/>
      <c r="K4232" s="6"/>
    </row>
    <row r="4233" spans="3:11" x14ac:dyDescent="0.25">
      <c r="C4233" s="6"/>
      <c r="G4233" s="6"/>
      <c r="K4233" s="6"/>
    </row>
    <row r="4234" spans="3:11" x14ac:dyDescent="0.25">
      <c r="C4234" s="6"/>
      <c r="G4234" s="6"/>
      <c r="K4234" s="6"/>
    </row>
    <row r="4235" spans="3:11" x14ac:dyDescent="0.25">
      <c r="C4235" s="6"/>
      <c r="G4235" s="6"/>
      <c r="K4235" s="6"/>
    </row>
    <row r="4236" spans="3:11" x14ac:dyDescent="0.25">
      <c r="C4236" s="6"/>
      <c r="G4236" s="6"/>
      <c r="K4236" s="6"/>
    </row>
    <row r="4237" spans="3:11" x14ac:dyDescent="0.25">
      <c r="C4237" s="6"/>
      <c r="G4237" s="6"/>
      <c r="K4237" s="6"/>
    </row>
    <row r="4238" spans="3:11" x14ac:dyDescent="0.25">
      <c r="C4238" s="6"/>
      <c r="G4238" s="6"/>
      <c r="K4238" s="6"/>
    </row>
    <row r="4239" spans="3:11" x14ac:dyDescent="0.25">
      <c r="C4239" s="6"/>
      <c r="G4239" s="6"/>
      <c r="K4239" s="6"/>
    </row>
    <row r="4240" spans="3:11" x14ac:dyDescent="0.25">
      <c r="C4240" s="6"/>
      <c r="G4240" s="6"/>
      <c r="K4240" s="6"/>
    </row>
    <row r="4241" spans="3:11" x14ac:dyDescent="0.25">
      <c r="C4241" s="6"/>
      <c r="G4241" s="6"/>
      <c r="K4241" s="6"/>
    </row>
    <row r="4242" spans="3:11" x14ac:dyDescent="0.25">
      <c r="C4242" s="6"/>
      <c r="G4242" s="6"/>
      <c r="K4242" s="6"/>
    </row>
    <row r="4243" spans="3:11" x14ac:dyDescent="0.25">
      <c r="C4243" s="6"/>
      <c r="G4243" s="6"/>
      <c r="K4243" s="6"/>
    </row>
    <row r="4244" spans="3:11" x14ac:dyDescent="0.25">
      <c r="C4244" s="6"/>
      <c r="G4244" s="6"/>
      <c r="K4244" s="6"/>
    </row>
    <row r="4245" spans="3:11" x14ac:dyDescent="0.25">
      <c r="C4245" s="6"/>
      <c r="G4245" s="6"/>
      <c r="K4245" s="6"/>
    </row>
    <row r="4246" spans="3:11" x14ac:dyDescent="0.25">
      <c r="C4246" s="6"/>
      <c r="G4246" s="6"/>
      <c r="K4246" s="6"/>
    </row>
    <row r="4247" spans="3:11" x14ac:dyDescent="0.25">
      <c r="C4247" s="6"/>
      <c r="G4247" s="6"/>
      <c r="K4247" s="6"/>
    </row>
    <row r="4248" spans="3:11" x14ac:dyDescent="0.25">
      <c r="C4248" s="6"/>
      <c r="G4248" s="6"/>
      <c r="K4248" s="6"/>
    </row>
    <row r="4249" spans="3:11" x14ac:dyDescent="0.25">
      <c r="C4249" s="6"/>
      <c r="G4249" s="6"/>
      <c r="K4249" s="6"/>
    </row>
    <row r="4250" spans="3:11" x14ac:dyDescent="0.25">
      <c r="C4250" s="6"/>
      <c r="G4250" s="6"/>
      <c r="K4250" s="6"/>
    </row>
    <row r="4251" spans="3:11" x14ac:dyDescent="0.25">
      <c r="C4251" s="6"/>
      <c r="G4251" s="6"/>
      <c r="K4251" s="6"/>
    </row>
    <row r="4252" spans="3:11" x14ac:dyDescent="0.25">
      <c r="C4252" s="6"/>
      <c r="G4252" s="6"/>
      <c r="K4252" s="6"/>
    </row>
    <row r="4253" spans="3:11" x14ac:dyDescent="0.25">
      <c r="C4253" s="6"/>
      <c r="G4253" s="6"/>
      <c r="K4253" s="6"/>
    </row>
    <row r="4254" spans="3:11" x14ac:dyDescent="0.25">
      <c r="C4254" s="6"/>
      <c r="G4254" s="6"/>
      <c r="K4254" s="6"/>
    </row>
    <row r="4255" spans="3:11" x14ac:dyDescent="0.25">
      <c r="C4255" s="6"/>
      <c r="G4255" s="6"/>
      <c r="K4255" s="6"/>
    </row>
    <row r="4256" spans="3:11" x14ac:dyDescent="0.25">
      <c r="C4256" s="6"/>
      <c r="G4256" s="6"/>
      <c r="K4256" s="6"/>
    </row>
    <row r="4257" spans="3:11" x14ac:dyDescent="0.25">
      <c r="C4257" s="6"/>
      <c r="G4257" s="6"/>
      <c r="K4257" s="6"/>
    </row>
    <row r="4258" spans="3:11" x14ac:dyDescent="0.25">
      <c r="C4258" s="6"/>
      <c r="G4258" s="6"/>
      <c r="K4258" s="6"/>
    </row>
    <row r="4259" spans="3:11" x14ac:dyDescent="0.25">
      <c r="C4259" s="6"/>
      <c r="G4259" s="6"/>
      <c r="K4259" s="6"/>
    </row>
    <row r="4260" spans="3:11" x14ac:dyDescent="0.25">
      <c r="C4260" s="6"/>
      <c r="G4260" s="6"/>
      <c r="K4260" s="6"/>
    </row>
    <row r="4261" spans="3:11" x14ac:dyDescent="0.25">
      <c r="C4261" s="6"/>
      <c r="G4261" s="6"/>
      <c r="K4261" s="6"/>
    </row>
    <row r="4262" spans="3:11" x14ac:dyDescent="0.25">
      <c r="C4262" s="6"/>
      <c r="G4262" s="6"/>
      <c r="K4262" s="6"/>
    </row>
    <row r="4263" spans="3:11" x14ac:dyDescent="0.25">
      <c r="C4263" s="6"/>
      <c r="G4263" s="6"/>
      <c r="K4263" s="6"/>
    </row>
    <row r="4264" spans="3:11" x14ac:dyDescent="0.25">
      <c r="C4264" s="6"/>
      <c r="G4264" s="6"/>
      <c r="K4264" s="6"/>
    </row>
    <row r="4265" spans="3:11" x14ac:dyDescent="0.25">
      <c r="C4265" s="6"/>
      <c r="G4265" s="6"/>
      <c r="K4265" s="6"/>
    </row>
    <row r="4266" spans="3:11" x14ac:dyDescent="0.25">
      <c r="C4266" s="6"/>
      <c r="G4266" s="6"/>
      <c r="K4266" s="6"/>
    </row>
    <row r="4267" spans="3:11" x14ac:dyDescent="0.25">
      <c r="C4267" s="6"/>
      <c r="G4267" s="6"/>
      <c r="K4267" s="6"/>
    </row>
    <row r="4268" spans="3:11" x14ac:dyDescent="0.25">
      <c r="C4268" s="6"/>
      <c r="G4268" s="6"/>
      <c r="K4268" s="6"/>
    </row>
    <row r="4269" spans="3:11" x14ac:dyDescent="0.25">
      <c r="C4269" s="6"/>
      <c r="G4269" s="6"/>
      <c r="K4269" s="6"/>
    </row>
    <row r="4270" spans="3:11" x14ac:dyDescent="0.25">
      <c r="C4270" s="6"/>
      <c r="G4270" s="6"/>
      <c r="K4270" s="6"/>
    </row>
    <row r="4271" spans="3:11" x14ac:dyDescent="0.25">
      <c r="C4271" s="6"/>
      <c r="G4271" s="6"/>
      <c r="K4271" s="6"/>
    </row>
    <row r="4272" spans="3:11" x14ac:dyDescent="0.25">
      <c r="C4272" s="6"/>
      <c r="G4272" s="6"/>
      <c r="K4272" s="6"/>
    </row>
    <row r="4273" spans="3:11" x14ac:dyDescent="0.25">
      <c r="C4273" s="6"/>
      <c r="G4273" s="6"/>
      <c r="K4273" s="6"/>
    </row>
    <row r="4274" spans="3:11" x14ac:dyDescent="0.25">
      <c r="C4274" s="6"/>
      <c r="G4274" s="6"/>
      <c r="K4274" s="6"/>
    </row>
    <row r="4275" spans="3:11" x14ac:dyDescent="0.25">
      <c r="C4275" s="6"/>
      <c r="G4275" s="6"/>
      <c r="K4275" s="6"/>
    </row>
    <row r="4276" spans="3:11" x14ac:dyDescent="0.25">
      <c r="C4276" s="6"/>
      <c r="G4276" s="6"/>
      <c r="K4276" s="6"/>
    </row>
    <row r="4277" spans="3:11" x14ac:dyDescent="0.25">
      <c r="C4277" s="6"/>
      <c r="G4277" s="6"/>
      <c r="K4277" s="6"/>
    </row>
    <row r="4278" spans="3:11" x14ac:dyDescent="0.25">
      <c r="C4278" s="6"/>
      <c r="G4278" s="6"/>
      <c r="K4278" s="6"/>
    </row>
    <row r="4279" spans="3:11" x14ac:dyDescent="0.25">
      <c r="C4279" s="6"/>
      <c r="G4279" s="6"/>
      <c r="K4279" s="6"/>
    </row>
    <row r="4280" spans="3:11" x14ac:dyDescent="0.25">
      <c r="C4280" s="6"/>
      <c r="G4280" s="6"/>
      <c r="K4280" s="6"/>
    </row>
    <row r="4281" spans="3:11" x14ac:dyDescent="0.25">
      <c r="C4281" s="6"/>
      <c r="G4281" s="6"/>
      <c r="K4281" s="6"/>
    </row>
    <row r="4282" spans="3:11" x14ac:dyDescent="0.25">
      <c r="C4282" s="6"/>
      <c r="G4282" s="6"/>
      <c r="K4282" s="6"/>
    </row>
    <row r="4283" spans="3:11" x14ac:dyDescent="0.25">
      <c r="C4283" s="6"/>
      <c r="G4283" s="6"/>
      <c r="K4283" s="6"/>
    </row>
    <row r="4284" spans="3:11" x14ac:dyDescent="0.25">
      <c r="C4284" s="6"/>
      <c r="G4284" s="6"/>
      <c r="K4284" s="6"/>
    </row>
    <row r="4285" spans="3:11" x14ac:dyDescent="0.25">
      <c r="C4285" s="6"/>
      <c r="G4285" s="6"/>
      <c r="K4285" s="6"/>
    </row>
    <row r="4286" spans="3:11" x14ac:dyDescent="0.25">
      <c r="C4286" s="6"/>
      <c r="G4286" s="6"/>
      <c r="K4286" s="6"/>
    </row>
    <row r="4287" spans="3:11" x14ac:dyDescent="0.25">
      <c r="C4287" s="6"/>
      <c r="G4287" s="6"/>
      <c r="K4287" s="6"/>
    </row>
    <row r="4288" spans="3:11" x14ac:dyDescent="0.25">
      <c r="C4288" s="6"/>
      <c r="G4288" s="6"/>
      <c r="K4288" s="6"/>
    </row>
    <row r="4289" spans="3:11" x14ac:dyDescent="0.25">
      <c r="C4289" s="6"/>
      <c r="G4289" s="6"/>
      <c r="K4289" s="6"/>
    </row>
    <row r="4290" spans="3:11" x14ac:dyDescent="0.25">
      <c r="C4290" s="6"/>
      <c r="G4290" s="6"/>
      <c r="K4290" s="6"/>
    </row>
    <row r="4291" spans="3:11" x14ac:dyDescent="0.25">
      <c r="C4291" s="6"/>
      <c r="G4291" s="6"/>
      <c r="K4291" s="6"/>
    </row>
    <row r="4292" spans="3:11" x14ac:dyDescent="0.25">
      <c r="C4292" s="6"/>
      <c r="G4292" s="6"/>
      <c r="K4292" s="6"/>
    </row>
    <row r="4293" spans="3:11" x14ac:dyDescent="0.25">
      <c r="C4293" s="6"/>
      <c r="G4293" s="6"/>
      <c r="K4293" s="6"/>
    </row>
    <row r="4294" spans="3:11" x14ac:dyDescent="0.25">
      <c r="C4294" s="6"/>
      <c r="G4294" s="6"/>
      <c r="K4294" s="6"/>
    </row>
    <row r="4295" spans="3:11" x14ac:dyDescent="0.25">
      <c r="C4295" s="6"/>
      <c r="G4295" s="6"/>
      <c r="K4295" s="6"/>
    </row>
    <row r="4296" spans="3:11" x14ac:dyDescent="0.25">
      <c r="C4296" s="6"/>
      <c r="G4296" s="6"/>
      <c r="K4296" s="6"/>
    </row>
    <row r="4297" spans="3:11" x14ac:dyDescent="0.25">
      <c r="C4297" s="6"/>
      <c r="G4297" s="6"/>
      <c r="K4297" s="6"/>
    </row>
    <row r="4298" spans="3:11" x14ac:dyDescent="0.25">
      <c r="C4298" s="6"/>
      <c r="G4298" s="6"/>
      <c r="K4298" s="6"/>
    </row>
    <row r="4299" spans="3:11" x14ac:dyDescent="0.25">
      <c r="C4299" s="6"/>
      <c r="G4299" s="6"/>
      <c r="K4299" s="6"/>
    </row>
    <row r="4300" spans="3:11" x14ac:dyDescent="0.25">
      <c r="C4300" s="6"/>
      <c r="G4300" s="6"/>
      <c r="K4300" s="6"/>
    </row>
    <row r="4301" spans="3:11" x14ac:dyDescent="0.25">
      <c r="C4301" s="6"/>
      <c r="G4301" s="6"/>
      <c r="K4301" s="6"/>
    </row>
    <row r="4302" spans="3:11" x14ac:dyDescent="0.25">
      <c r="C4302" s="6"/>
      <c r="G4302" s="6"/>
      <c r="K4302" s="6"/>
    </row>
    <row r="4303" spans="3:11" x14ac:dyDescent="0.25">
      <c r="C4303" s="6"/>
      <c r="G4303" s="6"/>
      <c r="K4303" s="6"/>
    </row>
    <row r="4304" spans="3:11" x14ac:dyDescent="0.25">
      <c r="C4304" s="6"/>
      <c r="G4304" s="6"/>
      <c r="K4304" s="6"/>
    </row>
    <row r="4305" spans="3:11" x14ac:dyDescent="0.25">
      <c r="C4305" s="6"/>
      <c r="G4305" s="6"/>
      <c r="K4305" s="6"/>
    </row>
    <row r="4306" spans="3:11" x14ac:dyDescent="0.25">
      <c r="C4306" s="6"/>
      <c r="G4306" s="6"/>
      <c r="K4306" s="6"/>
    </row>
    <row r="4307" spans="3:11" x14ac:dyDescent="0.25">
      <c r="C4307" s="6"/>
      <c r="G4307" s="6"/>
      <c r="K4307" s="6"/>
    </row>
    <row r="4308" spans="3:11" x14ac:dyDescent="0.25">
      <c r="C4308" s="6"/>
      <c r="G4308" s="6"/>
      <c r="K4308" s="6"/>
    </row>
    <row r="4309" spans="3:11" x14ac:dyDescent="0.25">
      <c r="C4309" s="6"/>
      <c r="G4309" s="6"/>
      <c r="K4309" s="6"/>
    </row>
    <row r="4310" spans="3:11" x14ac:dyDescent="0.25">
      <c r="C4310" s="6"/>
      <c r="G4310" s="6"/>
      <c r="K4310" s="6"/>
    </row>
    <row r="4311" spans="3:11" x14ac:dyDescent="0.25">
      <c r="C4311" s="6"/>
      <c r="G4311" s="6"/>
      <c r="K4311" s="6"/>
    </row>
    <row r="4312" spans="3:11" x14ac:dyDescent="0.25">
      <c r="C4312" s="6"/>
      <c r="G4312" s="6"/>
      <c r="K4312" s="6"/>
    </row>
    <row r="4313" spans="3:11" x14ac:dyDescent="0.25">
      <c r="C4313" s="6"/>
      <c r="G4313" s="6"/>
      <c r="K4313" s="6"/>
    </row>
    <row r="4314" spans="3:11" x14ac:dyDescent="0.25">
      <c r="C4314" s="6"/>
      <c r="G4314" s="6"/>
      <c r="K4314" s="6"/>
    </row>
    <row r="4315" spans="3:11" x14ac:dyDescent="0.25">
      <c r="C4315" s="6"/>
      <c r="G4315" s="6"/>
      <c r="K4315" s="6"/>
    </row>
    <row r="4316" spans="3:11" x14ac:dyDescent="0.25">
      <c r="C4316" s="6"/>
      <c r="G4316" s="6"/>
      <c r="K4316" s="6"/>
    </row>
    <row r="4317" spans="3:11" x14ac:dyDescent="0.25">
      <c r="C4317" s="6"/>
      <c r="G4317" s="6"/>
      <c r="K4317" s="6"/>
    </row>
    <row r="4318" spans="3:11" x14ac:dyDescent="0.25">
      <c r="C4318" s="6"/>
      <c r="G4318" s="6"/>
      <c r="K4318" s="6"/>
    </row>
    <row r="4319" spans="3:11" x14ac:dyDescent="0.25">
      <c r="C4319" s="6"/>
      <c r="G4319" s="6"/>
      <c r="K4319" s="6"/>
    </row>
    <row r="4320" spans="3:11" x14ac:dyDescent="0.25">
      <c r="C4320" s="6"/>
      <c r="G4320" s="6"/>
      <c r="K4320" s="6"/>
    </row>
    <row r="4321" spans="3:11" x14ac:dyDescent="0.25">
      <c r="C4321" s="6"/>
      <c r="G4321" s="6"/>
      <c r="K4321" s="6"/>
    </row>
    <row r="4322" spans="3:11" x14ac:dyDescent="0.25">
      <c r="C4322" s="6"/>
      <c r="G4322" s="6"/>
      <c r="K4322" s="6"/>
    </row>
    <row r="4323" spans="3:11" x14ac:dyDescent="0.25">
      <c r="C4323" s="6"/>
      <c r="G4323" s="6"/>
      <c r="K4323" s="6"/>
    </row>
    <row r="4324" spans="3:11" x14ac:dyDescent="0.25">
      <c r="C4324" s="6"/>
      <c r="G4324" s="6"/>
      <c r="K4324" s="6"/>
    </row>
    <row r="4325" spans="3:11" x14ac:dyDescent="0.25">
      <c r="C4325" s="6"/>
      <c r="G4325" s="6"/>
      <c r="K4325" s="6"/>
    </row>
    <row r="4326" spans="3:11" x14ac:dyDescent="0.25">
      <c r="C4326" s="6"/>
      <c r="G4326" s="6"/>
      <c r="K4326" s="6"/>
    </row>
    <row r="4327" spans="3:11" x14ac:dyDescent="0.25">
      <c r="C4327" s="6"/>
      <c r="G4327" s="6"/>
      <c r="K4327" s="6"/>
    </row>
    <row r="4328" spans="3:11" x14ac:dyDescent="0.25">
      <c r="C4328" s="6"/>
      <c r="G4328" s="6"/>
      <c r="K4328" s="6"/>
    </row>
    <row r="4329" spans="3:11" x14ac:dyDescent="0.25">
      <c r="C4329" s="6"/>
      <c r="G4329" s="6"/>
      <c r="K4329" s="6"/>
    </row>
    <row r="4330" spans="3:11" x14ac:dyDescent="0.25">
      <c r="C4330" s="6"/>
      <c r="G4330" s="6"/>
      <c r="K4330" s="6"/>
    </row>
    <row r="4331" spans="3:11" x14ac:dyDescent="0.25">
      <c r="C4331" s="6"/>
      <c r="G4331" s="6"/>
      <c r="K4331" s="6"/>
    </row>
    <row r="4332" spans="3:11" x14ac:dyDescent="0.25">
      <c r="C4332" s="6"/>
      <c r="G4332" s="6"/>
      <c r="K4332" s="6"/>
    </row>
    <row r="4333" spans="3:11" x14ac:dyDescent="0.25">
      <c r="C4333" s="6"/>
      <c r="G4333" s="6"/>
      <c r="K4333" s="6"/>
    </row>
    <row r="4334" spans="3:11" x14ac:dyDescent="0.25">
      <c r="C4334" s="6"/>
      <c r="G4334" s="6"/>
      <c r="K4334" s="6"/>
    </row>
    <row r="4335" spans="3:11" x14ac:dyDescent="0.25">
      <c r="C4335" s="6"/>
      <c r="G4335" s="6"/>
      <c r="K4335" s="6"/>
    </row>
    <row r="4336" spans="3:11" x14ac:dyDescent="0.25">
      <c r="C4336" s="6"/>
      <c r="G4336" s="6"/>
      <c r="K4336" s="6"/>
    </row>
    <row r="4337" spans="3:11" x14ac:dyDescent="0.25">
      <c r="C4337" s="6"/>
      <c r="G4337" s="6"/>
      <c r="K4337" s="6"/>
    </row>
    <row r="4338" spans="3:11" x14ac:dyDescent="0.25">
      <c r="C4338" s="6"/>
      <c r="G4338" s="6"/>
      <c r="K4338" s="6"/>
    </row>
    <row r="4339" spans="3:11" x14ac:dyDescent="0.25">
      <c r="C4339" s="6"/>
      <c r="G4339" s="6"/>
      <c r="K4339" s="6"/>
    </row>
    <row r="4340" spans="3:11" x14ac:dyDescent="0.25">
      <c r="C4340" s="6"/>
      <c r="G4340" s="6"/>
      <c r="K4340" s="6"/>
    </row>
    <row r="4341" spans="3:11" x14ac:dyDescent="0.25">
      <c r="C4341" s="6"/>
      <c r="G4341" s="6"/>
      <c r="K4341" s="6"/>
    </row>
    <row r="4342" spans="3:11" x14ac:dyDescent="0.25">
      <c r="C4342" s="6"/>
      <c r="G4342" s="6"/>
      <c r="K4342" s="6"/>
    </row>
    <row r="4343" spans="3:11" x14ac:dyDescent="0.25">
      <c r="C4343" s="6"/>
      <c r="G4343" s="6"/>
      <c r="K4343" s="6"/>
    </row>
    <row r="4344" spans="3:11" x14ac:dyDescent="0.25">
      <c r="C4344" s="6"/>
      <c r="G4344" s="6"/>
      <c r="K4344" s="6"/>
    </row>
    <row r="4345" spans="3:11" x14ac:dyDescent="0.25">
      <c r="C4345" s="6"/>
      <c r="G4345" s="6"/>
      <c r="K4345" s="6"/>
    </row>
    <row r="4346" spans="3:11" x14ac:dyDescent="0.25">
      <c r="C4346" s="6"/>
      <c r="G4346" s="6"/>
      <c r="K4346" s="6"/>
    </row>
    <row r="4347" spans="3:11" x14ac:dyDescent="0.25">
      <c r="C4347" s="6"/>
      <c r="G4347" s="6"/>
      <c r="K4347" s="6"/>
    </row>
    <row r="4348" spans="3:11" x14ac:dyDescent="0.25">
      <c r="C4348" s="6"/>
      <c r="G4348" s="6"/>
      <c r="K4348" s="6"/>
    </row>
    <row r="4349" spans="3:11" x14ac:dyDescent="0.25">
      <c r="C4349" s="6"/>
      <c r="G4349" s="6"/>
      <c r="K4349" s="6"/>
    </row>
    <row r="4350" spans="3:11" x14ac:dyDescent="0.25">
      <c r="C4350" s="6"/>
      <c r="G4350" s="6"/>
      <c r="K4350" s="6"/>
    </row>
    <row r="4351" spans="3:11" x14ac:dyDescent="0.25">
      <c r="C4351" s="6"/>
      <c r="G4351" s="6"/>
      <c r="K4351" s="6"/>
    </row>
    <row r="4352" spans="3:11" x14ac:dyDescent="0.25">
      <c r="C4352" s="6"/>
      <c r="G4352" s="6"/>
      <c r="K4352" s="6"/>
    </row>
    <row r="4353" spans="3:11" x14ac:dyDescent="0.25">
      <c r="C4353" s="6"/>
      <c r="G4353" s="6"/>
      <c r="K4353" s="6"/>
    </row>
    <row r="4354" spans="3:11" x14ac:dyDescent="0.25">
      <c r="C4354" s="6"/>
      <c r="G4354" s="6"/>
      <c r="K4354" s="6"/>
    </row>
    <row r="4355" spans="3:11" x14ac:dyDescent="0.25">
      <c r="C4355" s="6"/>
      <c r="G4355" s="6"/>
      <c r="K4355" s="6"/>
    </row>
    <row r="4356" spans="3:11" x14ac:dyDescent="0.25">
      <c r="C4356" s="6"/>
      <c r="G4356" s="6"/>
      <c r="K4356" s="6"/>
    </row>
    <row r="4357" spans="3:11" x14ac:dyDescent="0.25">
      <c r="C4357" s="6"/>
      <c r="G4357" s="6"/>
      <c r="K4357" s="6"/>
    </row>
    <row r="4358" spans="3:11" x14ac:dyDescent="0.25">
      <c r="C4358" s="6"/>
      <c r="G4358" s="6"/>
      <c r="K4358" s="6"/>
    </row>
    <row r="4359" spans="3:11" x14ac:dyDescent="0.25">
      <c r="C4359" s="6"/>
      <c r="G4359" s="6"/>
      <c r="K4359" s="6"/>
    </row>
    <row r="4360" spans="3:11" x14ac:dyDescent="0.25">
      <c r="C4360" s="6"/>
      <c r="G4360" s="6"/>
      <c r="K4360" s="6"/>
    </row>
    <row r="4361" spans="3:11" x14ac:dyDescent="0.25">
      <c r="C4361" s="6"/>
      <c r="G4361" s="6"/>
      <c r="K4361" s="6"/>
    </row>
    <row r="4362" spans="3:11" x14ac:dyDescent="0.25">
      <c r="C4362" s="6"/>
      <c r="G4362" s="6"/>
      <c r="K4362" s="6"/>
    </row>
    <row r="4363" spans="3:11" x14ac:dyDescent="0.25">
      <c r="C4363" s="6"/>
      <c r="G4363" s="6"/>
      <c r="K4363" s="6"/>
    </row>
    <row r="4364" spans="3:11" x14ac:dyDescent="0.25">
      <c r="C4364" s="6"/>
      <c r="G4364" s="6"/>
      <c r="K4364" s="6"/>
    </row>
    <row r="4365" spans="3:11" x14ac:dyDescent="0.25">
      <c r="C4365" s="6"/>
      <c r="G4365" s="6"/>
      <c r="K4365" s="6"/>
    </row>
    <row r="4366" spans="3:11" x14ac:dyDescent="0.25">
      <c r="C4366" s="6"/>
      <c r="G4366" s="6"/>
      <c r="K4366" s="6"/>
    </row>
    <row r="4367" spans="3:11" x14ac:dyDescent="0.25">
      <c r="C4367" s="6"/>
      <c r="G4367" s="6"/>
      <c r="K4367" s="6"/>
    </row>
    <row r="4368" spans="3:11" x14ac:dyDescent="0.25">
      <c r="C4368" s="6"/>
      <c r="G4368" s="6"/>
      <c r="K4368" s="6"/>
    </row>
    <row r="4369" spans="3:11" x14ac:dyDescent="0.25">
      <c r="C4369" s="6"/>
      <c r="G4369" s="6"/>
      <c r="K4369" s="6"/>
    </row>
    <row r="4370" spans="3:11" x14ac:dyDescent="0.25">
      <c r="C4370" s="6"/>
      <c r="G4370" s="6"/>
      <c r="K4370" s="6"/>
    </row>
    <row r="4371" spans="3:11" x14ac:dyDescent="0.25">
      <c r="C4371" s="6"/>
      <c r="G4371" s="6"/>
      <c r="K4371" s="6"/>
    </row>
    <row r="4372" spans="3:11" x14ac:dyDescent="0.25">
      <c r="C4372" s="6"/>
      <c r="G4372" s="6"/>
      <c r="K4372" s="6"/>
    </row>
    <row r="4373" spans="3:11" x14ac:dyDescent="0.25">
      <c r="C4373" s="6"/>
      <c r="G4373" s="6"/>
      <c r="K4373" s="6"/>
    </row>
    <row r="4374" spans="3:11" x14ac:dyDescent="0.25">
      <c r="C4374" s="6"/>
      <c r="G4374" s="6"/>
      <c r="K4374" s="6"/>
    </row>
    <row r="4375" spans="3:11" x14ac:dyDescent="0.25">
      <c r="C4375" s="6"/>
      <c r="G4375" s="6"/>
      <c r="K4375" s="6"/>
    </row>
    <row r="4376" spans="3:11" x14ac:dyDescent="0.25">
      <c r="C4376" s="6"/>
      <c r="G4376" s="6"/>
      <c r="K4376" s="6"/>
    </row>
    <row r="4377" spans="3:11" x14ac:dyDescent="0.25">
      <c r="C4377" s="6"/>
      <c r="G4377" s="6"/>
      <c r="K4377" s="6"/>
    </row>
    <row r="4378" spans="3:11" x14ac:dyDescent="0.25">
      <c r="C4378" s="6"/>
      <c r="G4378" s="6"/>
      <c r="K4378" s="6"/>
    </row>
    <row r="4379" spans="3:11" x14ac:dyDescent="0.25">
      <c r="C4379" s="6"/>
      <c r="G4379" s="6"/>
      <c r="K4379" s="6"/>
    </row>
    <row r="4380" spans="3:11" x14ac:dyDescent="0.25">
      <c r="C4380" s="6"/>
      <c r="G4380" s="6"/>
      <c r="K4380" s="6"/>
    </row>
    <row r="4381" spans="3:11" x14ac:dyDescent="0.25">
      <c r="C4381" s="6"/>
      <c r="G4381" s="6"/>
      <c r="K4381" s="6"/>
    </row>
    <row r="4382" spans="3:11" x14ac:dyDescent="0.25">
      <c r="C4382" s="6"/>
      <c r="G4382" s="6"/>
      <c r="K4382" s="6"/>
    </row>
    <row r="4383" spans="3:11" x14ac:dyDescent="0.25">
      <c r="C4383" s="6"/>
      <c r="G4383" s="6"/>
      <c r="K4383" s="6"/>
    </row>
    <row r="4384" spans="3:11" x14ac:dyDescent="0.25">
      <c r="C4384" s="6"/>
      <c r="G4384" s="6"/>
      <c r="K4384" s="6"/>
    </row>
    <row r="4385" spans="3:11" x14ac:dyDescent="0.25">
      <c r="C4385" s="6"/>
      <c r="G4385" s="6"/>
      <c r="K4385" s="6"/>
    </row>
    <row r="4386" spans="3:11" x14ac:dyDescent="0.25">
      <c r="C4386" s="6"/>
      <c r="G4386" s="6"/>
      <c r="K4386" s="6"/>
    </row>
    <row r="4387" spans="3:11" x14ac:dyDescent="0.25">
      <c r="C4387" s="6"/>
      <c r="G4387" s="6"/>
      <c r="K4387" s="6"/>
    </row>
    <row r="4388" spans="3:11" x14ac:dyDescent="0.25">
      <c r="C4388" s="6"/>
      <c r="G4388" s="6"/>
      <c r="K4388" s="6"/>
    </row>
    <row r="4389" spans="3:11" x14ac:dyDescent="0.25">
      <c r="C4389" s="6"/>
      <c r="G4389" s="6"/>
      <c r="K4389" s="6"/>
    </row>
    <row r="4390" spans="3:11" x14ac:dyDescent="0.25">
      <c r="C4390" s="6"/>
      <c r="G4390" s="6"/>
      <c r="K4390" s="6"/>
    </row>
    <row r="4391" spans="3:11" x14ac:dyDescent="0.25">
      <c r="C4391" s="6"/>
      <c r="G4391" s="6"/>
      <c r="K4391" s="6"/>
    </row>
    <row r="4392" spans="3:11" x14ac:dyDescent="0.25">
      <c r="C4392" s="6"/>
      <c r="G4392" s="6"/>
      <c r="K4392" s="6"/>
    </row>
    <row r="4393" spans="3:11" x14ac:dyDescent="0.25">
      <c r="C4393" s="6"/>
      <c r="G4393" s="6"/>
      <c r="K4393" s="6"/>
    </row>
    <row r="4394" spans="3:11" x14ac:dyDescent="0.25">
      <c r="C4394" s="6"/>
      <c r="G4394" s="6"/>
      <c r="K4394" s="6"/>
    </row>
    <row r="4395" spans="3:11" x14ac:dyDescent="0.25">
      <c r="C4395" s="6"/>
      <c r="G4395" s="6"/>
      <c r="K4395" s="6"/>
    </row>
    <row r="4396" spans="3:11" x14ac:dyDescent="0.25">
      <c r="C4396" s="6"/>
      <c r="G4396" s="6"/>
      <c r="K4396" s="6"/>
    </row>
    <row r="4397" spans="3:11" x14ac:dyDescent="0.25">
      <c r="C4397" s="6"/>
      <c r="G4397" s="6"/>
      <c r="K4397" s="6"/>
    </row>
    <row r="4398" spans="3:11" x14ac:dyDescent="0.25">
      <c r="C4398" s="6"/>
      <c r="G4398" s="6"/>
      <c r="K4398" s="6"/>
    </row>
    <row r="4399" spans="3:11" x14ac:dyDescent="0.25">
      <c r="C4399" s="6"/>
      <c r="G4399" s="6"/>
      <c r="K4399" s="6"/>
    </row>
    <row r="4400" spans="3:11" x14ac:dyDescent="0.25">
      <c r="C4400" s="6"/>
      <c r="G4400" s="6"/>
      <c r="K4400" s="6"/>
    </row>
    <row r="4401" spans="3:11" x14ac:dyDescent="0.25">
      <c r="C4401" s="6"/>
      <c r="G4401" s="6"/>
      <c r="K4401" s="6"/>
    </row>
    <row r="4402" spans="3:11" x14ac:dyDescent="0.25">
      <c r="C4402" s="6"/>
      <c r="G4402" s="6"/>
      <c r="K4402" s="6"/>
    </row>
    <row r="4403" spans="3:11" x14ac:dyDescent="0.25">
      <c r="C4403" s="6"/>
      <c r="G4403" s="6"/>
      <c r="K4403" s="6"/>
    </row>
    <row r="4404" spans="3:11" x14ac:dyDescent="0.25">
      <c r="C4404" s="6"/>
      <c r="G4404" s="6"/>
      <c r="K4404" s="6"/>
    </row>
    <row r="4405" spans="3:11" x14ac:dyDescent="0.25">
      <c r="C4405" s="6"/>
      <c r="G4405" s="6"/>
      <c r="K4405" s="6"/>
    </row>
    <row r="4406" spans="3:11" x14ac:dyDescent="0.25">
      <c r="C4406" s="6"/>
      <c r="G4406" s="6"/>
      <c r="K4406" s="6"/>
    </row>
    <row r="4407" spans="3:11" x14ac:dyDescent="0.25">
      <c r="C4407" s="6"/>
      <c r="G4407" s="6"/>
      <c r="K4407" s="6"/>
    </row>
    <row r="4408" spans="3:11" x14ac:dyDescent="0.25">
      <c r="C4408" s="6"/>
      <c r="G4408" s="6"/>
      <c r="K4408" s="6"/>
    </row>
    <row r="4409" spans="3:11" x14ac:dyDescent="0.25">
      <c r="C4409" s="6"/>
      <c r="G4409" s="6"/>
      <c r="K4409" s="6"/>
    </row>
    <row r="4410" spans="3:11" x14ac:dyDescent="0.25">
      <c r="C4410" s="6"/>
      <c r="G4410" s="6"/>
      <c r="K4410" s="6"/>
    </row>
    <row r="4411" spans="3:11" x14ac:dyDescent="0.25">
      <c r="C4411" s="6"/>
      <c r="G4411" s="6"/>
      <c r="K4411" s="6"/>
    </row>
    <row r="4412" spans="3:11" x14ac:dyDescent="0.25">
      <c r="C4412" s="6"/>
      <c r="G4412" s="6"/>
      <c r="K4412" s="6"/>
    </row>
    <row r="4413" spans="3:11" x14ac:dyDescent="0.25">
      <c r="C4413" s="6"/>
      <c r="G4413" s="6"/>
      <c r="K4413" s="6"/>
    </row>
    <row r="4414" spans="3:11" x14ac:dyDescent="0.25">
      <c r="C4414" s="6"/>
      <c r="G4414" s="6"/>
      <c r="K4414" s="6"/>
    </row>
    <row r="4415" spans="3:11" x14ac:dyDescent="0.25">
      <c r="C4415" s="6"/>
      <c r="G4415" s="6"/>
      <c r="K4415" s="6"/>
    </row>
    <row r="4416" spans="3:11" x14ac:dyDescent="0.25">
      <c r="C4416" s="6"/>
      <c r="G4416" s="6"/>
      <c r="K4416" s="6"/>
    </row>
    <row r="4417" spans="3:11" x14ac:dyDescent="0.25">
      <c r="C4417" s="6"/>
      <c r="G4417" s="6"/>
      <c r="K4417" s="6"/>
    </row>
    <row r="4418" spans="3:11" x14ac:dyDescent="0.25">
      <c r="C4418" s="6"/>
      <c r="G4418" s="6"/>
      <c r="K4418" s="6"/>
    </row>
    <row r="4419" spans="3:11" x14ac:dyDescent="0.25">
      <c r="C4419" s="6"/>
      <c r="G4419" s="6"/>
      <c r="K4419" s="6"/>
    </row>
    <row r="4420" spans="3:11" x14ac:dyDescent="0.25">
      <c r="C4420" s="6"/>
      <c r="G4420" s="6"/>
      <c r="K4420" s="6"/>
    </row>
    <row r="4421" spans="3:11" x14ac:dyDescent="0.25">
      <c r="C4421" s="6"/>
      <c r="G4421" s="6"/>
      <c r="K4421" s="6"/>
    </row>
    <row r="4422" spans="3:11" x14ac:dyDescent="0.25">
      <c r="C4422" s="6"/>
      <c r="G4422" s="6"/>
      <c r="K4422" s="6"/>
    </row>
    <row r="4423" spans="3:11" x14ac:dyDescent="0.25">
      <c r="C4423" s="6"/>
      <c r="G4423" s="6"/>
      <c r="K4423" s="6"/>
    </row>
    <row r="4424" spans="3:11" x14ac:dyDescent="0.25">
      <c r="C4424" s="6"/>
      <c r="G4424" s="6"/>
      <c r="K4424" s="6"/>
    </row>
    <row r="4425" spans="3:11" x14ac:dyDescent="0.25">
      <c r="C4425" s="6"/>
      <c r="G4425" s="6"/>
      <c r="K4425" s="6"/>
    </row>
    <row r="4426" spans="3:11" x14ac:dyDescent="0.25">
      <c r="C4426" s="6"/>
      <c r="G4426" s="6"/>
      <c r="K4426" s="6"/>
    </row>
    <row r="4427" spans="3:11" x14ac:dyDescent="0.25">
      <c r="C4427" s="6"/>
      <c r="G4427" s="6"/>
      <c r="K4427" s="6"/>
    </row>
    <row r="4428" spans="3:11" x14ac:dyDescent="0.25">
      <c r="C4428" s="6"/>
      <c r="G4428" s="6"/>
      <c r="K4428" s="6"/>
    </row>
    <row r="4429" spans="3:11" x14ac:dyDescent="0.25">
      <c r="C4429" s="6"/>
      <c r="G4429" s="6"/>
      <c r="K4429" s="6"/>
    </row>
    <row r="4430" spans="3:11" x14ac:dyDescent="0.25">
      <c r="C4430" s="6"/>
      <c r="G4430" s="6"/>
      <c r="K4430" s="6"/>
    </row>
    <row r="4431" spans="3:11" x14ac:dyDescent="0.25">
      <c r="C4431" s="6"/>
      <c r="G4431" s="6"/>
      <c r="K4431" s="6"/>
    </row>
    <row r="4432" spans="3:11" x14ac:dyDescent="0.25">
      <c r="C4432" s="6"/>
      <c r="G4432" s="6"/>
      <c r="K4432" s="6"/>
    </row>
    <row r="4433" spans="3:11" x14ac:dyDescent="0.25">
      <c r="C4433" s="6"/>
      <c r="G4433" s="6"/>
      <c r="K4433" s="6"/>
    </row>
    <row r="4434" spans="3:11" x14ac:dyDescent="0.25">
      <c r="C4434" s="6"/>
      <c r="G4434" s="6"/>
      <c r="K4434" s="6"/>
    </row>
    <row r="4435" spans="3:11" x14ac:dyDescent="0.25">
      <c r="C4435" s="6"/>
      <c r="G4435" s="6"/>
      <c r="K4435" s="6"/>
    </row>
    <row r="4436" spans="3:11" x14ac:dyDescent="0.25">
      <c r="C4436" s="6"/>
      <c r="G4436" s="6"/>
      <c r="K4436" s="6"/>
    </row>
    <row r="4437" spans="3:11" x14ac:dyDescent="0.25">
      <c r="C4437" s="6"/>
      <c r="G4437" s="6"/>
      <c r="K4437" s="6"/>
    </row>
    <row r="4438" spans="3:11" x14ac:dyDescent="0.25">
      <c r="C4438" s="6"/>
      <c r="G4438" s="6"/>
      <c r="K4438" s="6"/>
    </row>
    <row r="4439" spans="3:11" x14ac:dyDescent="0.25">
      <c r="C4439" s="6"/>
      <c r="G4439" s="6"/>
      <c r="K4439" s="6"/>
    </row>
    <row r="4440" spans="3:11" x14ac:dyDescent="0.25">
      <c r="C4440" s="6"/>
      <c r="G4440" s="6"/>
      <c r="K4440" s="6"/>
    </row>
    <row r="4441" spans="3:11" x14ac:dyDescent="0.25">
      <c r="C4441" s="6"/>
      <c r="G4441" s="6"/>
      <c r="K4441" s="6"/>
    </row>
    <row r="4442" spans="3:11" x14ac:dyDescent="0.25">
      <c r="C4442" s="6"/>
      <c r="G4442" s="6"/>
      <c r="K4442" s="6"/>
    </row>
    <row r="4443" spans="3:11" x14ac:dyDescent="0.25">
      <c r="C4443" s="6"/>
      <c r="G4443" s="6"/>
      <c r="K4443" s="6"/>
    </row>
    <row r="4444" spans="3:11" x14ac:dyDescent="0.25">
      <c r="C4444" s="6"/>
      <c r="G4444" s="6"/>
      <c r="K4444" s="6"/>
    </row>
    <row r="4445" spans="3:11" x14ac:dyDescent="0.25">
      <c r="C4445" s="6"/>
      <c r="G4445" s="6"/>
      <c r="K4445" s="6"/>
    </row>
    <row r="4446" spans="3:11" x14ac:dyDescent="0.25">
      <c r="C4446" s="6"/>
      <c r="G4446" s="6"/>
      <c r="K4446" s="6"/>
    </row>
    <row r="4447" spans="3:11" x14ac:dyDescent="0.25">
      <c r="C4447" s="6"/>
      <c r="G4447" s="6"/>
      <c r="K4447" s="6"/>
    </row>
    <row r="4448" spans="3:11" x14ac:dyDescent="0.25">
      <c r="C4448" s="6"/>
      <c r="G4448" s="6"/>
      <c r="K4448" s="6"/>
    </row>
    <row r="4449" spans="3:11" x14ac:dyDescent="0.25">
      <c r="C4449" s="6"/>
      <c r="G4449" s="6"/>
      <c r="K4449" s="6"/>
    </row>
    <row r="4450" spans="3:11" x14ac:dyDescent="0.25">
      <c r="C4450" s="6"/>
      <c r="G4450" s="6"/>
      <c r="K4450" s="6"/>
    </row>
    <row r="4451" spans="3:11" x14ac:dyDescent="0.25">
      <c r="C4451" s="6"/>
      <c r="G4451" s="6"/>
      <c r="K4451" s="6"/>
    </row>
    <row r="4452" spans="3:11" x14ac:dyDescent="0.25">
      <c r="C4452" s="6"/>
      <c r="G4452" s="6"/>
      <c r="K4452" s="6"/>
    </row>
    <row r="4453" spans="3:11" x14ac:dyDescent="0.25">
      <c r="C4453" s="6"/>
      <c r="G4453" s="6"/>
      <c r="K4453" s="6"/>
    </row>
    <row r="4454" spans="3:11" x14ac:dyDescent="0.25">
      <c r="C4454" s="6"/>
      <c r="G4454" s="6"/>
      <c r="K4454" s="6"/>
    </row>
    <row r="4455" spans="3:11" x14ac:dyDescent="0.25">
      <c r="C4455" s="6"/>
      <c r="G4455" s="6"/>
      <c r="K4455" s="6"/>
    </row>
    <row r="4456" spans="3:11" x14ac:dyDescent="0.25">
      <c r="C4456" s="6"/>
      <c r="G4456" s="6"/>
      <c r="K4456" s="6"/>
    </row>
    <row r="4457" spans="3:11" x14ac:dyDescent="0.25">
      <c r="C4457" s="6"/>
      <c r="G4457" s="6"/>
      <c r="K4457" s="6"/>
    </row>
    <row r="4458" spans="3:11" x14ac:dyDescent="0.25">
      <c r="C4458" s="6"/>
      <c r="G4458" s="6"/>
      <c r="K4458" s="6"/>
    </row>
    <row r="4459" spans="3:11" x14ac:dyDescent="0.25">
      <c r="C4459" s="6"/>
      <c r="G4459" s="6"/>
      <c r="K4459" s="6"/>
    </row>
    <row r="4460" spans="3:11" x14ac:dyDescent="0.25">
      <c r="C4460" s="6"/>
      <c r="G4460" s="6"/>
      <c r="K4460" s="6"/>
    </row>
    <row r="4461" spans="3:11" x14ac:dyDescent="0.25">
      <c r="C4461" s="6"/>
      <c r="G4461" s="6"/>
      <c r="K4461" s="6"/>
    </row>
    <row r="4462" spans="3:11" x14ac:dyDescent="0.25">
      <c r="C4462" s="6"/>
      <c r="G4462" s="6"/>
      <c r="K4462" s="6"/>
    </row>
    <row r="4463" spans="3:11" x14ac:dyDescent="0.25">
      <c r="C4463" s="6"/>
      <c r="G4463" s="6"/>
      <c r="K4463" s="6"/>
    </row>
    <row r="4464" spans="3:11" x14ac:dyDescent="0.25">
      <c r="C4464" s="6"/>
      <c r="G4464" s="6"/>
      <c r="K4464" s="6"/>
    </row>
    <row r="4465" spans="3:11" x14ac:dyDescent="0.25">
      <c r="C4465" s="6"/>
      <c r="G4465" s="6"/>
      <c r="K4465" s="6"/>
    </row>
    <row r="4466" spans="3:11" x14ac:dyDescent="0.25">
      <c r="C4466" s="6"/>
      <c r="G4466" s="6"/>
      <c r="K4466" s="6"/>
    </row>
    <row r="4467" spans="3:11" x14ac:dyDescent="0.25">
      <c r="C4467" s="6"/>
      <c r="G4467" s="6"/>
      <c r="K4467" s="6"/>
    </row>
    <row r="4468" spans="3:11" x14ac:dyDescent="0.25">
      <c r="C4468" s="6"/>
      <c r="G4468" s="6"/>
      <c r="K4468" s="6"/>
    </row>
    <row r="4469" spans="3:11" x14ac:dyDescent="0.25">
      <c r="C4469" s="6"/>
      <c r="G4469" s="6"/>
      <c r="K4469" s="6"/>
    </row>
    <row r="4470" spans="3:11" x14ac:dyDescent="0.25">
      <c r="C4470" s="6"/>
      <c r="G4470" s="6"/>
      <c r="K4470" s="6"/>
    </row>
    <row r="4471" spans="3:11" x14ac:dyDescent="0.25">
      <c r="C4471" s="6"/>
      <c r="G4471" s="6"/>
      <c r="K4471" s="6"/>
    </row>
    <row r="4472" spans="3:11" x14ac:dyDescent="0.25">
      <c r="C4472" s="6"/>
      <c r="G4472" s="6"/>
      <c r="K4472" s="6"/>
    </row>
    <row r="4473" spans="3:11" x14ac:dyDescent="0.25">
      <c r="C4473" s="6"/>
      <c r="G4473" s="6"/>
      <c r="K4473" s="6"/>
    </row>
    <row r="4474" spans="3:11" x14ac:dyDescent="0.25">
      <c r="C4474" s="6"/>
      <c r="G4474" s="6"/>
      <c r="K4474" s="6"/>
    </row>
    <row r="4475" spans="3:11" x14ac:dyDescent="0.25">
      <c r="C4475" s="6"/>
      <c r="G4475" s="6"/>
      <c r="K4475" s="6"/>
    </row>
    <row r="4476" spans="3:11" x14ac:dyDescent="0.25">
      <c r="C4476" s="6"/>
      <c r="G4476" s="6"/>
      <c r="K4476" s="6"/>
    </row>
    <row r="4477" spans="3:11" x14ac:dyDescent="0.25">
      <c r="C4477" s="6"/>
      <c r="G4477" s="6"/>
      <c r="K4477" s="6"/>
    </row>
    <row r="4478" spans="3:11" x14ac:dyDescent="0.25">
      <c r="C4478" s="6"/>
      <c r="G4478" s="6"/>
      <c r="K4478" s="6"/>
    </row>
    <row r="4479" spans="3:11" x14ac:dyDescent="0.25">
      <c r="C4479" s="6"/>
      <c r="G4479" s="6"/>
      <c r="K4479" s="6"/>
    </row>
    <row r="4480" spans="3:11" x14ac:dyDescent="0.25">
      <c r="C4480" s="6"/>
      <c r="G4480" s="6"/>
      <c r="K4480" s="6"/>
    </row>
    <row r="4481" spans="3:11" x14ac:dyDescent="0.25">
      <c r="C4481" s="6"/>
      <c r="G4481" s="6"/>
      <c r="K4481" s="6"/>
    </row>
    <row r="4482" spans="3:11" x14ac:dyDescent="0.25">
      <c r="C4482" s="6"/>
      <c r="G4482" s="6"/>
      <c r="K4482" s="6"/>
    </row>
    <row r="4483" spans="3:11" x14ac:dyDescent="0.25">
      <c r="C4483" s="6"/>
      <c r="G4483" s="6"/>
      <c r="K4483" s="6"/>
    </row>
    <row r="4484" spans="3:11" x14ac:dyDescent="0.25">
      <c r="C4484" s="6"/>
      <c r="G4484" s="6"/>
      <c r="K4484" s="6"/>
    </row>
    <row r="4485" spans="3:11" x14ac:dyDescent="0.25">
      <c r="C4485" s="6"/>
      <c r="G4485" s="6"/>
      <c r="K4485" s="6"/>
    </row>
    <row r="4486" spans="3:11" x14ac:dyDescent="0.25">
      <c r="C4486" s="6"/>
      <c r="G4486" s="6"/>
      <c r="K4486" s="6"/>
    </row>
    <row r="4487" spans="3:11" x14ac:dyDescent="0.25">
      <c r="C4487" s="6"/>
      <c r="G4487" s="6"/>
      <c r="K4487" s="6"/>
    </row>
    <row r="4488" spans="3:11" x14ac:dyDescent="0.25">
      <c r="C4488" s="6"/>
      <c r="G4488" s="6"/>
      <c r="K4488" s="6"/>
    </row>
    <row r="4489" spans="3:11" x14ac:dyDescent="0.25">
      <c r="C4489" s="6"/>
      <c r="G4489" s="6"/>
      <c r="K4489" s="6"/>
    </row>
    <row r="4490" spans="3:11" x14ac:dyDescent="0.25">
      <c r="C4490" s="6"/>
      <c r="G4490" s="6"/>
      <c r="K4490" s="6"/>
    </row>
    <row r="4491" spans="3:11" x14ac:dyDescent="0.25">
      <c r="C4491" s="6"/>
      <c r="G4491" s="6"/>
      <c r="K4491" s="6"/>
    </row>
    <row r="4492" spans="3:11" x14ac:dyDescent="0.25">
      <c r="C4492" s="6"/>
      <c r="G4492" s="6"/>
      <c r="K4492" s="6"/>
    </row>
    <row r="4493" spans="3:11" x14ac:dyDescent="0.25">
      <c r="C4493" s="6"/>
      <c r="G4493" s="6"/>
      <c r="K4493" s="6"/>
    </row>
    <row r="4494" spans="3:11" x14ac:dyDescent="0.25">
      <c r="C4494" s="6"/>
      <c r="G4494" s="6"/>
      <c r="K4494" s="6"/>
    </row>
    <row r="4495" spans="3:11" x14ac:dyDescent="0.25">
      <c r="C4495" s="6"/>
      <c r="G4495" s="6"/>
      <c r="K4495" s="6"/>
    </row>
    <row r="4496" spans="3:11" x14ac:dyDescent="0.25">
      <c r="C4496" s="6"/>
      <c r="G4496" s="6"/>
      <c r="K4496" s="6"/>
    </row>
    <row r="4497" spans="3:11" x14ac:dyDescent="0.25">
      <c r="C4497" s="6"/>
      <c r="G4497" s="6"/>
      <c r="K4497" s="6"/>
    </row>
    <row r="4498" spans="3:11" x14ac:dyDescent="0.25">
      <c r="C4498" s="6"/>
      <c r="G4498" s="6"/>
      <c r="K4498" s="6"/>
    </row>
    <row r="4499" spans="3:11" x14ac:dyDescent="0.25">
      <c r="C4499" s="6"/>
      <c r="G4499" s="6"/>
      <c r="K4499" s="6"/>
    </row>
    <row r="4500" spans="3:11" x14ac:dyDescent="0.25">
      <c r="C4500" s="6"/>
      <c r="G4500" s="6"/>
      <c r="K4500" s="6"/>
    </row>
    <row r="4501" spans="3:11" x14ac:dyDescent="0.25">
      <c r="C4501" s="6"/>
      <c r="G4501" s="6"/>
      <c r="K4501" s="6"/>
    </row>
    <row r="4502" spans="3:11" x14ac:dyDescent="0.25">
      <c r="C4502" s="6"/>
      <c r="G4502" s="6"/>
      <c r="K4502" s="6"/>
    </row>
    <row r="4503" spans="3:11" x14ac:dyDescent="0.25">
      <c r="C4503" s="6"/>
      <c r="G4503" s="6"/>
      <c r="K4503" s="6"/>
    </row>
    <row r="4504" spans="3:11" x14ac:dyDescent="0.25">
      <c r="C4504" s="6"/>
      <c r="G4504" s="6"/>
      <c r="K4504" s="6"/>
    </row>
    <row r="4505" spans="3:11" x14ac:dyDescent="0.25">
      <c r="C4505" s="6"/>
      <c r="G4505" s="6"/>
      <c r="K4505" s="6"/>
    </row>
    <row r="4506" spans="3:11" x14ac:dyDescent="0.25">
      <c r="C4506" s="6"/>
      <c r="G4506" s="6"/>
      <c r="K4506" s="6"/>
    </row>
    <row r="4507" spans="3:11" x14ac:dyDescent="0.25">
      <c r="C4507" s="6"/>
      <c r="G4507" s="6"/>
      <c r="K4507" s="6"/>
    </row>
    <row r="4508" spans="3:11" x14ac:dyDescent="0.25">
      <c r="C4508" s="6"/>
      <c r="G4508" s="6"/>
      <c r="K4508" s="6"/>
    </row>
    <row r="4509" spans="3:11" x14ac:dyDescent="0.25">
      <c r="C4509" s="6"/>
      <c r="G4509" s="6"/>
      <c r="K4509" s="6"/>
    </row>
    <row r="4510" spans="3:11" x14ac:dyDescent="0.25">
      <c r="C4510" s="6"/>
      <c r="G4510" s="6"/>
      <c r="K4510" s="6"/>
    </row>
    <row r="4511" spans="3:11" x14ac:dyDescent="0.25">
      <c r="C4511" s="6"/>
      <c r="G4511" s="6"/>
      <c r="K4511" s="6"/>
    </row>
    <row r="4512" spans="3:11" x14ac:dyDescent="0.25">
      <c r="C4512" s="6"/>
      <c r="G4512" s="6"/>
      <c r="K4512" s="6"/>
    </row>
    <row r="4513" spans="3:11" x14ac:dyDescent="0.25">
      <c r="C4513" s="6"/>
      <c r="G4513" s="6"/>
      <c r="K4513" s="6"/>
    </row>
    <row r="4514" spans="3:11" x14ac:dyDescent="0.25">
      <c r="C4514" s="6"/>
      <c r="G4514" s="6"/>
      <c r="K4514" s="6"/>
    </row>
    <row r="4515" spans="3:11" x14ac:dyDescent="0.25">
      <c r="C4515" s="6"/>
      <c r="G4515" s="6"/>
      <c r="K4515" s="6"/>
    </row>
    <row r="4516" spans="3:11" x14ac:dyDescent="0.25">
      <c r="C4516" s="6"/>
      <c r="G4516" s="6"/>
      <c r="K4516" s="6"/>
    </row>
    <row r="4517" spans="3:11" x14ac:dyDescent="0.25">
      <c r="C4517" s="6"/>
      <c r="G4517" s="6"/>
      <c r="K4517" s="6"/>
    </row>
    <row r="4518" spans="3:11" x14ac:dyDescent="0.25">
      <c r="C4518" s="6"/>
      <c r="G4518" s="6"/>
      <c r="K4518" s="6"/>
    </row>
    <row r="4519" spans="3:11" x14ac:dyDescent="0.25">
      <c r="C4519" s="6"/>
      <c r="G4519" s="6"/>
      <c r="K4519" s="6"/>
    </row>
    <row r="4520" spans="3:11" x14ac:dyDescent="0.25">
      <c r="C4520" s="6"/>
      <c r="G4520" s="6"/>
      <c r="K4520" s="6"/>
    </row>
    <row r="4521" spans="3:11" x14ac:dyDescent="0.25">
      <c r="C4521" s="6"/>
      <c r="G4521" s="6"/>
      <c r="K4521" s="6"/>
    </row>
    <row r="4522" spans="3:11" x14ac:dyDescent="0.25">
      <c r="C4522" s="6"/>
      <c r="G4522" s="6"/>
      <c r="K4522" s="6"/>
    </row>
    <row r="4523" spans="3:11" x14ac:dyDescent="0.25">
      <c r="C4523" s="6"/>
      <c r="G4523" s="6"/>
      <c r="K4523" s="6"/>
    </row>
    <row r="4524" spans="3:11" x14ac:dyDescent="0.25">
      <c r="C4524" s="6"/>
      <c r="G4524" s="6"/>
      <c r="K4524" s="6"/>
    </row>
    <row r="4525" spans="3:11" x14ac:dyDescent="0.25">
      <c r="C4525" s="6"/>
      <c r="G4525" s="6"/>
      <c r="K4525" s="6"/>
    </row>
    <row r="4526" spans="3:11" x14ac:dyDescent="0.25">
      <c r="C4526" s="6"/>
      <c r="G4526" s="6"/>
      <c r="K4526" s="6"/>
    </row>
    <row r="4527" spans="3:11" x14ac:dyDescent="0.25">
      <c r="C4527" s="6"/>
      <c r="G4527" s="6"/>
      <c r="K4527" s="6"/>
    </row>
    <row r="4528" spans="3:11" x14ac:dyDescent="0.25">
      <c r="C4528" s="6"/>
      <c r="G4528" s="6"/>
      <c r="K4528" s="6"/>
    </row>
    <row r="4529" spans="3:11" x14ac:dyDescent="0.25">
      <c r="C4529" s="6"/>
      <c r="G4529" s="6"/>
      <c r="K4529" s="6"/>
    </row>
    <row r="4530" spans="3:11" x14ac:dyDescent="0.25">
      <c r="C4530" s="6"/>
      <c r="G4530" s="6"/>
      <c r="K4530" s="6"/>
    </row>
    <row r="4531" spans="3:11" x14ac:dyDescent="0.25">
      <c r="C4531" s="6"/>
      <c r="G4531" s="6"/>
      <c r="K4531" s="6"/>
    </row>
    <row r="4532" spans="3:11" x14ac:dyDescent="0.25">
      <c r="C4532" s="6"/>
      <c r="G4532" s="6"/>
      <c r="K4532" s="6"/>
    </row>
    <row r="4533" spans="3:11" x14ac:dyDescent="0.25">
      <c r="C4533" s="6"/>
      <c r="G4533" s="6"/>
      <c r="K4533" s="6"/>
    </row>
    <row r="4534" spans="3:11" x14ac:dyDescent="0.25">
      <c r="C4534" s="6"/>
      <c r="G4534" s="6"/>
      <c r="K4534" s="6"/>
    </row>
    <row r="4535" spans="3:11" x14ac:dyDescent="0.25">
      <c r="C4535" s="6"/>
      <c r="G4535" s="6"/>
      <c r="K4535" s="6"/>
    </row>
    <row r="4536" spans="3:11" x14ac:dyDescent="0.25">
      <c r="C4536" s="6"/>
      <c r="G4536" s="6"/>
      <c r="K4536" s="6"/>
    </row>
    <row r="4537" spans="3:11" x14ac:dyDescent="0.25">
      <c r="C4537" s="6"/>
      <c r="G4537" s="6"/>
      <c r="K4537" s="6"/>
    </row>
    <row r="4538" spans="3:11" x14ac:dyDescent="0.25">
      <c r="C4538" s="6"/>
      <c r="G4538" s="6"/>
      <c r="K4538" s="6"/>
    </row>
    <row r="4539" spans="3:11" x14ac:dyDescent="0.25">
      <c r="C4539" s="6"/>
      <c r="G4539" s="6"/>
      <c r="K4539" s="6"/>
    </row>
    <row r="4540" spans="3:11" x14ac:dyDescent="0.25">
      <c r="C4540" s="6"/>
      <c r="G4540" s="6"/>
      <c r="K4540" s="6"/>
    </row>
    <row r="4541" spans="3:11" x14ac:dyDescent="0.25">
      <c r="C4541" s="6"/>
      <c r="G4541" s="6"/>
      <c r="K4541" s="6"/>
    </row>
    <row r="4542" spans="3:11" x14ac:dyDescent="0.25">
      <c r="C4542" s="6"/>
      <c r="G4542" s="6"/>
      <c r="K4542" s="6"/>
    </row>
    <row r="4543" spans="3:11" x14ac:dyDescent="0.25">
      <c r="C4543" s="6"/>
      <c r="G4543" s="6"/>
      <c r="K4543" s="6"/>
    </row>
    <row r="4544" spans="3:11" x14ac:dyDescent="0.25">
      <c r="C4544" s="6"/>
      <c r="G4544" s="6"/>
      <c r="K4544" s="6"/>
    </row>
    <row r="4545" spans="3:11" x14ac:dyDescent="0.25">
      <c r="C4545" s="6"/>
      <c r="G4545" s="6"/>
      <c r="K4545" s="6"/>
    </row>
    <row r="4546" spans="3:11" x14ac:dyDescent="0.25">
      <c r="C4546" s="6"/>
      <c r="G4546" s="6"/>
      <c r="K4546" s="6"/>
    </row>
    <row r="4547" spans="3:11" x14ac:dyDescent="0.25">
      <c r="C4547" s="6"/>
      <c r="G4547" s="6"/>
      <c r="K4547" s="6"/>
    </row>
    <row r="4548" spans="3:11" x14ac:dyDescent="0.25">
      <c r="C4548" s="6"/>
      <c r="G4548" s="6"/>
      <c r="K4548" s="6"/>
    </row>
    <row r="4549" spans="3:11" x14ac:dyDescent="0.25">
      <c r="C4549" s="6"/>
      <c r="G4549" s="6"/>
      <c r="K4549" s="6"/>
    </row>
    <row r="4550" spans="3:11" x14ac:dyDescent="0.25">
      <c r="C4550" s="6"/>
      <c r="G4550" s="6"/>
      <c r="K4550" s="6"/>
    </row>
    <row r="4551" spans="3:11" x14ac:dyDescent="0.25">
      <c r="C4551" s="6"/>
      <c r="G4551" s="6"/>
      <c r="K4551" s="6"/>
    </row>
    <row r="4552" spans="3:11" x14ac:dyDescent="0.25">
      <c r="C4552" s="6"/>
      <c r="G4552" s="6"/>
      <c r="K4552" s="6"/>
    </row>
    <row r="4553" spans="3:11" x14ac:dyDescent="0.25">
      <c r="C4553" s="6"/>
      <c r="G4553" s="6"/>
      <c r="K4553" s="6"/>
    </row>
    <row r="4554" spans="3:11" x14ac:dyDescent="0.25">
      <c r="C4554" s="6"/>
      <c r="G4554" s="6"/>
      <c r="K4554" s="6"/>
    </row>
    <row r="4555" spans="3:11" x14ac:dyDescent="0.25">
      <c r="C4555" s="6"/>
      <c r="G4555" s="6"/>
      <c r="K4555" s="6"/>
    </row>
    <row r="4556" spans="3:11" x14ac:dyDescent="0.25">
      <c r="C4556" s="6"/>
      <c r="G4556" s="6"/>
      <c r="K4556" s="6"/>
    </row>
    <row r="4557" spans="3:11" x14ac:dyDescent="0.25">
      <c r="C4557" s="6"/>
      <c r="G4557" s="6"/>
      <c r="K4557" s="6"/>
    </row>
    <row r="4558" spans="3:11" x14ac:dyDescent="0.25">
      <c r="C4558" s="6"/>
      <c r="G4558" s="6"/>
      <c r="K4558" s="6"/>
    </row>
    <row r="4559" spans="3:11" x14ac:dyDescent="0.25">
      <c r="C4559" s="6"/>
      <c r="G4559" s="6"/>
      <c r="K4559" s="6"/>
    </row>
    <row r="4560" spans="3:11" x14ac:dyDescent="0.25">
      <c r="C4560" s="6"/>
      <c r="G4560" s="6"/>
      <c r="K4560" s="6"/>
    </row>
    <row r="4561" spans="3:11" x14ac:dyDescent="0.25">
      <c r="C4561" s="6"/>
      <c r="G4561" s="6"/>
      <c r="K4561" s="6"/>
    </row>
    <row r="4562" spans="3:11" x14ac:dyDescent="0.25">
      <c r="C4562" s="6"/>
      <c r="G4562" s="6"/>
      <c r="K4562" s="6"/>
    </row>
    <row r="4563" spans="3:11" x14ac:dyDescent="0.25">
      <c r="C4563" s="6"/>
      <c r="G4563" s="6"/>
      <c r="K4563" s="6"/>
    </row>
    <row r="4564" spans="3:11" x14ac:dyDescent="0.25">
      <c r="C4564" s="6"/>
      <c r="G4564" s="6"/>
      <c r="K4564" s="6"/>
    </row>
    <row r="4565" spans="3:11" x14ac:dyDescent="0.25">
      <c r="C4565" s="6"/>
      <c r="G4565" s="6"/>
      <c r="K4565" s="6"/>
    </row>
    <row r="4566" spans="3:11" x14ac:dyDescent="0.25">
      <c r="C4566" s="6"/>
      <c r="G4566" s="6"/>
      <c r="K4566" s="6"/>
    </row>
    <row r="4567" spans="3:11" x14ac:dyDescent="0.25">
      <c r="C4567" s="6"/>
      <c r="G4567" s="6"/>
      <c r="K4567" s="6"/>
    </row>
    <row r="4568" spans="3:11" x14ac:dyDescent="0.25">
      <c r="C4568" s="6"/>
      <c r="G4568" s="6"/>
      <c r="K4568" s="6"/>
    </row>
    <row r="4569" spans="3:11" x14ac:dyDescent="0.25">
      <c r="C4569" s="6"/>
      <c r="G4569" s="6"/>
      <c r="K4569" s="6"/>
    </row>
    <row r="4570" spans="3:11" x14ac:dyDescent="0.25">
      <c r="C4570" s="6"/>
      <c r="G4570" s="6"/>
      <c r="K4570" s="6"/>
    </row>
    <row r="4571" spans="3:11" x14ac:dyDescent="0.25">
      <c r="C4571" s="6"/>
      <c r="G4571" s="6"/>
      <c r="K4571" s="6"/>
    </row>
    <row r="4572" spans="3:11" x14ac:dyDescent="0.25">
      <c r="C4572" s="6"/>
      <c r="G4572" s="6"/>
      <c r="K4572" s="6"/>
    </row>
    <row r="4573" spans="3:11" x14ac:dyDescent="0.25">
      <c r="C4573" s="6"/>
      <c r="G4573" s="6"/>
      <c r="K4573" s="6"/>
    </row>
    <row r="4574" spans="3:11" x14ac:dyDescent="0.25">
      <c r="C4574" s="6"/>
      <c r="G4574" s="6"/>
      <c r="K4574" s="6"/>
    </row>
    <row r="4575" spans="3:11" x14ac:dyDescent="0.25">
      <c r="C4575" s="6"/>
      <c r="G4575" s="6"/>
      <c r="K4575" s="6"/>
    </row>
    <row r="4576" spans="3:11" x14ac:dyDescent="0.25">
      <c r="C4576" s="6"/>
      <c r="G4576" s="6"/>
      <c r="K4576" s="6"/>
    </row>
    <row r="4577" spans="3:11" x14ac:dyDescent="0.25">
      <c r="C4577" s="6"/>
      <c r="G4577" s="6"/>
      <c r="K4577" s="6"/>
    </row>
    <row r="4578" spans="3:11" x14ac:dyDescent="0.25">
      <c r="C4578" s="6"/>
      <c r="G4578" s="6"/>
      <c r="K4578" s="6"/>
    </row>
    <row r="4579" spans="3:11" x14ac:dyDescent="0.25">
      <c r="C4579" s="6"/>
      <c r="G4579" s="6"/>
      <c r="K4579" s="6"/>
    </row>
    <row r="4580" spans="3:11" x14ac:dyDescent="0.25">
      <c r="C4580" s="6"/>
      <c r="G4580" s="6"/>
      <c r="K4580" s="6"/>
    </row>
    <row r="4581" spans="3:11" x14ac:dyDescent="0.25">
      <c r="C4581" s="6"/>
      <c r="G4581" s="6"/>
      <c r="K4581" s="6"/>
    </row>
    <row r="4582" spans="3:11" x14ac:dyDescent="0.25">
      <c r="C4582" s="6"/>
      <c r="G4582" s="6"/>
      <c r="K4582" s="6"/>
    </row>
    <row r="4583" spans="3:11" x14ac:dyDescent="0.25">
      <c r="C4583" s="6"/>
      <c r="G4583" s="6"/>
      <c r="K4583" s="6"/>
    </row>
    <row r="4584" spans="3:11" x14ac:dyDescent="0.25">
      <c r="C4584" s="6"/>
      <c r="G4584" s="6"/>
      <c r="K4584" s="6"/>
    </row>
    <row r="4585" spans="3:11" x14ac:dyDescent="0.25">
      <c r="C4585" s="6"/>
      <c r="G4585" s="6"/>
      <c r="K4585" s="6"/>
    </row>
    <row r="4586" spans="3:11" x14ac:dyDescent="0.25">
      <c r="C4586" s="6"/>
      <c r="G4586" s="6"/>
      <c r="K4586" s="6"/>
    </row>
    <row r="4587" spans="3:11" x14ac:dyDescent="0.25">
      <c r="C4587" s="6"/>
      <c r="G4587" s="6"/>
      <c r="K4587" s="6"/>
    </row>
    <row r="4588" spans="3:11" x14ac:dyDescent="0.25">
      <c r="C4588" s="6"/>
      <c r="G4588" s="6"/>
      <c r="K4588" s="6"/>
    </row>
    <row r="4589" spans="3:11" x14ac:dyDescent="0.25">
      <c r="C4589" s="6"/>
      <c r="G4589" s="6"/>
      <c r="K4589" s="6"/>
    </row>
    <row r="4590" spans="3:11" x14ac:dyDescent="0.25">
      <c r="C4590" s="6"/>
      <c r="G4590" s="6"/>
      <c r="K4590" s="6"/>
    </row>
    <row r="4591" spans="3:11" x14ac:dyDescent="0.25">
      <c r="C4591" s="6"/>
      <c r="G4591" s="6"/>
      <c r="K4591" s="6"/>
    </row>
    <row r="4592" spans="3:11" x14ac:dyDescent="0.25">
      <c r="C4592" s="6"/>
      <c r="G4592" s="6"/>
      <c r="K4592" s="6"/>
    </row>
    <row r="4593" spans="3:11" x14ac:dyDescent="0.25">
      <c r="C4593" s="6"/>
      <c r="G4593" s="6"/>
      <c r="K4593" s="6"/>
    </row>
    <row r="4594" spans="3:11" x14ac:dyDescent="0.25">
      <c r="C4594" s="6"/>
      <c r="G4594" s="6"/>
      <c r="K4594" s="6"/>
    </row>
    <row r="4595" spans="3:11" x14ac:dyDescent="0.25">
      <c r="C4595" s="6"/>
      <c r="G4595" s="6"/>
      <c r="K4595" s="6"/>
    </row>
    <row r="4596" spans="3:11" x14ac:dyDescent="0.25">
      <c r="C4596" s="6"/>
      <c r="G4596" s="6"/>
      <c r="K4596" s="6"/>
    </row>
    <row r="4597" spans="3:11" x14ac:dyDescent="0.25">
      <c r="C4597" s="6"/>
      <c r="G4597" s="6"/>
      <c r="K4597" s="6"/>
    </row>
    <row r="4598" spans="3:11" x14ac:dyDescent="0.25">
      <c r="C4598" s="6"/>
      <c r="G4598" s="6"/>
      <c r="K4598" s="6"/>
    </row>
    <row r="4599" spans="3:11" x14ac:dyDescent="0.25">
      <c r="C4599" s="6"/>
      <c r="G4599" s="6"/>
      <c r="K4599" s="6"/>
    </row>
    <row r="4600" spans="3:11" x14ac:dyDescent="0.25">
      <c r="C4600" s="6"/>
      <c r="G4600" s="6"/>
      <c r="K4600" s="6"/>
    </row>
    <row r="4601" spans="3:11" x14ac:dyDescent="0.25">
      <c r="C4601" s="6"/>
      <c r="G4601" s="6"/>
      <c r="K4601" s="6"/>
    </row>
    <row r="4602" spans="3:11" x14ac:dyDescent="0.25">
      <c r="C4602" s="6"/>
      <c r="G4602" s="6"/>
      <c r="K4602" s="6"/>
    </row>
    <row r="4603" spans="3:11" x14ac:dyDescent="0.25">
      <c r="C4603" s="6"/>
      <c r="G4603" s="6"/>
      <c r="K4603" s="6"/>
    </row>
    <row r="4604" spans="3:11" x14ac:dyDescent="0.25">
      <c r="C4604" s="6"/>
      <c r="G4604" s="6"/>
      <c r="K4604" s="6"/>
    </row>
    <row r="4605" spans="3:11" x14ac:dyDescent="0.25">
      <c r="C4605" s="6"/>
      <c r="G4605" s="6"/>
      <c r="K4605" s="6"/>
    </row>
    <row r="4606" spans="3:11" x14ac:dyDescent="0.25">
      <c r="C4606" s="6"/>
      <c r="G4606" s="6"/>
      <c r="K4606" s="6"/>
    </row>
    <row r="4607" spans="3:11" x14ac:dyDescent="0.25">
      <c r="C4607" s="6"/>
      <c r="G4607" s="6"/>
      <c r="K4607" s="6"/>
    </row>
    <row r="4608" spans="3:11" x14ac:dyDescent="0.25">
      <c r="C4608" s="6"/>
      <c r="G4608" s="6"/>
      <c r="K4608" s="6"/>
    </row>
    <row r="4609" spans="3:11" x14ac:dyDescent="0.25">
      <c r="C4609" s="6"/>
      <c r="G4609" s="6"/>
      <c r="K4609" s="6"/>
    </row>
    <row r="4610" spans="3:11" x14ac:dyDescent="0.25">
      <c r="C4610" s="6"/>
      <c r="G4610" s="6"/>
      <c r="K4610" s="6"/>
    </row>
    <row r="4611" spans="3:11" x14ac:dyDescent="0.25">
      <c r="C4611" s="6"/>
      <c r="G4611" s="6"/>
      <c r="K4611" s="6"/>
    </row>
    <row r="4612" spans="3:11" x14ac:dyDescent="0.25">
      <c r="C4612" s="6"/>
      <c r="G4612" s="6"/>
      <c r="K4612" s="6"/>
    </row>
    <row r="4613" spans="3:11" x14ac:dyDescent="0.25">
      <c r="C4613" s="6"/>
      <c r="G4613" s="6"/>
      <c r="K4613" s="6"/>
    </row>
    <row r="4614" spans="3:11" x14ac:dyDescent="0.25">
      <c r="C4614" s="6"/>
      <c r="G4614" s="6"/>
      <c r="K4614" s="6"/>
    </row>
    <row r="4615" spans="3:11" x14ac:dyDescent="0.25">
      <c r="C4615" s="6"/>
      <c r="G4615" s="6"/>
      <c r="K4615" s="6"/>
    </row>
    <row r="4616" spans="3:11" x14ac:dyDescent="0.25">
      <c r="C4616" s="6"/>
      <c r="G4616" s="6"/>
      <c r="K4616" s="6"/>
    </row>
    <row r="4617" spans="3:11" x14ac:dyDescent="0.25">
      <c r="C4617" s="6"/>
      <c r="G4617" s="6"/>
      <c r="K4617" s="6"/>
    </row>
    <row r="4618" spans="3:11" x14ac:dyDescent="0.25">
      <c r="C4618" s="6"/>
      <c r="G4618" s="6"/>
      <c r="K4618" s="6"/>
    </row>
    <row r="4619" spans="3:11" x14ac:dyDescent="0.25">
      <c r="C4619" s="6"/>
      <c r="G4619" s="6"/>
      <c r="K4619" s="6"/>
    </row>
    <row r="4620" spans="3:11" x14ac:dyDescent="0.25">
      <c r="C4620" s="6"/>
      <c r="G4620" s="6"/>
      <c r="K4620" s="6"/>
    </row>
    <row r="4621" spans="3:11" x14ac:dyDescent="0.25">
      <c r="C4621" s="6"/>
      <c r="G4621" s="6"/>
      <c r="K4621" s="6"/>
    </row>
    <row r="4622" spans="3:11" x14ac:dyDescent="0.25">
      <c r="C4622" s="6"/>
      <c r="G4622" s="6"/>
      <c r="K4622" s="6"/>
    </row>
    <row r="4623" spans="3:11" x14ac:dyDescent="0.25">
      <c r="C4623" s="6"/>
      <c r="G4623" s="6"/>
      <c r="K4623" s="6"/>
    </row>
    <row r="4624" spans="3:11" x14ac:dyDescent="0.25">
      <c r="C4624" s="6"/>
      <c r="G4624" s="6"/>
      <c r="K4624" s="6"/>
    </row>
    <row r="4625" spans="3:11" x14ac:dyDescent="0.25">
      <c r="C4625" s="6"/>
      <c r="G4625" s="6"/>
      <c r="K4625" s="6"/>
    </row>
    <row r="4626" spans="3:11" x14ac:dyDescent="0.25">
      <c r="C4626" s="6"/>
      <c r="G4626" s="6"/>
      <c r="K4626" s="6"/>
    </row>
    <row r="4627" spans="3:11" x14ac:dyDescent="0.25">
      <c r="C4627" s="6"/>
      <c r="G4627" s="6"/>
      <c r="K4627" s="6"/>
    </row>
    <row r="4628" spans="3:11" x14ac:dyDescent="0.25">
      <c r="C4628" s="6"/>
      <c r="G4628" s="6"/>
      <c r="K4628" s="6"/>
    </row>
    <row r="4629" spans="3:11" x14ac:dyDescent="0.25">
      <c r="C4629" s="6"/>
      <c r="G4629" s="6"/>
      <c r="K4629" s="6"/>
    </row>
    <row r="4630" spans="3:11" x14ac:dyDescent="0.25">
      <c r="C4630" s="6"/>
      <c r="G4630" s="6"/>
      <c r="K4630" s="6"/>
    </row>
    <row r="4631" spans="3:11" x14ac:dyDescent="0.25">
      <c r="C4631" s="6"/>
      <c r="G4631" s="6"/>
      <c r="K4631" s="6"/>
    </row>
    <row r="4632" spans="3:11" x14ac:dyDescent="0.25">
      <c r="C4632" s="6"/>
      <c r="G4632" s="6"/>
      <c r="K4632" s="6"/>
    </row>
    <row r="4633" spans="3:11" x14ac:dyDescent="0.25">
      <c r="C4633" s="6"/>
      <c r="G4633" s="6"/>
      <c r="K4633" s="6"/>
    </row>
    <row r="4634" spans="3:11" x14ac:dyDescent="0.25">
      <c r="C4634" s="6"/>
      <c r="G4634" s="6"/>
      <c r="K4634" s="6"/>
    </row>
    <row r="4635" spans="3:11" x14ac:dyDescent="0.25">
      <c r="C4635" s="6"/>
      <c r="G4635" s="6"/>
      <c r="K4635" s="6"/>
    </row>
    <row r="4636" spans="3:11" x14ac:dyDescent="0.25">
      <c r="C4636" s="6"/>
      <c r="G4636" s="6"/>
      <c r="K4636" s="6"/>
    </row>
    <row r="4637" spans="3:11" x14ac:dyDescent="0.25">
      <c r="C4637" s="6"/>
      <c r="G4637" s="6"/>
      <c r="K4637" s="6"/>
    </row>
    <row r="4638" spans="3:11" x14ac:dyDescent="0.25">
      <c r="C4638" s="6"/>
      <c r="G4638" s="6"/>
      <c r="K4638" s="6"/>
    </row>
    <row r="4639" spans="3:11" x14ac:dyDescent="0.25">
      <c r="C4639" s="6"/>
      <c r="G4639" s="6"/>
      <c r="K4639" s="6"/>
    </row>
    <row r="4640" spans="3:11" x14ac:dyDescent="0.25">
      <c r="C4640" s="6"/>
      <c r="G4640" s="6"/>
      <c r="K4640" s="6"/>
    </row>
    <row r="4641" spans="3:11" x14ac:dyDescent="0.25">
      <c r="C4641" s="6"/>
      <c r="G4641" s="6"/>
      <c r="K4641" s="6"/>
    </row>
    <row r="4642" spans="3:11" x14ac:dyDescent="0.25">
      <c r="C4642" s="6"/>
      <c r="G4642" s="6"/>
      <c r="K4642" s="6"/>
    </row>
    <row r="4643" spans="3:11" x14ac:dyDescent="0.25">
      <c r="C4643" s="6"/>
      <c r="G4643" s="6"/>
      <c r="K4643" s="6"/>
    </row>
    <row r="4644" spans="3:11" x14ac:dyDescent="0.25">
      <c r="C4644" s="6"/>
      <c r="G4644" s="6"/>
      <c r="K4644" s="6"/>
    </row>
    <row r="4645" spans="3:11" x14ac:dyDescent="0.25">
      <c r="C4645" s="6"/>
      <c r="G4645" s="6"/>
      <c r="K4645" s="6"/>
    </row>
    <row r="4646" spans="3:11" x14ac:dyDescent="0.25">
      <c r="C4646" s="6"/>
      <c r="G4646" s="6"/>
      <c r="K4646" s="6"/>
    </row>
    <row r="4647" spans="3:11" x14ac:dyDescent="0.25">
      <c r="C4647" s="6"/>
      <c r="G4647" s="6"/>
      <c r="K4647" s="6"/>
    </row>
    <row r="4648" spans="3:11" x14ac:dyDescent="0.25">
      <c r="C4648" s="6"/>
      <c r="G4648" s="6"/>
      <c r="K4648" s="6"/>
    </row>
    <row r="4649" spans="3:11" x14ac:dyDescent="0.25">
      <c r="C4649" s="6"/>
      <c r="G4649" s="6"/>
      <c r="K4649" s="6"/>
    </row>
    <row r="4650" spans="3:11" x14ac:dyDescent="0.25">
      <c r="C4650" s="6"/>
      <c r="G4650" s="6"/>
      <c r="K4650" s="6"/>
    </row>
    <row r="4651" spans="3:11" x14ac:dyDescent="0.25">
      <c r="C4651" s="6"/>
      <c r="G4651" s="6"/>
      <c r="K4651" s="6"/>
    </row>
    <row r="4652" spans="3:11" x14ac:dyDescent="0.25">
      <c r="C4652" s="6"/>
      <c r="G4652" s="6"/>
      <c r="K4652" s="6"/>
    </row>
    <row r="4653" spans="3:11" x14ac:dyDescent="0.25">
      <c r="C4653" s="6"/>
      <c r="G4653" s="6"/>
      <c r="K4653" s="6"/>
    </row>
    <row r="4654" spans="3:11" x14ac:dyDescent="0.25">
      <c r="C4654" s="6"/>
      <c r="G4654" s="6"/>
      <c r="K4654" s="6"/>
    </row>
    <row r="4655" spans="3:11" x14ac:dyDescent="0.25">
      <c r="C4655" s="6"/>
      <c r="G4655" s="6"/>
      <c r="K4655" s="6"/>
    </row>
    <row r="4656" spans="3:11" x14ac:dyDescent="0.25">
      <c r="C4656" s="6"/>
      <c r="G4656" s="6"/>
      <c r="K4656" s="6"/>
    </row>
    <row r="4657" spans="3:11" x14ac:dyDescent="0.25">
      <c r="C4657" s="6"/>
      <c r="G4657" s="6"/>
      <c r="K4657" s="6"/>
    </row>
    <row r="4658" spans="3:11" x14ac:dyDescent="0.25">
      <c r="C4658" s="6"/>
      <c r="G4658" s="6"/>
      <c r="K4658" s="6"/>
    </row>
    <row r="4659" spans="3:11" x14ac:dyDescent="0.25">
      <c r="C4659" s="6"/>
      <c r="G4659" s="6"/>
      <c r="K4659" s="6"/>
    </row>
    <row r="4660" spans="3:11" x14ac:dyDescent="0.25">
      <c r="C4660" s="6"/>
      <c r="G4660" s="6"/>
      <c r="K4660" s="6"/>
    </row>
    <row r="4661" spans="3:11" x14ac:dyDescent="0.25">
      <c r="C4661" s="6"/>
      <c r="G4661" s="6"/>
      <c r="K4661" s="6"/>
    </row>
    <row r="4662" spans="3:11" x14ac:dyDescent="0.25">
      <c r="C4662" s="6"/>
      <c r="G4662" s="6"/>
      <c r="K4662" s="6"/>
    </row>
    <row r="4663" spans="3:11" x14ac:dyDescent="0.25">
      <c r="C4663" s="6"/>
      <c r="G4663" s="6"/>
      <c r="K4663" s="6"/>
    </row>
    <row r="4664" spans="3:11" x14ac:dyDescent="0.25">
      <c r="C4664" s="6"/>
      <c r="G4664" s="6"/>
      <c r="K4664" s="6"/>
    </row>
    <row r="4665" spans="3:11" x14ac:dyDescent="0.25">
      <c r="C4665" s="6"/>
      <c r="G4665" s="6"/>
      <c r="K4665" s="6"/>
    </row>
    <row r="4666" spans="3:11" x14ac:dyDescent="0.25">
      <c r="C4666" s="6"/>
      <c r="G4666" s="6"/>
      <c r="K4666" s="6"/>
    </row>
    <row r="4667" spans="3:11" x14ac:dyDescent="0.25">
      <c r="C4667" s="6"/>
      <c r="G4667" s="6"/>
      <c r="K4667" s="6"/>
    </row>
    <row r="4668" spans="3:11" x14ac:dyDescent="0.25">
      <c r="C4668" s="6"/>
      <c r="G4668" s="6"/>
      <c r="K4668" s="6"/>
    </row>
    <row r="4669" spans="3:11" x14ac:dyDescent="0.25">
      <c r="C4669" s="6"/>
      <c r="G4669" s="6"/>
      <c r="K4669" s="6"/>
    </row>
    <row r="4670" spans="3:11" x14ac:dyDescent="0.25">
      <c r="C4670" s="6"/>
      <c r="G4670" s="6"/>
      <c r="K4670" s="6"/>
    </row>
    <row r="4671" spans="3:11" x14ac:dyDescent="0.25">
      <c r="C4671" s="6"/>
      <c r="G4671" s="6"/>
      <c r="K4671" s="6"/>
    </row>
    <row r="4672" spans="3:11" x14ac:dyDescent="0.25">
      <c r="C4672" s="6"/>
      <c r="G4672" s="6"/>
      <c r="K4672" s="6"/>
    </row>
    <row r="4673" spans="3:11" x14ac:dyDescent="0.25">
      <c r="C4673" s="6"/>
      <c r="G4673" s="6"/>
      <c r="K4673" s="6"/>
    </row>
    <row r="4674" spans="3:11" x14ac:dyDescent="0.25">
      <c r="C4674" s="6"/>
      <c r="G4674" s="6"/>
      <c r="K4674" s="6"/>
    </row>
    <row r="4675" spans="3:11" x14ac:dyDescent="0.25">
      <c r="C4675" s="6"/>
      <c r="G4675" s="6"/>
      <c r="K4675" s="6"/>
    </row>
    <row r="4676" spans="3:11" x14ac:dyDescent="0.25">
      <c r="C4676" s="6"/>
      <c r="G4676" s="6"/>
      <c r="K4676" s="6"/>
    </row>
    <row r="4677" spans="3:11" x14ac:dyDescent="0.25">
      <c r="C4677" s="6"/>
      <c r="G4677" s="6"/>
      <c r="K4677" s="6"/>
    </row>
    <row r="4678" spans="3:11" x14ac:dyDescent="0.25">
      <c r="C4678" s="6"/>
      <c r="G4678" s="6"/>
      <c r="K4678" s="6"/>
    </row>
    <row r="4679" spans="3:11" x14ac:dyDescent="0.25">
      <c r="C4679" s="6"/>
      <c r="G4679" s="6"/>
      <c r="K4679" s="6"/>
    </row>
    <row r="4680" spans="3:11" x14ac:dyDescent="0.25">
      <c r="C4680" s="6"/>
      <c r="G4680" s="6"/>
      <c r="K4680" s="6"/>
    </row>
    <row r="4681" spans="3:11" x14ac:dyDescent="0.25">
      <c r="C4681" s="6"/>
      <c r="G4681" s="6"/>
      <c r="K4681" s="6"/>
    </row>
    <row r="4682" spans="3:11" x14ac:dyDescent="0.25">
      <c r="C4682" s="6"/>
      <c r="G4682" s="6"/>
      <c r="K4682" s="6"/>
    </row>
    <row r="4683" spans="3:11" x14ac:dyDescent="0.25">
      <c r="C4683" s="6"/>
      <c r="G4683" s="6"/>
      <c r="K4683" s="6"/>
    </row>
    <row r="4684" spans="3:11" x14ac:dyDescent="0.25">
      <c r="C4684" s="6"/>
      <c r="G4684" s="6"/>
      <c r="K4684" s="6"/>
    </row>
    <row r="4685" spans="3:11" x14ac:dyDescent="0.25">
      <c r="C4685" s="6"/>
      <c r="G4685" s="6"/>
      <c r="K4685" s="6"/>
    </row>
    <row r="4686" spans="3:11" x14ac:dyDescent="0.25">
      <c r="C4686" s="6"/>
      <c r="G4686" s="6"/>
      <c r="K4686" s="6"/>
    </row>
    <row r="4687" spans="3:11" x14ac:dyDescent="0.25">
      <c r="C4687" s="6"/>
      <c r="G4687" s="6"/>
      <c r="K4687" s="6"/>
    </row>
    <row r="4688" spans="3:11" x14ac:dyDescent="0.25">
      <c r="C4688" s="6"/>
      <c r="G4688" s="6"/>
      <c r="K4688" s="6"/>
    </row>
    <row r="4689" spans="3:11" x14ac:dyDescent="0.25">
      <c r="C4689" s="6"/>
      <c r="G4689" s="6"/>
      <c r="K4689" s="6"/>
    </row>
    <row r="4690" spans="3:11" x14ac:dyDescent="0.25">
      <c r="C4690" s="6"/>
      <c r="G4690" s="6"/>
      <c r="K4690" s="6"/>
    </row>
    <row r="4691" spans="3:11" x14ac:dyDescent="0.25">
      <c r="C4691" s="6"/>
      <c r="G4691" s="6"/>
      <c r="K4691" s="6"/>
    </row>
    <row r="4692" spans="3:11" x14ac:dyDescent="0.25">
      <c r="C4692" s="6"/>
      <c r="G4692" s="6"/>
      <c r="K4692" s="6"/>
    </row>
    <row r="4693" spans="3:11" x14ac:dyDescent="0.25">
      <c r="C4693" s="6"/>
      <c r="G4693" s="6"/>
      <c r="K4693" s="6"/>
    </row>
    <row r="4694" spans="3:11" x14ac:dyDescent="0.25">
      <c r="C4694" s="6"/>
      <c r="G4694" s="6"/>
      <c r="K4694" s="6"/>
    </row>
    <row r="4695" spans="3:11" x14ac:dyDescent="0.25">
      <c r="C4695" s="6"/>
      <c r="G4695" s="6"/>
      <c r="K4695" s="6"/>
    </row>
    <row r="4696" spans="3:11" x14ac:dyDescent="0.25">
      <c r="C4696" s="6"/>
      <c r="G4696" s="6"/>
      <c r="K4696" s="6"/>
    </row>
    <row r="4697" spans="3:11" x14ac:dyDescent="0.25">
      <c r="C4697" s="6"/>
      <c r="G4697" s="6"/>
      <c r="K4697" s="6"/>
    </row>
    <row r="4698" spans="3:11" x14ac:dyDescent="0.25">
      <c r="C4698" s="6"/>
      <c r="G4698" s="6"/>
      <c r="K4698" s="6"/>
    </row>
    <row r="4699" spans="3:11" x14ac:dyDescent="0.25">
      <c r="C4699" s="6"/>
      <c r="G4699" s="6"/>
      <c r="K4699" s="6"/>
    </row>
    <row r="4700" spans="3:11" x14ac:dyDescent="0.25">
      <c r="C4700" s="6"/>
      <c r="G4700" s="6"/>
      <c r="K4700" s="6"/>
    </row>
    <row r="4701" spans="3:11" x14ac:dyDescent="0.25">
      <c r="C4701" s="6"/>
      <c r="G4701" s="6"/>
      <c r="K4701" s="6"/>
    </row>
    <row r="4702" spans="3:11" x14ac:dyDescent="0.25">
      <c r="C4702" s="6"/>
      <c r="G4702" s="6"/>
      <c r="K4702" s="6"/>
    </row>
    <row r="4703" spans="3:11" x14ac:dyDescent="0.25">
      <c r="C4703" s="6"/>
      <c r="G4703" s="6"/>
      <c r="K4703" s="6"/>
    </row>
    <row r="4704" spans="3:11" x14ac:dyDescent="0.25">
      <c r="C4704" s="6"/>
      <c r="G4704" s="6"/>
      <c r="K4704" s="6"/>
    </row>
    <row r="4705" spans="3:11" x14ac:dyDescent="0.25">
      <c r="C4705" s="6"/>
      <c r="G4705" s="6"/>
      <c r="K4705" s="6"/>
    </row>
    <row r="4706" spans="3:11" x14ac:dyDescent="0.25">
      <c r="C4706" s="6"/>
      <c r="G4706" s="6"/>
      <c r="K4706" s="6"/>
    </row>
    <row r="4707" spans="3:11" x14ac:dyDescent="0.25">
      <c r="C4707" s="6"/>
      <c r="G4707" s="6"/>
      <c r="K4707" s="6"/>
    </row>
    <row r="4708" spans="3:11" x14ac:dyDescent="0.25">
      <c r="C4708" s="6"/>
      <c r="G4708" s="6"/>
      <c r="K4708" s="6"/>
    </row>
    <row r="4709" spans="3:11" x14ac:dyDescent="0.25">
      <c r="C4709" s="6"/>
      <c r="G4709" s="6"/>
      <c r="K4709" s="6"/>
    </row>
    <row r="4710" spans="3:11" x14ac:dyDescent="0.25">
      <c r="C4710" s="6"/>
      <c r="G4710" s="6"/>
      <c r="K4710" s="6"/>
    </row>
    <row r="4711" spans="3:11" x14ac:dyDescent="0.25">
      <c r="C4711" s="6"/>
      <c r="G4711" s="6"/>
      <c r="K4711" s="6"/>
    </row>
    <row r="4712" spans="3:11" x14ac:dyDescent="0.25">
      <c r="C4712" s="6"/>
      <c r="G4712" s="6"/>
      <c r="K4712" s="6"/>
    </row>
    <row r="4713" spans="3:11" x14ac:dyDescent="0.25">
      <c r="C4713" s="6"/>
      <c r="G4713" s="6"/>
      <c r="K4713" s="6"/>
    </row>
    <row r="4714" spans="3:11" x14ac:dyDescent="0.25">
      <c r="C4714" s="6"/>
      <c r="G4714" s="6"/>
      <c r="K4714" s="6"/>
    </row>
    <row r="4715" spans="3:11" x14ac:dyDescent="0.25">
      <c r="C4715" s="6"/>
      <c r="G4715" s="6"/>
      <c r="K4715" s="6"/>
    </row>
    <row r="4716" spans="3:11" x14ac:dyDescent="0.25">
      <c r="C4716" s="6"/>
      <c r="G4716" s="6"/>
      <c r="K4716" s="6"/>
    </row>
    <row r="4717" spans="3:11" x14ac:dyDescent="0.25">
      <c r="C4717" s="6"/>
      <c r="G4717" s="6"/>
      <c r="K4717" s="6"/>
    </row>
    <row r="4718" spans="3:11" x14ac:dyDescent="0.25">
      <c r="C4718" s="6"/>
      <c r="G4718" s="6"/>
      <c r="K4718" s="6"/>
    </row>
    <row r="4719" spans="3:11" x14ac:dyDescent="0.25">
      <c r="C4719" s="6"/>
      <c r="G4719" s="6"/>
      <c r="K4719" s="6"/>
    </row>
    <row r="4720" spans="3:11" x14ac:dyDescent="0.25">
      <c r="C4720" s="6"/>
      <c r="G4720" s="6"/>
      <c r="K4720" s="6"/>
    </row>
    <row r="4721" spans="3:11" x14ac:dyDescent="0.25">
      <c r="C4721" s="6"/>
      <c r="G4721" s="6"/>
      <c r="K4721" s="6"/>
    </row>
    <row r="4722" spans="3:11" x14ac:dyDescent="0.25">
      <c r="C4722" s="6"/>
      <c r="G4722" s="6"/>
      <c r="K4722" s="6"/>
    </row>
    <row r="4723" spans="3:11" x14ac:dyDescent="0.25">
      <c r="C4723" s="6"/>
      <c r="G4723" s="6"/>
      <c r="K4723" s="6"/>
    </row>
    <row r="4724" spans="3:11" x14ac:dyDescent="0.25">
      <c r="C4724" s="6"/>
      <c r="G4724" s="6"/>
      <c r="K4724" s="6"/>
    </row>
    <row r="4725" spans="3:11" x14ac:dyDescent="0.25">
      <c r="C4725" s="6"/>
      <c r="G4725" s="6"/>
      <c r="K4725" s="6"/>
    </row>
    <row r="4726" spans="3:11" x14ac:dyDescent="0.25">
      <c r="C4726" s="6"/>
      <c r="G4726" s="6"/>
      <c r="K4726" s="6"/>
    </row>
    <row r="4727" spans="3:11" x14ac:dyDescent="0.25">
      <c r="C4727" s="6"/>
      <c r="G4727" s="6"/>
      <c r="K4727" s="6"/>
    </row>
    <row r="4728" spans="3:11" x14ac:dyDescent="0.25">
      <c r="C4728" s="6"/>
      <c r="G4728" s="6"/>
      <c r="K4728" s="6"/>
    </row>
    <row r="4729" spans="3:11" x14ac:dyDescent="0.25">
      <c r="C4729" s="6"/>
      <c r="G4729" s="6"/>
      <c r="K4729" s="6"/>
    </row>
    <row r="4730" spans="3:11" x14ac:dyDescent="0.25">
      <c r="C4730" s="6"/>
      <c r="G4730" s="6"/>
      <c r="K4730" s="6"/>
    </row>
    <row r="4731" spans="3:11" x14ac:dyDescent="0.25">
      <c r="C4731" s="6"/>
      <c r="G4731" s="6"/>
      <c r="K4731" s="6"/>
    </row>
    <row r="4732" spans="3:11" x14ac:dyDescent="0.25">
      <c r="C4732" s="6"/>
      <c r="G4732" s="6"/>
      <c r="K4732" s="6"/>
    </row>
    <row r="4733" spans="3:11" x14ac:dyDescent="0.25">
      <c r="C4733" s="6"/>
      <c r="G4733" s="6"/>
      <c r="K4733" s="6"/>
    </row>
    <row r="4734" spans="3:11" x14ac:dyDescent="0.25">
      <c r="C4734" s="6"/>
      <c r="G4734" s="6"/>
      <c r="K4734" s="6"/>
    </row>
    <row r="4735" spans="3:11" x14ac:dyDescent="0.25">
      <c r="C4735" s="6"/>
      <c r="G4735" s="6"/>
      <c r="K4735" s="6"/>
    </row>
    <row r="4736" spans="3:11" x14ac:dyDescent="0.25">
      <c r="C4736" s="6"/>
      <c r="G4736" s="6"/>
      <c r="K4736" s="6"/>
    </row>
    <row r="4737" spans="3:11" x14ac:dyDescent="0.25">
      <c r="C4737" s="6"/>
      <c r="G4737" s="6"/>
      <c r="K4737" s="6"/>
    </row>
    <row r="4738" spans="3:11" x14ac:dyDescent="0.25">
      <c r="C4738" s="6"/>
      <c r="G4738" s="6"/>
      <c r="K4738" s="6"/>
    </row>
    <row r="4739" spans="3:11" x14ac:dyDescent="0.25">
      <c r="C4739" s="6"/>
      <c r="G4739" s="6"/>
      <c r="K4739" s="6"/>
    </row>
    <row r="4740" spans="3:11" x14ac:dyDescent="0.25">
      <c r="C4740" s="6"/>
      <c r="G4740" s="6"/>
      <c r="K4740" s="6"/>
    </row>
    <row r="4741" spans="3:11" x14ac:dyDescent="0.25">
      <c r="C4741" s="6"/>
      <c r="G4741" s="6"/>
      <c r="K4741" s="6"/>
    </row>
    <row r="4742" spans="3:11" x14ac:dyDescent="0.25">
      <c r="C4742" s="6"/>
      <c r="G4742" s="6"/>
      <c r="K4742" s="6"/>
    </row>
    <row r="4743" spans="3:11" x14ac:dyDescent="0.25">
      <c r="C4743" s="6"/>
      <c r="G4743" s="6"/>
      <c r="K4743" s="6"/>
    </row>
    <row r="4744" spans="3:11" x14ac:dyDescent="0.25">
      <c r="C4744" s="6"/>
      <c r="G4744" s="6"/>
      <c r="K4744" s="6"/>
    </row>
    <row r="4745" spans="3:11" x14ac:dyDescent="0.25">
      <c r="C4745" s="6"/>
      <c r="G4745" s="6"/>
      <c r="K4745" s="6"/>
    </row>
    <row r="4746" spans="3:11" x14ac:dyDescent="0.25">
      <c r="C4746" s="6"/>
      <c r="G4746" s="6"/>
      <c r="K4746" s="6"/>
    </row>
    <row r="4747" spans="3:11" x14ac:dyDescent="0.25">
      <c r="C4747" s="6"/>
      <c r="G4747" s="6"/>
      <c r="K4747" s="6"/>
    </row>
    <row r="4748" spans="3:11" x14ac:dyDescent="0.25">
      <c r="C4748" s="6"/>
      <c r="G4748" s="6"/>
      <c r="K4748" s="6"/>
    </row>
    <row r="4749" spans="3:11" x14ac:dyDescent="0.25">
      <c r="C4749" s="6"/>
      <c r="G4749" s="6"/>
      <c r="K4749" s="6"/>
    </row>
    <row r="4750" spans="3:11" x14ac:dyDescent="0.25">
      <c r="C4750" s="6"/>
      <c r="G4750" s="6"/>
      <c r="K4750" s="6"/>
    </row>
    <row r="4751" spans="3:11" x14ac:dyDescent="0.25">
      <c r="C4751" s="6"/>
      <c r="G4751" s="6"/>
      <c r="K4751" s="6"/>
    </row>
    <row r="4752" spans="3:11" x14ac:dyDescent="0.25">
      <c r="C4752" s="6"/>
      <c r="G4752" s="6"/>
      <c r="K4752" s="6"/>
    </row>
    <row r="4753" spans="3:11" x14ac:dyDescent="0.25">
      <c r="C4753" s="6"/>
      <c r="G4753" s="6"/>
      <c r="K4753" s="6"/>
    </row>
    <row r="4754" spans="3:11" x14ac:dyDescent="0.25">
      <c r="C4754" s="6"/>
      <c r="G4754" s="6"/>
      <c r="K4754" s="6"/>
    </row>
    <row r="4755" spans="3:11" x14ac:dyDescent="0.25">
      <c r="C4755" s="6"/>
      <c r="G4755" s="6"/>
      <c r="K4755" s="6"/>
    </row>
    <row r="4756" spans="3:11" x14ac:dyDescent="0.25">
      <c r="C4756" s="6"/>
      <c r="G4756" s="6"/>
      <c r="K4756" s="6"/>
    </row>
    <row r="4757" spans="3:11" x14ac:dyDescent="0.25">
      <c r="C4757" s="6"/>
      <c r="G4757" s="6"/>
      <c r="K4757" s="6"/>
    </row>
    <row r="4758" spans="3:11" x14ac:dyDescent="0.25">
      <c r="C4758" s="6"/>
      <c r="G4758" s="6"/>
      <c r="K4758" s="6"/>
    </row>
    <row r="4759" spans="3:11" x14ac:dyDescent="0.25">
      <c r="C4759" s="6"/>
      <c r="G4759" s="6"/>
      <c r="K4759" s="6"/>
    </row>
    <row r="4760" spans="3:11" x14ac:dyDescent="0.25">
      <c r="C4760" s="6"/>
      <c r="G4760" s="6"/>
      <c r="K4760" s="6"/>
    </row>
    <row r="4761" spans="3:11" x14ac:dyDescent="0.25">
      <c r="C4761" s="6"/>
      <c r="G4761" s="6"/>
      <c r="K4761" s="6"/>
    </row>
    <row r="4762" spans="3:11" x14ac:dyDescent="0.25">
      <c r="C4762" s="6"/>
      <c r="G4762" s="6"/>
      <c r="K4762" s="6"/>
    </row>
    <row r="4763" spans="3:11" x14ac:dyDescent="0.25">
      <c r="C4763" s="6"/>
      <c r="G4763" s="6"/>
      <c r="K4763" s="6"/>
    </row>
    <row r="4764" spans="3:11" x14ac:dyDescent="0.25">
      <c r="C4764" s="6"/>
      <c r="G4764" s="6"/>
      <c r="K4764" s="6"/>
    </row>
    <row r="4765" spans="3:11" x14ac:dyDescent="0.25">
      <c r="C4765" s="6"/>
      <c r="G4765" s="6"/>
      <c r="K4765" s="6"/>
    </row>
    <row r="4766" spans="3:11" x14ac:dyDescent="0.25">
      <c r="C4766" s="6"/>
      <c r="G4766" s="6"/>
      <c r="K4766" s="6"/>
    </row>
    <row r="4767" spans="3:11" x14ac:dyDescent="0.25">
      <c r="C4767" s="6"/>
      <c r="G4767" s="6"/>
      <c r="K4767" s="6"/>
    </row>
    <row r="4768" spans="3:11" x14ac:dyDescent="0.25">
      <c r="C4768" s="6"/>
      <c r="G4768" s="6"/>
      <c r="K4768" s="6"/>
    </row>
    <row r="4769" spans="3:11" x14ac:dyDescent="0.25">
      <c r="C4769" s="6"/>
      <c r="G4769" s="6"/>
      <c r="K4769" s="6"/>
    </row>
    <row r="4770" spans="3:11" x14ac:dyDescent="0.25">
      <c r="C4770" s="6"/>
      <c r="G4770" s="6"/>
      <c r="K4770" s="6"/>
    </row>
    <row r="4771" spans="3:11" x14ac:dyDescent="0.25">
      <c r="C4771" s="6"/>
      <c r="G4771" s="6"/>
      <c r="K4771" s="6"/>
    </row>
    <row r="4772" spans="3:11" x14ac:dyDescent="0.25">
      <c r="C4772" s="6"/>
      <c r="G4772" s="6"/>
      <c r="K4772" s="6"/>
    </row>
    <row r="4773" spans="3:11" x14ac:dyDescent="0.25">
      <c r="C4773" s="6"/>
      <c r="G4773" s="6"/>
      <c r="K4773" s="6"/>
    </row>
    <row r="4774" spans="3:11" x14ac:dyDescent="0.25">
      <c r="C4774" s="6"/>
      <c r="G4774" s="6"/>
      <c r="K4774" s="6"/>
    </row>
    <row r="4775" spans="3:11" x14ac:dyDescent="0.25">
      <c r="C4775" s="6"/>
      <c r="G4775" s="6"/>
      <c r="K4775" s="6"/>
    </row>
    <row r="4776" spans="3:11" x14ac:dyDescent="0.25">
      <c r="C4776" s="6"/>
      <c r="G4776" s="6"/>
      <c r="K4776" s="6"/>
    </row>
    <row r="4777" spans="3:11" x14ac:dyDescent="0.25">
      <c r="C4777" s="6"/>
      <c r="G4777" s="6"/>
      <c r="K4777" s="6"/>
    </row>
    <row r="4778" spans="3:11" x14ac:dyDescent="0.25">
      <c r="C4778" s="6"/>
      <c r="G4778" s="6"/>
      <c r="K4778" s="6"/>
    </row>
    <row r="4779" spans="3:11" x14ac:dyDescent="0.25">
      <c r="C4779" s="6"/>
      <c r="G4779" s="6"/>
      <c r="K4779" s="6"/>
    </row>
    <row r="4780" spans="3:11" x14ac:dyDescent="0.25">
      <c r="C4780" s="6"/>
      <c r="G4780" s="6"/>
      <c r="K4780" s="6"/>
    </row>
    <row r="4781" spans="3:11" x14ac:dyDescent="0.25">
      <c r="C4781" s="6"/>
      <c r="G4781" s="6"/>
      <c r="K4781" s="6"/>
    </row>
    <row r="4782" spans="3:11" x14ac:dyDescent="0.25">
      <c r="C4782" s="6"/>
      <c r="G4782" s="6"/>
      <c r="K4782" s="6"/>
    </row>
    <row r="4783" spans="3:11" x14ac:dyDescent="0.25">
      <c r="C4783" s="6"/>
      <c r="G4783" s="6"/>
      <c r="K4783" s="6"/>
    </row>
    <row r="4784" spans="3:11" x14ac:dyDescent="0.25">
      <c r="C4784" s="6"/>
      <c r="G4784" s="6"/>
      <c r="K4784" s="6"/>
    </row>
    <row r="4785" spans="3:11" x14ac:dyDescent="0.25">
      <c r="C4785" s="6"/>
      <c r="G4785" s="6"/>
      <c r="K4785" s="6"/>
    </row>
    <row r="4786" spans="3:11" x14ac:dyDescent="0.25">
      <c r="C4786" s="6"/>
      <c r="G4786" s="6"/>
      <c r="K4786" s="6"/>
    </row>
    <row r="4787" spans="3:11" x14ac:dyDescent="0.25">
      <c r="C4787" s="6"/>
      <c r="G4787" s="6"/>
      <c r="K4787" s="6"/>
    </row>
    <row r="4788" spans="3:11" x14ac:dyDescent="0.25">
      <c r="C4788" s="6"/>
      <c r="G4788" s="6"/>
      <c r="K4788" s="6"/>
    </row>
    <row r="4789" spans="3:11" x14ac:dyDescent="0.25">
      <c r="C4789" s="6"/>
      <c r="G4789" s="6"/>
      <c r="K4789" s="6"/>
    </row>
    <row r="4790" spans="3:11" x14ac:dyDescent="0.25">
      <c r="C4790" s="6"/>
      <c r="G4790" s="6"/>
      <c r="K4790" s="6"/>
    </row>
    <row r="4791" spans="3:11" x14ac:dyDescent="0.25">
      <c r="C4791" s="6"/>
      <c r="G4791" s="6"/>
      <c r="K4791" s="6"/>
    </row>
    <row r="4792" spans="3:11" x14ac:dyDescent="0.25">
      <c r="C4792" s="6"/>
      <c r="G4792" s="6"/>
      <c r="K4792" s="6"/>
    </row>
    <row r="4793" spans="3:11" x14ac:dyDescent="0.25">
      <c r="C4793" s="6"/>
      <c r="G4793" s="6"/>
      <c r="K4793" s="6"/>
    </row>
    <row r="4794" spans="3:11" x14ac:dyDescent="0.25">
      <c r="C4794" s="6"/>
      <c r="G4794" s="6"/>
      <c r="K4794" s="6"/>
    </row>
    <row r="4795" spans="3:11" x14ac:dyDescent="0.25">
      <c r="C4795" s="6"/>
      <c r="G4795" s="6"/>
      <c r="K4795" s="6"/>
    </row>
    <row r="4796" spans="3:11" x14ac:dyDescent="0.25">
      <c r="C4796" s="6"/>
      <c r="G4796" s="6"/>
      <c r="K4796" s="6"/>
    </row>
    <row r="4797" spans="3:11" x14ac:dyDescent="0.25">
      <c r="C4797" s="6"/>
      <c r="G4797" s="6"/>
      <c r="K4797" s="6"/>
    </row>
    <row r="4798" spans="3:11" x14ac:dyDescent="0.25">
      <c r="C4798" s="6"/>
      <c r="G4798" s="6"/>
      <c r="K4798" s="6"/>
    </row>
    <row r="4799" spans="3:11" x14ac:dyDescent="0.25">
      <c r="C4799" s="6"/>
      <c r="G4799" s="6"/>
      <c r="K4799" s="6"/>
    </row>
    <row r="4800" spans="3:11" x14ac:dyDescent="0.25">
      <c r="C4800" s="6"/>
      <c r="G4800" s="6"/>
      <c r="K4800" s="6"/>
    </row>
    <row r="4801" spans="3:11" x14ac:dyDescent="0.25">
      <c r="C4801" s="6"/>
      <c r="G4801" s="6"/>
      <c r="K4801" s="6"/>
    </row>
    <row r="4802" spans="3:11" x14ac:dyDescent="0.25">
      <c r="C4802" s="6"/>
      <c r="G4802" s="6"/>
      <c r="K4802" s="6"/>
    </row>
    <row r="4803" spans="3:11" x14ac:dyDescent="0.25">
      <c r="C4803" s="6"/>
      <c r="G4803" s="6"/>
      <c r="K4803" s="6"/>
    </row>
    <row r="4804" spans="3:11" x14ac:dyDescent="0.25">
      <c r="C4804" s="6"/>
      <c r="G4804" s="6"/>
      <c r="K4804" s="6"/>
    </row>
    <row r="4805" spans="3:11" x14ac:dyDescent="0.25">
      <c r="C4805" s="6"/>
      <c r="G4805" s="6"/>
      <c r="K4805" s="6"/>
    </row>
    <row r="4806" spans="3:11" x14ac:dyDescent="0.25">
      <c r="C4806" s="6"/>
      <c r="G4806" s="6"/>
      <c r="K4806" s="6"/>
    </row>
    <row r="4807" spans="3:11" x14ac:dyDescent="0.25">
      <c r="C4807" s="6"/>
      <c r="G4807" s="6"/>
      <c r="K4807" s="6"/>
    </row>
    <row r="4808" spans="3:11" x14ac:dyDescent="0.25">
      <c r="C4808" s="6"/>
      <c r="G4808" s="6"/>
      <c r="K4808" s="6"/>
    </row>
    <row r="4809" spans="3:11" x14ac:dyDescent="0.25">
      <c r="C4809" s="6"/>
      <c r="G4809" s="6"/>
      <c r="K4809" s="6"/>
    </row>
    <row r="4810" spans="3:11" x14ac:dyDescent="0.25">
      <c r="C4810" s="6"/>
      <c r="G4810" s="6"/>
      <c r="K4810" s="6"/>
    </row>
    <row r="4811" spans="3:11" x14ac:dyDescent="0.25">
      <c r="C4811" s="6"/>
      <c r="G4811" s="6"/>
      <c r="K4811" s="6"/>
    </row>
    <row r="4812" spans="3:11" x14ac:dyDescent="0.25">
      <c r="C4812" s="6"/>
      <c r="G4812" s="6"/>
      <c r="K4812" s="6"/>
    </row>
    <row r="4813" spans="3:11" x14ac:dyDescent="0.25">
      <c r="C4813" s="6"/>
      <c r="G4813" s="6"/>
      <c r="K4813" s="6"/>
    </row>
    <row r="4814" spans="3:11" x14ac:dyDescent="0.25">
      <c r="C4814" s="6"/>
      <c r="G4814" s="6"/>
      <c r="K4814" s="6"/>
    </row>
    <row r="4815" spans="3:11" x14ac:dyDescent="0.25">
      <c r="C4815" s="6"/>
      <c r="G4815" s="6"/>
      <c r="K4815" s="6"/>
    </row>
    <row r="4816" spans="3:11" x14ac:dyDescent="0.25">
      <c r="C4816" s="6"/>
      <c r="G4816" s="6"/>
      <c r="K4816" s="6"/>
    </row>
    <row r="4817" spans="3:11" x14ac:dyDescent="0.25">
      <c r="C4817" s="6"/>
      <c r="G4817" s="6"/>
      <c r="K4817" s="6"/>
    </row>
    <row r="4818" spans="3:11" x14ac:dyDescent="0.25">
      <c r="C4818" s="6"/>
      <c r="G4818" s="6"/>
      <c r="K4818" s="6"/>
    </row>
    <row r="4819" spans="3:11" x14ac:dyDescent="0.25">
      <c r="C4819" s="6"/>
      <c r="G4819" s="6"/>
      <c r="K4819" s="6"/>
    </row>
    <row r="4820" spans="3:11" x14ac:dyDescent="0.25">
      <c r="C4820" s="6"/>
      <c r="G4820" s="6"/>
      <c r="K4820" s="6"/>
    </row>
    <row r="4821" spans="3:11" x14ac:dyDescent="0.25">
      <c r="C4821" s="6"/>
      <c r="G4821" s="6"/>
      <c r="K4821" s="6"/>
    </row>
    <row r="4822" spans="3:11" x14ac:dyDescent="0.25">
      <c r="C4822" s="6"/>
      <c r="G4822" s="6"/>
      <c r="K4822" s="6"/>
    </row>
    <row r="4823" spans="3:11" x14ac:dyDescent="0.25">
      <c r="C4823" s="6"/>
      <c r="G4823" s="6"/>
      <c r="K4823" s="6"/>
    </row>
    <row r="4824" spans="3:11" x14ac:dyDescent="0.25">
      <c r="C4824" s="6"/>
      <c r="G4824" s="6"/>
      <c r="K4824" s="6"/>
    </row>
    <row r="4825" spans="3:11" x14ac:dyDescent="0.25">
      <c r="C4825" s="6"/>
      <c r="G4825" s="6"/>
      <c r="K4825" s="6"/>
    </row>
    <row r="4826" spans="3:11" x14ac:dyDescent="0.25">
      <c r="C4826" s="6"/>
      <c r="G4826" s="6"/>
      <c r="K4826" s="6"/>
    </row>
    <row r="4827" spans="3:11" x14ac:dyDescent="0.25">
      <c r="C4827" s="6"/>
      <c r="G4827" s="6"/>
      <c r="K4827" s="6"/>
    </row>
    <row r="4828" spans="3:11" x14ac:dyDescent="0.25">
      <c r="C4828" s="6"/>
      <c r="G4828" s="6"/>
      <c r="K4828" s="6"/>
    </row>
    <row r="4829" spans="3:11" x14ac:dyDescent="0.25">
      <c r="C4829" s="6"/>
      <c r="G4829" s="6"/>
      <c r="K4829" s="6"/>
    </row>
    <row r="4830" spans="3:11" x14ac:dyDescent="0.25">
      <c r="C4830" s="6"/>
      <c r="G4830" s="6"/>
      <c r="K4830" s="6"/>
    </row>
    <row r="4831" spans="3:11" x14ac:dyDescent="0.25">
      <c r="C4831" s="6"/>
      <c r="G4831" s="6"/>
      <c r="K4831" s="6"/>
    </row>
    <row r="4832" spans="3:11" x14ac:dyDescent="0.25">
      <c r="C4832" s="6"/>
      <c r="G4832" s="6"/>
      <c r="K4832" s="6"/>
    </row>
    <row r="4833" spans="3:11" x14ac:dyDescent="0.25">
      <c r="C4833" s="6"/>
      <c r="G4833" s="6"/>
      <c r="K4833" s="6"/>
    </row>
    <row r="4834" spans="3:11" x14ac:dyDescent="0.25">
      <c r="C4834" s="6"/>
      <c r="G4834" s="6"/>
      <c r="K4834" s="6"/>
    </row>
    <row r="4835" spans="3:11" x14ac:dyDescent="0.25">
      <c r="C4835" s="6"/>
      <c r="G4835" s="6"/>
      <c r="K4835" s="6"/>
    </row>
    <row r="4836" spans="3:11" x14ac:dyDescent="0.25">
      <c r="C4836" s="6"/>
      <c r="G4836" s="6"/>
      <c r="K4836" s="6"/>
    </row>
    <row r="4837" spans="3:11" x14ac:dyDescent="0.25">
      <c r="C4837" s="6"/>
      <c r="G4837" s="6"/>
      <c r="K4837" s="6"/>
    </row>
    <row r="4838" spans="3:11" x14ac:dyDescent="0.25">
      <c r="C4838" s="6"/>
      <c r="G4838" s="6"/>
      <c r="K4838" s="6"/>
    </row>
    <row r="4839" spans="3:11" x14ac:dyDescent="0.25">
      <c r="C4839" s="6"/>
      <c r="G4839" s="6"/>
      <c r="K4839" s="6"/>
    </row>
    <row r="4840" spans="3:11" x14ac:dyDescent="0.25">
      <c r="C4840" s="6"/>
      <c r="G4840" s="6"/>
      <c r="K4840" s="6"/>
    </row>
    <row r="4841" spans="3:11" x14ac:dyDescent="0.25">
      <c r="C4841" s="6"/>
      <c r="G4841" s="6"/>
      <c r="K4841" s="6"/>
    </row>
    <row r="4842" spans="3:11" x14ac:dyDescent="0.25">
      <c r="C4842" s="6"/>
      <c r="G4842" s="6"/>
      <c r="K4842" s="6"/>
    </row>
    <row r="4843" spans="3:11" x14ac:dyDescent="0.25">
      <c r="C4843" s="6"/>
      <c r="G4843" s="6"/>
      <c r="K4843" s="6"/>
    </row>
    <row r="4844" spans="3:11" x14ac:dyDescent="0.25">
      <c r="C4844" s="6"/>
      <c r="G4844" s="6"/>
      <c r="K4844" s="6"/>
    </row>
    <row r="4845" spans="3:11" x14ac:dyDescent="0.25">
      <c r="C4845" s="6"/>
      <c r="G4845" s="6"/>
      <c r="K4845" s="6"/>
    </row>
    <row r="4846" spans="3:11" x14ac:dyDescent="0.25">
      <c r="C4846" s="6"/>
      <c r="G4846" s="6"/>
      <c r="K4846" s="6"/>
    </row>
    <row r="4847" spans="3:11" x14ac:dyDescent="0.25">
      <c r="C4847" s="6"/>
      <c r="G4847" s="6"/>
      <c r="K4847" s="6"/>
    </row>
    <row r="4848" spans="3:11" x14ac:dyDescent="0.25">
      <c r="C4848" s="6"/>
      <c r="G4848" s="6"/>
      <c r="K4848" s="6"/>
    </row>
    <row r="4849" spans="3:11" x14ac:dyDescent="0.25">
      <c r="C4849" s="6"/>
      <c r="G4849" s="6"/>
      <c r="K4849" s="6"/>
    </row>
    <row r="4850" spans="3:11" x14ac:dyDescent="0.25">
      <c r="C4850" s="6"/>
      <c r="G4850" s="6"/>
      <c r="K4850" s="6"/>
    </row>
    <row r="4851" spans="3:11" x14ac:dyDescent="0.25">
      <c r="C4851" s="6"/>
      <c r="G4851" s="6"/>
      <c r="K4851" s="6"/>
    </row>
    <row r="4852" spans="3:11" x14ac:dyDescent="0.25">
      <c r="C4852" s="6"/>
      <c r="G4852" s="6"/>
      <c r="K4852" s="6"/>
    </row>
    <row r="4853" spans="3:11" x14ac:dyDescent="0.25">
      <c r="C4853" s="6"/>
      <c r="G4853" s="6"/>
      <c r="K4853" s="6"/>
    </row>
    <row r="4854" spans="3:11" x14ac:dyDescent="0.25">
      <c r="C4854" s="6"/>
      <c r="G4854" s="6"/>
      <c r="K4854" s="6"/>
    </row>
    <row r="4855" spans="3:11" x14ac:dyDescent="0.25">
      <c r="C4855" s="6"/>
      <c r="G4855" s="6"/>
      <c r="K4855" s="6"/>
    </row>
    <row r="4856" spans="3:11" x14ac:dyDescent="0.25">
      <c r="C4856" s="6"/>
      <c r="G4856" s="6"/>
      <c r="K4856" s="6"/>
    </row>
    <row r="4857" spans="3:11" x14ac:dyDescent="0.25">
      <c r="C4857" s="6"/>
      <c r="G4857" s="6"/>
      <c r="K4857" s="6"/>
    </row>
    <row r="4858" spans="3:11" x14ac:dyDescent="0.25">
      <c r="C4858" s="6"/>
      <c r="G4858" s="6"/>
      <c r="K4858" s="6"/>
    </row>
    <row r="4859" spans="3:11" x14ac:dyDescent="0.25">
      <c r="C4859" s="6"/>
      <c r="G4859" s="6"/>
      <c r="K4859" s="6"/>
    </row>
    <row r="4860" spans="3:11" x14ac:dyDescent="0.25">
      <c r="C4860" s="6"/>
      <c r="G4860" s="6"/>
      <c r="K4860" s="6"/>
    </row>
    <row r="4861" spans="3:11" x14ac:dyDescent="0.25">
      <c r="C4861" s="6"/>
      <c r="G4861" s="6"/>
      <c r="K4861" s="6"/>
    </row>
    <row r="4862" spans="3:11" x14ac:dyDescent="0.25">
      <c r="C4862" s="6"/>
      <c r="G4862" s="6"/>
      <c r="K4862" s="6"/>
    </row>
    <row r="4863" spans="3:11" x14ac:dyDescent="0.25">
      <c r="C4863" s="6"/>
      <c r="G4863" s="6"/>
      <c r="K4863" s="6"/>
    </row>
    <row r="4864" spans="3:11" x14ac:dyDescent="0.25">
      <c r="C4864" s="6"/>
      <c r="G4864" s="6"/>
      <c r="K4864" s="6"/>
    </row>
    <row r="4865" spans="3:11" x14ac:dyDescent="0.25">
      <c r="C4865" s="6"/>
      <c r="G4865" s="6"/>
      <c r="K4865" s="6"/>
    </row>
    <row r="4866" spans="3:11" x14ac:dyDescent="0.25">
      <c r="C4866" s="6"/>
      <c r="G4866" s="6"/>
      <c r="K4866" s="6"/>
    </row>
    <row r="4867" spans="3:11" x14ac:dyDescent="0.25">
      <c r="C4867" s="6"/>
      <c r="G4867" s="6"/>
      <c r="K4867" s="6"/>
    </row>
    <row r="4868" spans="3:11" x14ac:dyDescent="0.25">
      <c r="C4868" s="6"/>
      <c r="G4868" s="6"/>
      <c r="K4868" s="6"/>
    </row>
    <row r="4869" spans="3:11" x14ac:dyDescent="0.25">
      <c r="C4869" s="6"/>
      <c r="G4869" s="6"/>
      <c r="K4869" s="6"/>
    </row>
    <row r="4870" spans="3:11" x14ac:dyDescent="0.25">
      <c r="C4870" s="6"/>
      <c r="G4870" s="6"/>
      <c r="K4870" s="6"/>
    </row>
    <row r="4871" spans="3:11" x14ac:dyDescent="0.25">
      <c r="C4871" s="6"/>
      <c r="G4871" s="6"/>
      <c r="K4871" s="6"/>
    </row>
    <row r="4872" spans="3:11" x14ac:dyDescent="0.25">
      <c r="C4872" s="6"/>
      <c r="G4872" s="6"/>
      <c r="K4872" s="6"/>
    </row>
    <row r="4873" spans="3:11" x14ac:dyDescent="0.25">
      <c r="C4873" s="6"/>
      <c r="G4873" s="6"/>
      <c r="K4873" s="6"/>
    </row>
    <row r="4874" spans="3:11" x14ac:dyDescent="0.25">
      <c r="C4874" s="6"/>
      <c r="G4874" s="6"/>
      <c r="K4874" s="6"/>
    </row>
    <row r="4875" spans="3:11" x14ac:dyDescent="0.25">
      <c r="C4875" s="6"/>
      <c r="G4875" s="6"/>
      <c r="K4875" s="6"/>
    </row>
    <row r="4876" spans="3:11" x14ac:dyDescent="0.25">
      <c r="C4876" s="6"/>
      <c r="G4876" s="6"/>
      <c r="K4876" s="6"/>
    </row>
    <row r="4877" spans="3:11" x14ac:dyDescent="0.25">
      <c r="C4877" s="6"/>
      <c r="G4877" s="6"/>
      <c r="K4877" s="6"/>
    </row>
    <row r="4878" spans="3:11" x14ac:dyDescent="0.25">
      <c r="C4878" s="6"/>
      <c r="G4878" s="6"/>
      <c r="K4878" s="6"/>
    </row>
    <row r="4879" spans="3:11" x14ac:dyDescent="0.25">
      <c r="C4879" s="6"/>
      <c r="G4879" s="6"/>
      <c r="K4879" s="6"/>
    </row>
    <row r="4880" spans="3:11" x14ac:dyDescent="0.25">
      <c r="C4880" s="6"/>
      <c r="G4880" s="6"/>
      <c r="K4880" s="6"/>
    </row>
    <row r="4881" spans="3:11" x14ac:dyDescent="0.25">
      <c r="C4881" s="6"/>
      <c r="G4881" s="6"/>
      <c r="K4881" s="6"/>
    </row>
    <row r="4882" spans="3:11" x14ac:dyDescent="0.25">
      <c r="C4882" s="6"/>
      <c r="G4882" s="6"/>
      <c r="K4882" s="6"/>
    </row>
    <row r="4883" spans="3:11" x14ac:dyDescent="0.25">
      <c r="C4883" s="6"/>
      <c r="G4883" s="6"/>
      <c r="K4883" s="6"/>
    </row>
    <row r="4884" spans="3:11" x14ac:dyDescent="0.25">
      <c r="C4884" s="6"/>
      <c r="G4884" s="6"/>
      <c r="K4884" s="6"/>
    </row>
    <row r="4885" spans="3:11" x14ac:dyDescent="0.25">
      <c r="C4885" s="6"/>
      <c r="G4885" s="6"/>
      <c r="K4885" s="6"/>
    </row>
    <row r="4886" spans="3:11" x14ac:dyDescent="0.25">
      <c r="C4886" s="6"/>
      <c r="G4886" s="6"/>
      <c r="K4886" s="6"/>
    </row>
    <row r="4887" spans="3:11" x14ac:dyDescent="0.25">
      <c r="C4887" s="6"/>
      <c r="G4887" s="6"/>
      <c r="K4887" s="6"/>
    </row>
    <row r="4888" spans="3:11" x14ac:dyDescent="0.25">
      <c r="C4888" s="6"/>
      <c r="G4888" s="6"/>
      <c r="K4888" s="6"/>
    </row>
    <row r="4889" spans="3:11" x14ac:dyDescent="0.25">
      <c r="C4889" s="6"/>
      <c r="G4889" s="6"/>
      <c r="K4889" s="6"/>
    </row>
    <row r="4890" spans="3:11" x14ac:dyDescent="0.25">
      <c r="C4890" s="6"/>
      <c r="G4890" s="6"/>
      <c r="K4890" s="6"/>
    </row>
    <row r="4891" spans="3:11" x14ac:dyDescent="0.25">
      <c r="C4891" s="6"/>
      <c r="G4891" s="6"/>
      <c r="K4891" s="6"/>
    </row>
    <row r="4892" spans="3:11" x14ac:dyDescent="0.25">
      <c r="C4892" s="6"/>
      <c r="G4892" s="6"/>
      <c r="K4892" s="6"/>
    </row>
    <row r="4893" spans="3:11" x14ac:dyDescent="0.25">
      <c r="C4893" s="6"/>
      <c r="G4893" s="6"/>
      <c r="K4893" s="6"/>
    </row>
    <row r="4894" spans="3:11" x14ac:dyDescent="0.25">
      <c r="C4894" s="6"/>
      <c r="G4894" s="6"/>
      <c r="K4894" s="6"/>
    </row>
    <row r="4895" spans="3:11" x14ac:dyDescent="0.25">
      <c r="C4895" s="6"/>
      <c r="G4895" s="6"/>
      <c r="K4895" s="6"/>
    </row>
    <row r="4896" spans="3:11" x14ac:dyDescent="0.25">
      <c r="C4896" s="6"/>
      <c r="G4896" s="6"/>
      <c r="K4896" s="6"/>
    </row>
    <row r="4897" spans="3:11" x14ac:dyDescent="0.25">
      <c r="C4897" s="6"/>
      <c r="G4897" s="6"/>
      <c r="K4897" s="6"/>
    </row>
    <row r="4898" spans="3:11" x14ac:dyDescent="0.25">
      <c r="C4898" s="6"/>
      <c r="G4898" s="6"/>
      <c r="K4898" s="6"/>
    </row>
    <row r="4899" spans="3:11" x14ac:dyDescent="0.25">
      <c r="C4899" s="6"/>
      <c r="G4899" s="6"/>
      <c r="K4899" s="6"/>
    </row>
    <row r="4900" spans="3:11" x14ac:dyDescent="0.25">
      <c r="C4900" s="6"/>
      <c r="G4900" s="6"/>
      <c r="K4900" s="6"/>
    </row>
    <row r="4901" spans="3:11" x14ac:dyDescent="0.25">
      <c r="C4901" s="6"/>
      <c r="G4901" s="6"/>
      <c r="K4901" s="6"/>
    </row>
    <row r="4902" spans="3:11" x14ac:dyDescent="0.25">
      <c r="C4902" s="6"/>
      <c r="G4902" s="6"/>
      <c r="K4902" s="6"/>
    </row>
    <row r="4903" spans="3:11" x14ac:dyDescent="0.25">
      <c r="C4903" s="6"/>
      <c r="G4903" s="6"/>
      <c r="K4903" s="6"/>
    </row>
    <row r="4904" spans="3:11" x14ac:dyDescent="0.25">
      <c r="C4904" s="6"/>
      <c r="G4904" s="6"/>
      <c r="K4904" s="6"/>
    </row>
    <row r="4905" spans="3:11" x14ac:dyDescent="0.25">
      <c r="C4905" s="6"/>
      <c r="G4905" s="6"/>
      <c r="K4905" s="6"/>
    </row>
    <row r="4906" spans="3:11" x14ac:dyDescent="0.25">
      <c r="C4906" s="6"/>
      <c r="G4906" s="6"/>
      <c r="K4906" s="6"/>
    </row>
    <row r="4907" spans="3:11" x14ac:dyDescent="0.25">
      <c r="C4907" s="6"/>
      <c r="G4907" s="6"/>
      <c r="K4907" s="6"/>
    </row>
    <row r="4908" spans="3:11" x14ac:dyDescent="0.25">
      <c r="C4908" s="6"/>
      <c r="G4908" s="6"/>
      <c r="K4908" s="6"/>
    </row>
    <row r="4909" spans="3:11" x14ac:dyDescent="0.25">
      <c r="C4909" s="6"/>
      <c r="G4909" s="6"/>
      <c r="K4909" s="6"/>
    </row>
    <row r="4910" spans="3:11" x14ac:dyDescent="0.25">
      <c r="C4910" s="6"/>
      <c r="G4910" s="6"/>
      <c r="K4910" s="6"/>
    </row>
    <row r="4911" spans="3:11" x14ac:dyDescent="0.25">
      <c r="C4911" s="6"/>
      <c r="G4911" s="6"/>
      <c r="K4911" s="6"/>
    </row>
    <row r="4912" spans="3:11" x14ac:dyDescent="0.25">
      <c r="C4912" s="6"/>
      <c r="G4912" s="6"/>
      <c r="K4912" s="6"/>
    </row>
    <row r="4913" spans="3:11" x14ac:dyDescent="0.25">
      <c r="C4913" s="6"/>
      <c r="G4913" s="6"/>
      <c r="K4913" s="6"/>
    </row>
    <row r="4914" spans="3:11" x14ac:dyDescent="0.25">
      <c r="C4914" s="6"/>
      <c r="G4914" s="6"/>
      <c r="K4914" s="6"/>
    </row>
    <row r="4915" spans="3:11" x14ac:dyDescent="0.25">
      <c r="C4915" s="6"/>
      <c r="G4915" s="6"/>
      <c r="K4915" s="6"/>
    </row>
    <row r="4916" spans="3:11" x14ac:dyDescent="0.25">
      <c r="C4916" s="6"/>
      <c r="G4916" s="6"/>
      <c r="K4916" s="6"/>
    </row>
    <row r="4917" spans="3:11" x14ac:dyDescent="0.25">
      <c r="C4917" s="6"/>
      <c r="G4917" s="6"/>
      <c r="K4917" s="6"/>
    </row>
    <row r="4918" spans="3:11" x14ac:dyDescent="0.25">
      <c r="C4918" s="6"/>
      <c r="G4918" s="6"/>
      <c r="K4918" s="6"/>
    </row>
    <row r="4919" spans="3:11" x14ac:dyDescent="0.25">
      <c r="C4919" s="6"/>
      <c r="G4919" s="6"/>
      <c r="K4919" s="6"/>
    </row>
    <row r="4920" spans="3:11" x14ac:dyDescent="0.25">
      <c r="C4920" s="6"/>
      <c r="G4920" s="6"/>
      <c r="K4920" s="6"/>
    </row>
    <row r="4921" spans="3:11" x14ac:dyDescent="0.25">
      <c r="C4921" s="6"/>
      <c r="G4921" s="6"/>
      <c r="K4921" s="6"/>
    </row>
    <row r="4922" spans="3:11" x14ac:dyDescent="0.25">
      <c r="C4922" s="6"/>
      <c r="G4922" s="6"/>
      <c r="K4922" s="6"/>
    </row>
    <row r="4923" spans="3:11" x14ac:dyDescent="0.25">
      <c r="C4923" s="6"/>
      <c r="G4923" s="6"/>
      <c r="K4923" s="6"/>
    </row>
    <row r="4924" spans="3:11" x14ac:dyDescent="0.25">
      <c r="C4924" s="6"/>
      <c r="G4924" s="6"/>
      <c r="K4924" s="6"/>
    </row>
    <row r="4925" spans="3:11" x14ac:dyDescent="0.25">
      <c r="C4925" s="6"/>
      <c r="G4925" s="6"/>
      <c r="K4925" s="6"/>
    </row>
    <row r="4926" spans="3:11" x14ac:dyDescent="0.25">
      <c r="C4926" s="6"/>
      <c r="G4926" s="6"/>
      <c r="K4926" s="6"/>
    </row>
    <row r="4927" spans="3:11" x14ac:dyDescent="0.25">
      <c r="C4927" s="6"/>
      <c r="G4927" s="6"/>
      <c r="K4927" s="6"/>
    </row>
    <row r="4928" spans="3:11" x14ac:dyDescent="0.25">
      <c r="C4928" s="6"/>
      <c r="G4928" s="6"/>
      <c r="K4928" s="6"/>
    </row>
    <row r="4929" spans="3:11" x14ac:dyDescent="0.25">
      <c r="C4929" s="6"/>
      <c r="G4929" s="6"/>
      <c r="K4929" s="6"/>
    </row>
    <row r="4930" spans="3:11" x14ac:dyDescent="0.25">
      <c r="C4930" s="6"/>
      <c r="G4930" s="6"/>
      <c r="K4930" s="6"/>
    </row>
    <row r="4931" spans="3:11" x14ac:dyDescent="0.25">
      <c r="C4931" s="6"/>
      <c r="G4931" s="6"/>
      <c r="K4931" s="6"/>
    </row>
    <row r="4932" spans="3:11" x14ac:dyDescent="0.25">
      <c r="C4932" s="6"/>
      <c r="G4932" s="6"/>
      <c r="K4932" s="6"/>
    </row>
    <row r="4933" spans="3:11" x14ac:dyDescent="0.25">
      <c r="C4933" s="6"/>
      <c r="G4933" s="6"/>
      <c r="K4933" s="6"/>
    </row>
    <row r="4934" spans="3:11" x14ac:dyDescent="0.25">
      <c r="C4934" s="6"/>
      <c r="G4934" s="6"/>
      <c r="K4934" s="6"/>
    </row>
    <row r="4935" spans="3:11" x14ac:dyDescent="0.25">
      <c r="C4935" s="6"/>
      <c r="G4935" s="6"/>
      <c r="K4935" s="6"/>
    </row>
    <row r="4936" spans="3:11" x14ac:dyDescent="0.25">
      <c r="C4936" s="6"/>
      <c r="G4936" s="6"/>
      <c r="K4936" s="6"/>
    </row>
    <row r="4937" spans="3:11" x14ac:dyDescent="0.25">
      <c r="C4937" s="6"/>
      <c r="G4937" s="6"/>
      <c r="K4937" s="6"/>
    </row>
    <row r="4938" spans="3:11" x14ac:dyDescent="0.25">
      <c r="C4938" s="6"/>
      <c r="G4938" s="6"/>
      <c r="K4938" s="6"/>
    </row>
    <row r="4939" spans="3:11" x14ac:dyDescent="0.25">
      <c r="C4939" s="6"/>
      <c r="G4939" s="6"/>
      <c r="K4939" s="6"/>
    </row>
    <row r="4940" spans="3:11" x14ac:dyDescent="0.25">
      <c r="C4940" s="6"/>
      <c r="G4940" s="6"/>
      <c r="K4940" s="6"/>
    </row>
    <row r="4941" spans="3:11" x14ac:dyDescent="0.25">
      <c r="C4941" s="6"/>
      <c r="G4941" s="6"/>
      <c r="K4941" s="6"/>
    </row>
    <row r="4942" spans="3:11" x14ac:dyDescent="0.25">
      <c r="C4942" s="6"/>
      <c r="G4942" s="6"/>
      <c r="K4942" s="6"/>
    </row>
    <row r="4943" spans="3:11" x14ac:dyDescent="0.25">
      <c r="C4943" s="6"/>
      <c r="G4943" s="6"/>
      <c r="K4943" s="6"/>
    </row>
    <row r="4944" spans="3:11" x14ac:dyDescent="0.25">
      <c r="C4944" s="6"/>
      <c r="G4944" s="6"/>
      <c r="K4944" s="6"/>
    </row>
    <row r="4945" spans="3:11" x14ac:dyDescent="0.25">
      <c r="C4945" s="6"/>
      <c r="G4945" s="6"/>
      <c r="K4945" s="6"/>
    </row>
    <row r="4946" spans="3:11" x14ac:dyDescent="0.25">
      <c r="C4946" s="6"/>
      <c r="G4946" s="6"/>
      <c r="K4946" s="6"/>
    </row>
    <row r="4947" spans="3:11" x14ac:dyDescent="0.25">
      <c r="C4947" s="6"/>
      <c r="G4947" s="6"/>
      <c r="K4947" s="6"/>
    </row>
    <row r="4948" spans="3:11" x14ac:dyDescent="0.25">
      <c r="C4948" s="6"/>
      <c r="G4948" s="6"/>
      <c r="K4948" s="6"/>
    </row>
    <row r="4949" spans="3:11" x14ac:dyDescent="0.25">
      <c r="C4949" s="6"/>
      <c r="G4949" s="6"/>
      <c r="K4949" s="6"/>
    </row>
    <row r="4950" spans="3:11" x14ac:dyDescent="0.25">
      <c r="C4950" s="6"/>
      <c r="G4950" s="6"/>
      <c r="K4950" s="6"/>
    </row>
    <row r="4951" spans="3:11" x14ac:dyDescent="0.25">
      <c r="C4951" s="6"/>
      <c r="G4951" s="6"/>
      <c r="K4951" s="6"/>
    </row>
    <row r="4952" spans="3:11" x14ac:dyDescent="0.25">
      <c r="C4952" s="6"/>
      <c r="G4952" s="6"/>
      <c r="K4952" s="6"/>
    </row>
    <row r="4953" spans="3:11" x14ac:dyDescent="0.25">
      <c r="C4953" s="6"/>
      <c r="G4953" s="6"/>
      <c r="K4953" s="6"/>
    </row>
    <row r="4954" spans="3:11" x14ac:dyDescent="0.25">
      <c r="C4954" s="6"/>
      <c r="G4954" s="6"/>
      <c r="K4954" s="6"/>
    </row>
    <row r="4955" spans="3:11" x14ac:dyDescent="0.25">
      <c r="C4955" s="6"/>
      <c r="G4955" s="6"/>
      <c r="K4955" s="6"/>
    </row>
    <row r="4956" spans="3:11" x14ac:dyDescent="0.25">
      <c r="C4956" s="6"/>
      <c r="G4956" s="6"/>
      <c r="K4956" s="6"/>
    </row>
    <row r="4957" spans="3:11" x14ac:dyDescent="0.25">
      <c r="C4957" s="6"/>
      <c r="G4957" s="6"/>
      <c r="K4957" s="6"/>
    </row>
    <row r="4958" spans="3:11" x14ac:dyDescent="0.25">
      <c r="C4958" s="6"/>
      <c r="G4958" s="6"/>
      <c r="K4958" s="6"/>
    </row>
    <row r="4959" spans="3:11" x14ac:dyDescent="0.25">
      <c r="C4959" s="6"/>
      <c r="G4959" s="6"/>
      <c r="K4959" s="6"/>
    </row>
    <row r="4960" spans="3:11" x14ac:dyDescent="0.25">
      <c r="C4960" s="6"/>
      <c r="G4960" s="6"/>
      <c r="K4960" s="6"/>
    </row>
    <row r="4961" spans="3:11" x14ac:dyDescent="0.25">
      <c r="C4961" s="6"/>
      <c r="G4961" s="6"/>
      <c r="K4961" s="6"/>
    </row>
    <row r="4962" spans="3:11" x14ac:dyDescent="0.25">
      <c r="C4962" s="6"/>
      <c r="G4962" s="6"/>
      <c r="K4962" s="6"/>
    </row>
    <row r="4963" spans="3:11" x14ac:dyDescent="0.25">
      <c r="C4963" s="6"/>
      <c r="G4963" s="6"/>
      <c r="K4963" s="6"/>
    </row>
    <row r="4964" spans="3:11" x14ac:dyDescent="0.25">
      <c r="C4964" s="6"/>
      <c r="G4964" s="6"/>
      <c r="K4964" s="6"/>
    </row>
    <row r="4965" spans="3:11" x14ac:dyDescent="0.25">
      <c r="C4965" s="6"/>
      <c r="G4965" s="6"/>
      <c r="K4965" s="6"/>
    </row>
    <row r="4966" spans="3:11" x14ac:dyDescent="0.25">
      <c r="C4966" s="6"/>
      <c r="G4966" s="6"/>
      <c r="K4966" s="6"/>
    </row>
    <row r="4967" spans="3:11" x14ac:dyDescent="0.25">
      <c r="C4967" s="6"/>
      <c r="G4967" s="6"/>
      <c r="K4967" s="6"/>
    </row>
    <row r="4968" spans="3:11" x14ac:dyDescent="0.25">
      <c r="C4968" s="6"/>
      <c r="G4968" s="6"/>
      <c r="K4968" s="6"/>
    </row>
    <row r="4969" spans="3:11" x14ac:dyDescent="0.25">
      <c r="C4969" s="6"/>
      <c r="G4969" s="6"/>
      <c r="K4969" s="6"/>
    </row>
    <row r="4970" spans="3:11" x14ac:dyDescent="0.25">
      <c r="C4970" s="6"/>
      <c r="G4970" s="6"/>
      <c r="K4970" s="6"/>
    </row>
    <row r="4971" spans="3:11" x14ac:dyDescent="0.25">
      <c r="C4971" s="6"/>
      <c r="G4971" s="6"/>
      <c r="K4971" s="6"/>
    </row>
    <row r="4972" spans="3:11" x14ac:dyDescent="0.25">
      <c r="C4972" s="6"/>
      <c r="G4972" s="6"/>
      <c r="K4972" s="6"/>
    </row>
    <row r="4973" spans="3:11" x14ac:dyDescent="0.25">
      <c r="C4973" s="6"/>
      <c r="G4973" s="6"/>
      <c r="K4973" s="6"/>
    </row>
    <row r="4974" spans="3:11" x14ac:dyDescent="0.25">
      <c r="C4974" s="6"/>
      <c r="G4974" s="6"/>
      <c r="K4974" s="6"/>
    </row>
    <row r="4975" spans="3:11" x14ac:dyDescent="0.25">
      <c r="C4975" s="6"/>
      <c r="G4975" s="6"/>
      <c r="K4975" s="6"/>
    </row>
    <row r="4976" spans="3:11" x14ac:dyDescent="0.25">
      <c r="C4976" s="6"/>
      <c r="G4976" s="6"/>
      <c r="K4976" s="6"/>
    </row>
    <row r="4977" spans="3:11" x14ac:dyDescent="0.25">
      <c r="C4977" s="6"/>
      <c r="G4977" s="6"/>
      <c r="K4977" s="6"/>
    </row>
    <row r="4978" spans="3:11" x14ac:dyDescent="0.25">
      <c r="C4978" s="6"/>
      <c r="G4978" s="6"/>
      <c r="K4978" s="6"/>
    </row>
    <row r="4979" spans="3:11" x14ac:dyDescent="0.25">
      <c r="C4979" s="6"/>
      <c r="G4979" s="6"/>
      <c r="K4979" s="6"/>
    </row>
    <row r="4980" spans="3:11" x14ac:dyDescent="0.25">
      <c r="C4980" s="6"/>
      <c r="G4980" s="6"/>
      <c r="K4980" s="6"/>
    </row>
    <row r="4981" spans="3:11" x14ac:dyDescent="0.25">
      <c r="C4981" s="6"/>
      <c r="G4981" s="6"/>
      <c r="K4981" s="6"/>
    </row>
    <row r="4982" spans="3:11" x14ac:dyDescent="0.25">
      <c r="C4982" s="6"/>
      <c r="G4982" s="6"/>
      <c r="K4982" s="6"/>
    </row>
    <row r="4983" spans="3:11" x14ac:dyDescent="0.25">
      <c r="C4983" s="6"/>
      <c r="G4983" s="6"/>
      <c r="K4983" s="6"/>
    </row>
    <row r="4984" spans="3:11" x14ac:dyDescent="0.25">
      <c r="C4984" s="6"/>
      <c r="G4984" s="6"/>
      <c r="K4984" s="6"/>
    </row>
    <row r="4985" spans="3:11" x14ac:dyDescent="0.25">
      <c r="C4985" s="6"/>
      <c r="G4985" s="6"/>
      <c r="K4985" s="6"/>
    </row>
    <row r="4986" spans="3:11" x14ac:dyDescent="0.25">
      <c r="C4986" s="6"/>
      <c r="G4986" s="6"/>
      <c r="K4986" s="6"/>
    </row>
    <row r="4987" spans="3:11" x14ac:dyDescent="0.25">
      <c r="C4987" s="6"/>
      <c r="G4987" s="6"/>
      <c r="K4987" s="6"/>
    </row>
    <row r="4988" spans="3:11" x14ac:dyDescent="0.25">
      <c r="C4988" s="6"/>
      <c r="G4988" s="6"/>
      <c r="K4988" s="6"/>
    </row>
    <row r="4989" spans="3:11" x14ac:dyDescent="0.25">
      <c r="C4989" s="6"/>
      <c r="G4989" s="6"/>
      <c r="K4989" s="6"/>
    </row>
    <row r="4990" spans="3:11" x14ac:dyDescent="0.25">
      <c r="C4990" s="6"/>
      <c r="G4990" s="6"/>
      <c r="K4990" s="6"/>
    </row>
    <row r="4991" spans="3:11" x14ac:dyDescent="0.25">
      <c r="C4991" s="6"/>
      <c r="G4991" s="6"/>
      <c r="K4991" s="6"/>
    </row>
    <row r="4992" spans="3:11" x14ac:dyDescent="0.25">
      <c r="C4992" s="6"/>
      <c r="G4992" s="6"/>
      <c r="K4992" s="6"/>
    </row>
    <row r="4993" spans="3:11" x14ac:dyDescent="0.25">
      <c r="C4993" s="6"/>
      <c r="G4993" s="6"/>
      <c r="K4993" s="6"/>
    </row>
    <row r="4994" spans="3:11" x14ac:dyDescent="0.25">
      <c r="C4994" s="6"/>
      <c r="G4994" s="6"/>
      <c r="K4994" s="6"/>
    </row>
    <row r="4995" spans="3:11" x14ac:dyDescent="0.25">
      <c r="C4995" s="6"/>
      <c r="G4995" s="6"/>
      <c r="K4995" s="6"/>
    </row>
    <row r="4996" spans="3:11" x14ac:dyDescent="0.25">
      <c r="C4996" s="6"/>
      <c r="G4996" s="6"/>
      <c r="K4996" s="6"/>
    </row>
    <row r="4997" spans="3:11" x14ac:dyDescent="0.25">
      <c r="C4997" s="6"/>
      <c r="G4997" s="6"/>
      <c r="K4997" s="6"/>
    </row>
    <row r="4998" spans="3:11" x14ac:dyDescent="0.25">
      <c r="C4998" s="6"/>
      <c r="G4998" s="6"/>
      <c r="K4998" s="6"/>
    </row>
    <row r="4999" spans="3:11" x14ac:dyDescent="0.25">
      <c r="C4999" s="6"/>
      <c r="G4999" s="6"/>
      <c r="K4999" s="6"/>
    </row>
    <row r="5000" spans="3:11" x14ac:dyDescent="0.25">
      <c r="C5000" s="6"/>
      <c r="G5000" s="6"/>
      <c r="K5000" s="6"/>
    </row>
    <row r="5001" spans="3:11" x14ac:dyDescent="0.25">
      <c r="C5001" s="6"/>
      <c r="G5001" s="6"/>
      <c r="K5001" s="6"/>
    </row>
    <row r="5002" spans="3:11" x14ac:dyDescent="0.25">
      <c r="C5002" s="6"/>
      <c r="G5002" s="6"/>
      <c r="K5002" s="6"/>
    </row>
    <row r="5003" spans="3:11" x14ac:dyDescent="0.25">
      <c r="C5003" s="6"/>
      <c r="G5003" s="6"/>
      <c r="K5003" s="6"/>
    </row>
    <row r="5004" spans="3:11" x14ac:dyDescent="0.25">
      <c r="C5004" s="6"/>
      <c r="G5004" s="6"/>
      <c r="K5004" s="6"/>
    </row>
    <row r="5005" spans="3:11" x14ac:dyDescent="0.25">
      <c r="C5005" s="6"/>
      <c r="G5005" s="6"/>
      <c r="K5005" s="6"/>
    </row>
    <row r="5006" spans="3:11" x14ac:dyDescent="0.25">
      <c r="C5006" s="6"/>
      <c r="G5006" s="6"/>
      <c r="K5006" s="6"/>
    </row>
    <row r="5007" spans="3:11" x14ac:dyDescent="0.25">
      <c r="C5007" s="6"/>
      <c r="G5007" s="6"/>
      <c r="K5007" s="6"/>
    </row>
    <row r="5008" spans="3:11" x14ac:dyDescent="0.25">
      <c r="C5008" s="6"/>
      <c r="G5008" s="6"/>
      <c r="K5008" s="6"/>
    </row>
    <row r="5009" spans="3:11" x14ac:dyDescent="0.25">
      <c r="C5009" s="6"/>
      <c r="G5009" s="6"/>
      <c r="K5009" s="6"/>
    </row>
    <row r="5010" spans="3:11" x14ac:dyDescent="0.25">
      <c r="C5010" s="6"/>
      <c r="G5010" s="6"/>
      <c r="K5010" s="6"/>
    </row>
    <row r="5011" spans="3:11" x14ac:dyDescent="0.25">
      <c r="C5011" s="6"/>
      <c r="G5011" s="6"/>
      <c r="K5011" s="6"/>
    </row>
    <row r="5012" spans="3:11" x14ac:dyDescent="0.25">
      <c r="C5012" s="6"/>
      <c r="G5012" s="6"/>
      <c r="K5012" s="6"/>
    </row>
    <row r="5013" spans="3:11" x14ac:dyDescent="0.25">
      <c r="C5013" s="6"/>
      <c r="G5013" s="6"/>
      <c r="K5013" s="6"/>
    </row>
    <row r="5014" spans="3:11" x14ac:dyDescent="0.25">
      <c r="C5014" s="6"/>
      <c r="G5014" s="6"/>
      <c r="K5014" s="6"/>
    </row>
    <row r="5015" spans="3:11" x14ac:dyDescent="0.25">
      <c r="C5015" s="6"/>
      <c r="G5015" s="6"/>
      <c r="K5015" s="6"/>
    </row>
    <row r="5016" spans="3:11" x14ac:dyDescent="0.25">
      <c r="C5016" s="6"/>
      <c r="G5016" s="6"/>
      <c r="K5016" s="6"/>
    </row>
    <row r="5017" spans="3:11" x14ac:dyDescent="0.25">
      <c r="C5017" s="6"/>
      <c r="G5017" s="6"/>
      <c r="K5017" s="6"/>
    </row>
    <row r="5018" spans="3:11" x14ac:dyDescent="0.25">
      <c r="C5018" s="6"/>
      <c r="G5018" s="6"/>
      <c r="K5018" s="6"/>
    </row>
    <row r="5019" spans="3:11" x14ac:dyDescent="0.25">
      <c r="C5019" s="6"/>
      <c r="G5019" s="6"/>
      <c r="K5019" s="6"/>
    </row>
    <row r="5020" spans="3:11" x14ac:dyDescent="0.25">
      <c r="C5020" s="6"/>
      <c r="G5020" s="6"/>
      <c r="K5020" s="6"/>
    </row>
    <row r="5021" spans="3:11" x14ac:dyDescent="0.25">
      <c r="C5021" s="6"/>
      <c r="G5021" s="6"/>
      <c r="K5021" s="6"/>
    </row>
    <row r="5022" spans="3:11" x14ac:dyDescent="0.25">
      <c r="C5022" s="6"/>
      <c r="G5022" s="6"/>
      <c r="K5022" s="6"/>
    </row>
    <row r="5023" spans="3:11" x14ac:dyDescent="0.25">
      <c r="C5023" s="6"/>
      <c r="G5023" s="6"/>
      <c r="K5023" s="6"/>
    </row>
    <row r="5024" spans="3:11" x14ac:dyDescent="0.25">
      <c r="C5024" s="6"/>
      <c r="G5024" s="6"/>
      <c r="K5024" s="6"/>
    </row>
    <row r="5025" spans="3:11" x14ac:dyDescent="0.25">
      <c r="C5025" s="6"/>
      <c r="G5025" s="6"/>
      <c r="K5025" s="6"/>
    </row>
    <row r="5026" spans="3:11" x14ac:dyDescent="0.25">
      <c r="C5026" s="6"/>
      <c r="G5026" s="6"/>
      <c r="K5026" s="6"/>
    </row>
    <row r="5027" spans="3:11" x14ac:dyDescent="0.25">
      <c r="C5027" s="6"/>
      <c r="G5027" s="6"/>
      <c r="K5027" s="6"/>
    </row>
    <row r="5028" spans="3:11" x14ac:dyDescent="0.25">
      <c r="C5028" s="6"/>
      <c r="G5028" s="6"/>
      <c r="K5028" s="6"/>
    </row>
    <row r="5029" spans="3:11" x14ac:dyDescent="0.25">
      <c r="C5029" s="6"/>
      <c r="G5029" s="6"/>
      <c r="K5029" s="6"/>
    </row>
    <row r="5030" spans="3:11" x14ac:dyDescent="0.25">
      <c r="C5030" s="6"/>
      <c r="G5030" s="6"/>
      <c r="K5030" s="6"/>
    </row>
    <row r="5031" spans="3:11" x14ac:dyDescent="0.25">
      <c r="C5031" s="6"/>
      <c r="G5031" s="6"/>
      <c r="K5031" s="6"/>
    </row>
    <row r="5032" spans="3:11" x14ac:dyDescent="0.25">
      <c r="C5032" s="6"/>
      <c r="G5032" s="6"/>
      <c r="K5032" s="6"/>
    </row>
    <row r="5033" spans="3:11" x14ac:dyDescent="0.25">
      <c r="C5033" s="6"/>
      <c r="G5033" s="6"/>
      <c r="K5033" s="6"/>
    </row>
    <row r="5034" spans="3:11" x14ac:dyDescent="0.25">
      <c r="C5034" s="6"/>
      <c r="G5034" s="6"/>
      <c r="K5034" s="6"/>
    </row>
    <row r="5035" spans="3:11" x14ac:dyDescent="0.25">
      <c r="C5035" s="6"/>
      <c r="G5035" s="6"/>
      <c r="K5035" s="6"/>
    </row>
    <row r="5036" spans="3:11" x14ac:dyDescent="0.25">
      <c r="C5036" s="6"/>
      <c r="G5036" s="6"/>
      <c r="K5036" s="6"/>
    </row>
    <row r="5037" spans="3:11" x14ac:dyDescent="0.25">
      <c r="C5037" s="6"/>
      <c r="G5037" s="6"/>
      <c r="K5037" s="6"/>
    </row>
    <row r="5038" spans="3:11" x14ac:dyDescent="0.25">
      <c r="C5038" s="6"/>
      <c r="G5038" s="6"/>
      <c r="K5038" s="6"/>
    </row>
    <row r="5039" spans="3:11" x14ac:dyDescent="0.25">
      <c r="C5039" s="6"/>
      <c r="G5039" s="6"/>
      <c r="K5039" s="6"/>
    </row>
    <row r="5040" spans="3:11" x14ac:dyDescent="0.25">
      <c r="C5040" s="6"/>
      <c r="G5040" s="6"/>
      <c r="K5040" s="6"/>
    </row>
    <row r="5041" spans="3:11" x14ac:dyDescent="0.25">
      <c r="C5041" s="6"/>
      <c r="G5041" s="6"/>
      <c r="K5041" s="6"/>
    </row>
    <row r="5042" spans="3:11" x14ac:dyDescent="0.25">
      <c r="C5042" s="6"/>
      <c r="G5042" s="6"/>
      <c r="K5042" s="6"/>
    </row>
    <row r="5043" spans="3:11" x14ac:dyDescent="0.25">
      <c r="C5043" s="6"/>
      <c r="G5043" s="6"/>
      <c r="K5043" s="6"/>
    </row>
    <row r="5044" spans="3:11" x14ac:dyDescent="0.25">
      <c r="C5044" s="6"/>
      <c r="G5044" s="6"/>
      <c r="K5044" s="6"/>
    </row>
    <row r="5045" spans="3:11" x14ac:dyDescent="0.25">
      <c r="C5045" s="6"/>
      <c r="G5045" s="6"/>
      <c r="K5045" s="6"/>
    </row>
    <row r="5046" spans="3:11" x14ac:dyDescent="0.25">
      <c r="C5046" s="6"/>
      <c r="G5046" s="6"/>
      <c r="K5046" s="6"/>
    </row>
    <row r="5047" spans="3:11" x14ac:dyDescent="0.25">
      <c r="C5047" s="6"/>
      <c r="G5047" s="6"/>
      <c r="K5047" s="6"/>
    </row>
    <row r="5048" spans="3:11" x14ac:dyDescent="0.25">
      <c r="C5048" s="6"/>
      <c r="G5048" s="6"/>
      <c r="K5048" s="6"/>
    </row>
    <row r="5049" spans="3:11" x14ac:dyDescent="0.25">
      <c r="C5049" s="6"/>
      <c r="G5049" s="6"/>
      <c r="K5049" s="6"/>
    </row>
    <row r="5050" spans="3:11" x14ac:dyDescent="0.25">
      <c r="C5050" s="6"/>
      <c r="G5050" s="6"/>
      <c r="K5050" s="6"/>
    </row>
    <row r="5051" spans="3:11" x14ac:dyDescent="0.25">
      <c r="C5051" s="6"/>
      <c r="G5051" s="6"/>
      <c r="K5051" s="6"/>
    </row>
    <row r="5052" spans="3:11" x14ac:dyDescent="0.25">
      <c r="C5052" s="6"/>
      <c r="G5052" s="6"/>
      <c r="K5052" s="6"/>
    </row>
    <row r="5053" spans="3:11" x14ac:dyDescent="0.25">
      <c r="C5053" s="6"/>
      <c r="G5053" s="6"/>
      <c r="K5053" s="6"/>
    </row>
    <row r="5054" spans="3:11" x14ac:dyDescent="0.25">
      <c r="C5054" s="6"/>
      <c r="G5054" s="6"/>
      <c r="K5054" s="6"/>
    </row>
    <row r="5055" spans="3:11" x14ac:dyDescent="0.25">
      <c r="C5055" s="6"/>
      <c r="G5055" s="6"/>
      <c r="K5055" s="6"/>
    </row>
    <row r="5056" spans="3:11" x14ac:dyDescent="0.25">
      <c r="C5056" s="6"/>
      <c r="G5056" s="6"/>
      <c r="K5056" s="6"/>
    </row>
    <row r="5057" spans="3:11" x14ac:dyDescent="0.25">
      <c r="C5057" s="6"/>
      <c r="G5057" s="6"/>
      <c r="K5057" s="6"/>
    </row>
    <row r="5058" spans="3:11" x14ac:dyDescent="0.25">
      <c r="C5058" s="6"/>
      <c r="G5058" s="6"/>
      <c r="K5058" s="6"/>
    </row>
    <row r="5059" spans="3:11" x14ac:dyDescent="0.25">
      <c r="C5059" s="6"/>
      <c r="G5059" s="6"/>
      <c r="K5059" s="6"/>
    </row>
    <row r="5060" spans="3:11" x14ac:dyDescent="0.25">
      <c r="C5060" s="6"/>
      <c r="G5060" s="6"/>
      <c r="K5060" s="6"/>
    </row>
    <row r="5061" spans="3:11" x14ac:dyDescent="0.25">
      <c r="C5061" s="6"/>
      <c r="G5061" s="6"/>
      <c r="K5061" s="6"/>
    </row>
    <row r="5062" spans="3:11" x14ac:dyDescent="0.25">
      <c r="C5062" s="6"/>
      <c r="G5062" s="6"/>
      <c r="K5062" s="6"/>
    </row>
    <row r="5063" spans="3:11" x14ac:dyDescent="0.25">
      <c r="C5063" s="6"/>
      <c r="G5063" s="6"/>
      <c r="K5063" s="6"/>
    </row>
    <row r="5064" spans="3:11" x14ac:dyDescent="0.25">
      <c r="C5064" s="6"/>
      <c r="G5064" s="6"/>
      <c r="K5064" s="6"/>
    </row>
    <row r="5065" spans="3:11" x14ac:dyDescent="0.25">
      <c r="C5065" s="6"/>
      <c r="G5065" s="6"/>
      <c r="K5065" s="6"/>
    </row>
    <row r="5066" spans="3:11" x14ac:dyDescent="0.25">
      <c r="C5066" s="6"/>
      <c r="G5066" s="6"/>
      <c r="K5066" s="6"/>
    </row>
    <row r="5067" spans="3:11" x14ac:dyDescent="0.25">
      <c r="C5067" s="6"/>
      <c r="G5067" s="6"/>
      <c r="K5067" s="6"/>
    </row>
    <row r="5068" spans="3:11" x14ac:dyDescent="0.25">
      <c r="C5068" s="6"/>
      <c r="G5068" s="6"/>
      <c r="K5068" s="6"/>
    </row>
    <row r="5069" spans="3:11" x14ac:dyDescent="0.25">
      <c r="C5069" s="6"/>
      <c r="G5069" s="6"/>
      <c r="K5069" s="6"/>
    </row>
    <row r="5070" spans="3:11" x14ac:dyDescent="0.25">
      <c r="C5070" s="6"/>
      <c r="G5070" s="6"/>
      <c r="K5070" s="6"/>
    </row>
    <row r="5071" spans="3:11" x14ac:dyDescent="0.25">
      <c r="C5071" s="6"/>
      <c r="G5071" s="6"/>
      <c r="K5071" s="6"/>
    </row>
    <row r="5072" spans="3:11" x14ac:dyDescent="0.25">
      <c r="C5072" s="6"/>
      <c r="G5072" s="6"/>
      <c r="K5072" s="6"/>
    </row>
    <row r="5073" spans="3:11" x14ac:dyDescent="0.25">
      <c r="C5073" s="6"/>
      <c r="G5073" s="6"/>
      <c r="K5073" s="6"/>
    </row>
    <row r="5074" spans="3:11" x14ac:dyDescent="0.25">
      <c r="C5074" s="6"/>
      <c r="G5074" s="6"/>
      <c r="K5074" s="6"/>
    </row>
    <row r="5075" spans="3:11" x14ac:dyDescent="0.25">
      <c r="C5075" s="6"/>
      <c r="G5075" s="6"/>
      <c r="K5075" s="6"/>
    </row>
    <row r="5076" spans="3:11" x14ac:dyDescent="0.25">
      <c r="C5076" s="6"/>
      <c r="G5076" s="6"/>
      <c r="K5076" s="6"/>
    </row>
    <row r="5077" spans="3:11" x14ac:dyDescent="0.25">
      <c r="C5077" s="6"/>
      <c r="G5077" s="6"/>
      <c r="K5077" s="6"/>
    </row>
    <row r="5078" spans="3:11" x14ac:dyDescent="0.25">
      <c r="C5078" s="6"/>
      <c r="G5078" s="6"/>
      <c r="K5078" s="6"/>
    </row>
    <row r="5079" spans="3:11" x14ac:dyDescent="0.25">
      <c r="C5079" s="6"/>
      <c r="G5079" s="6"/>
      <c r="K5079" s="6"/>
    </row>
    <row r="5080" spans="3:11" x14ac:dyDescent="0.25">
      <c r="C5080" s="6"/>
      <c r="G5080" s="6"/>
      <c r="K5080" s="6"/>
    </row>
    <row r="5081" spans="3:11" x14ac:dyDescent="0.25">
      <c r="C5081" s="6"/>
      <c r="G5081" s="6"/>
      <c r="K5081" s="6"/>
    </row>
    <row r="5082" spans="3:11" x14ac:dyDescent="0.25">
      <c r="C5082" s="6"/>
      <c r="G5082" s="6"/>
      <c r="K5082" s="6"/>
    </row>
    <row r="5083" spans="3:11" x14ac:dyDescent="0.25">
      <c r="C5083" s="6"/>
      <c r="G5083" s="6"/>
      <c r="K5083" s="6"/>
    </row>
    <row r="5084" spans="3:11" x14ac:dyDescent="0.25">
      <c r="C5084" s="6"/>
      <c r="G5084" s="6"/>
      <c r="K5084" s="6"/>
    </row>
    <row r="5085" spans="3:11" x14ac:dyDescent="0.25">
      <c r="C5085" s="6"/>
      <c r="G5085" s="6"/>
      <c r="K5085" s="6"/>
    </row>
    <row r="5086" spans="3:11" x14ac:dyDescent="0.25">
      <c r="C5086" s="6"/>
      <c r="G5086" s="6"/>
      <c r="K5086" s="6"/>
    </row>
    <row r="5087" spans="3:11" x14ac:dyDescent="0.25">
      <c r="C5087" s="6"/>
      <c r="G5087" s="6"/>
      <c r="K5087" s="6"/>
    </row>
    <row r="5088" spans="3:11" x14ac:dyDescent="0.25">
      <c r="C5088" s="6"/>
      <c r="G5088" s="6"/>
      <c r="K5088" s="6"/>
    </row>
    <row r="5089" spans="3:11" x14ac:dyDescent="0.25">
      <c r="C5089" s="6"/>
      <c r="G5089" s="6"/>
      <c r="K5089" s="6"/>
    </row>
    <row r="5090" spans="3:11" x14ac:dyDescent="0.25">
      <c r="C5090" s="6"/>
      <c r="G5090" s="6"/>
      <c r="K5090" s="6"/>
    </row>
    <row r="5091" spans="3:11" x14ac:dyDescent="0.25">
      <c r="C5091" s="6"/>
      <c r="G5091" s="6"/>
      <c r="K5091" s="6"/>
    </row>
    <row r="5092" spans="3:11" x14ac:dyDescent="0.25">
      <c r="C5092" s="6"/>
      <c r="G5092" s="6"/>
      <c r="K5092" s="6"/>
    </row>
    <row r="5093" spans="3:11" x14ac:dyDescent="0.25">
      <c r="C5093" s="6"/>
      <c r="G5093" s="6"/>
      <c r="K5093" s="6"/>
    </row>
    <row r="5094" spans="3:11" x14ac:dyDescent="0.25">
      <c r="C5094" s="6"/>
      <c r="G5094" s="6"/>
      <c r="K5094" s="6"/>
    </row>
    <row r="5095" spans="3:11" x14ac:dyDescent="0.25">
      <c r="C5095" s="6"/>
      <c r="G5095" s="6"/>
      <c r="K5095" s="6"/>
    </row>
    <row r="5096" spans="3:11" x14ac:dyDescent="0.25">
      <c r="C5096" s="6"/>
      <c r="G5096" s="6"/>
      <c r="K5096" s="6"/>
    </row>
    <row r="5097" spans="3:11" x14ac:dyDescent="0.25">
      <c r="C5097" s="6"/>
      <c r="G5097" s="6"/>
      <c r="K5097" s="6"/>
    </row>
    <row r="5098" spans="3:11" x14ac:dyDescent="0.25">
      <c r="C5098" s="6"/>
      <c r="G5098" s="6"/>
      <c r="K5098" s="6"/>
    </row>
    <row r="5099" spans="3:11" x14ac:dyDescent="0.25">
      <c r="C5099" s="6"/>
      <c r="G5099" s="6"/>
      <c r="K5099" s="6"/>
    </row>
    <row r="5100" spans="3:11" x14ac:dyDescent="0.25">
      <c r="C5100" s="6"/>
      <c r="G5100" s="6"/>
      <c r="K5100" s="6"/>
    </row>
    <row r="5101" spans="3:11" x14ac:dyDescent="0.25">
      <c r="C5101" s="6"/>
      <c r="G5101" s="6"/>
      <c r="K5101" s="6"/>
    </row>
    <row r="5102" spans="3:11" x14ac:dyDescent="0.25">
      <c r="C5102" s="6"/>
      <c r="G5102" s="6"/>
      <c r="K5102" s="6"/>
    </row>
    <row r="5103" spans="3:11" x14ac:dyDescent="0.25">
      <c r="C5103" s="6"/>
      <c r="G5103" s="6"/>
      <c r="K5103" s="6"/>
    </row>
    <row r="5104" spans="3:11" x14ac:dyDescent="0.25">
      <c r="C5104" s="6"/>
      <c r="G5104" s="6"/>
      <c r="K5104" s="6"/>
    </row>
    <row r="5105" spans="3:11" x14ac:dyDescent="0.25">
      <c r="C5105" s="6"/>
      <c r="G5105" s="6"/>
      <c r="K5105" s="6"/>
    </row>
    <row r="5106" spans="3:11" x14ac:dyDescent="0.25">
      <c r="C5106" s="6"/>
      <c r="G5106" s="6"/>
      <c r="K5106" s="6"/>
    </row>
    <row r="5107" spans="3:11" x14ac:dyDescent="0.25">
      <c r="C5107" s="6"/>
      <c r="G5107" s="6"/>
      <c r="K5107" s="6"/>
    </row>
    <row r="5108" spans="3:11" x14ac:dyDescent="0.25">
      <c r="C5108" s="6"/>
      <c r="G5108" s="6"/>
      <c r="K5108" s="6"/>
    </row>
    <row r="5109" spans="3:11" x14ac:dyDescent="0.25">
      <c r="C5109" s="6"/>
      <c r="G5109" s="6"/>
      <c r="K5109" s="6"/>
    </row>
    <row r="5110" spans="3:11" x14ac:dyDescent="0.25">
      <c r="C5110" s="6"/>
      <c r="G5110" s="6"/>
      <c r="K5110" s="6"/>
    </row>
    <row r="5111" spans="3:11" x14ac:dyDescent="0.25">
      <c r="C5111" s="6"/>
      <c r="G5111" s="6"/>
      <c r="K5111" s="6"/>
    </row>
    <row r="5112" spans="3:11" x14ac:dyDescent="0.25">
      <c r="C5112" s="6"/>
      <c r="G5112" s="6"/>
      <c r="K5112" s="6"/>
    </row>
    <row r="5113" spans="3:11" x14ac:dyDescent="0.25">
      <c r="C5113" s="6"/>
      <c r="G5113" s="6"/>
      <c r="K5113" s="6"/>
    </row>
    <row r="5114" spans="3:11" x14ac:dyDescent="0.25">
      <c r="C5114" s="6"/>
      <c r="G5114" s="6"/>
      <c r="K5114" s="6"/>
    </row>
    <row r="5115" spans="3:11" x14ac:dyDescent="0.25">
      <c r="C5115" s="6"/>
      <c r="G5115" s="6"/>
      <c r="K5115" s="6"/>
    </row>
    <row r="5116" spans="3:11" x14ac:dyDescent="0.25">
      <c r="C5116" s="6"/>
      <c r="G5116" s="6"/>
      <c r="K5116" s="6"/>
    </row>
    <row r="5117" spans="3:11" x14ac:dyDescent="0.25">
      <c r="C5117" s="6"/>
      <c r="G5117" s="6"/>
      <c r="K5117" s="6"/>
    </row>
    <row r="5118" spans="3:11" x14ac:dyDescent="0.25">
      <c r="C5118" s="6"/>
      <c r="G5118" s="6"/>
      <c r="K5118" s="6"/>
    </row>
    <row r="5119" spans="3:11" x14ac:dyDescent="0.25">
      <c r="C5119" s="6"/>
      <c r="G5119" s="6"/>
      <c r="K5119" s="6"/>
    </row>
    <row r="5120" spans="3:11" x14ac:dyDescent="0.25">
      <c r="C5120" s="6"/>
      <c r="G5120" s="6"/>
      <c r="K5120" s="6"/>
    </row>
    <row r="5121" spans="3:11" x14ac:dyDescent="0.25">
      <c r="C5121" s="6"/>
      <c r="G5121" s="6"/>
      <c r="K5121" s="6"/>
    </row>
    <row r="5122" spans="3:11" x14ac:dyDescent="0.25">
      <c r="C5122" s="6"/>
      <c r="G5122" s="6"/>
      <c r="K5122" s="6"/>
    </row>
    <row r="5123" spans="3:11" x14ac:dyDescent="0.25">
      <c r="C5123" s="6"/>
      <c r="G5123" s="6"/>
      <c r="K5123" s="6"/>
    </row>
    <row r="5124" spans="3:11" x14ac:dyDescent="0.25">
      <c r="C5124" s="6"/>
      <c r="G5124" s="6"/>
      <c r="K5124" s="6"/>
    </row>
    <row r="5125" spans="3:11" x14ac:dyDescent="0.25">
      <c r="C5125" s="6"/>
      <c r="G5125" s="6"/>
      <c r="K5125" s="6"/>
    </row>
    <row r="5126" spans="3:11" x14ac:dyDescent="0.25">
      <c r="C5126" s="6"/>
      <c r="G5126" s="6"/>
      <c r="K5126" s="6"/>
    </row>
    <row r="5127" spans="3:11" x14ac:dyDescent="0.25">
      <c r="C5127" s="6"/>
      <c r="G5127" s="6"/>
      <c r="K5127" s="6"/>
    </row>
    <row r="5128" spans="3:11" x14ac:dyDescent="0.25">
      <c r="C5128" s="6"/>
      <c r="G5128" s="6"/>
      <c r="K5128" s="6"/>
    </row>
    <row r="5129" spans="3:11" x14ac:dyDescent="0.25">
      <c r="C5129" s="6"/>
      <c r="G5129" s="6"/>
      <c r="K5129" s="6"/>
    </row>
    <row r="5130" spans="3:11" x14ac:dyDescent="0.25">
      <c r="C5130" s="6"/>
      <c r="G5130" s="6"/>
      <c r="K5130" s="6"/>
    </row>
    <row r="5131" spans="3:11" x14ac:dyDescent="0.25">
      <c r="C5131" s="6"/>
      <c r="G5131" s="6"/>
      <c r="K5131" s="6"/>
    </row>
    <row r="5132" spans="3:11" x14ac:dyDescent="0.25">
      <c r="C5132" s="6"/>
      <c r="G5132" s="6"/>
      <c r="K5132" s="6"/>
    </row>
    <row r="5133" spans="3:11" x14ac:dyDescent="0.25">
      <c r="C5133" s="6"/>
      <c r="G5133" s="6"/>
      <c r="K5133" s="6"/>
    </row>
    <row r="5134" spans="3:11" x14ac:dyDescent="0.25">
      <c r="C5134" s="6"/>
      <c r="G5134" s="6"/>
      <c r="K5134" s="6"/>
    </row>
    <row r="5135" spans="3:11" x14ac:dyDescent="0.25">
      <c r="C5135" s="6"/>
      <c r="G5135" s="6"/>
      <c r="K5135" s="6"/>
    </row>
    <row r="5136" spans="3:11" x14ac:dyDescent="0.25">
      <c r="C5136" s="6"/>
      <c r="G5136" s="6"/>
      <c r="K5136" s="6"/>
    </row>
    <row r="5137" spans="3:11" x14ac:dyDescent="0.25">
      <c r="C5137" s="6"/>
      <c r="G5137" s="6"/>
      <c r="K5137" s="6"/>
    </row>
    <row r="5138" spans="3:11" x14ac:dyDescent="0.25">
      <c r="C5138" s="6"/>
      <c r="G5138" s="6"/>
      <c r="K5138" s="6"/>
    </row>
    <row r="5139" spans="3:11" x14ac:dyDescent="0.25">
      <c r="C5139" s="6"/>
      <c r="G5139" s="6"/>
      <c r="K5139" s="6"/>
    </row>
    <row r="5140" spans="3:11" x14ac:dyDescent="0.25">
      <c r="C5140" s="6"/>
      <c r="G5140" s="6"/>
      <c r="K5140" s="6"/>
    </row>
    <row r="5141" spans="3:11" x14ac:dyDescent="0.25">
      <c r="C5141" s="6"/>
      <c r="G5141" s="6"/>
      <c r="K5141" s="6"/>
    </row>
    <row r="5142" spans="3:11" x14ac:dyDescent="0.25">
      <c r="C5142" s="6"/>
      <c r="G5142" s="6"/>
      <c r="K5142" s="6"/>
    </row>
    <row r="5143" spans="3:11" x14ac:dyDescent="0.25">
      <c r="C5143" s="6"/>
      <c r="G5143" s="6"/>
      <c r="K5143" s="6"/>
    </row>
    <row r="5144" spans="3:11" x14ac:dyDescent="0.25">
      <c r="C5144" s="6"/>
      <c r="G5144" s="6"/>
      <c r="K5144" s="6"/>
    </row>
    <row r="5145" spans="3:11" x14ac:dyDescent="0.25">
      <c r="C5145" s="6"/>
      <c r="G5145" s="6"/>
      <c r="K5145" s="6"/>
    </row>
    <row r="5146" spans="3:11" x14ac:dyDescent="0.25">
      <c r="C5146" s="6"/>
      <c r="G5146" s="6"/>
      <c r="K5146" s="6"/>
    </row>
    <row r="5147" spans="3:11" x14ac:dyDescent="0.25">
      <c r="C5147" s="6"/>
      <c r="G5147" s="6"/>
      <c r="K5147" s="6"/>
    </row>
    <row r="5148" spans="3:11" x14ac:dyDescent="0.25">
      <c r="C5148" s="6"/>
      <c r="G5148" s="6"/>
      <c r="K5148" s="6"/>
    </row>
    <row r="5149" spans="3:11" x14ac:dyDescent="0.25">
      <c r="C5149" s="6"/>
      <c r="G5149" s="6"/>
      <c r="K5149" s="6"/>
    </row>
    <row r="5150" spans="3:11" x14ac:dyDescent="0.25">
      <c r="C5150" s="6"/>
      <c r="G5150" s="6"/>
      <c r="K5150" s="6"/>
    </row>
    <row r="5151" spans="3:11" x14ac:dyDescent="0.25">
      <c r="C5151" s="6"/>
      <c r="G5151" s="6"/>
      <c r="K5151" s="6"/>
    </row>
    <row r="5152" spans="3:11" x14ac:dyDescent="0.25">
      <c r="C5152" s="6"/>
      <c r="G5152" s="6"/>
      <c r="K5152" s="6"/>
    </row>
    <row r="5153" spans="3:11" x14ac:dyDescent="0.25">
      <c r="C5153" s="6"/>
      <c r="G5153" s="6"/>
      <c r="K5153" s="6"/>
    </row>
    <row r="5154" spans="3:11" x14ac:dyDescent="0.25">
      <c r="C5154" s="6"/>
      <c r="G5154" s="6"/>
      <c r="K5154" s="6"/>
    </row>
    <row r="5155" spans="3:11" x14ac:dyDescent="0.25">
      <c r="C5155" s="6"/>
      <c r="G5155" s="6"/>
      <c r="K5155" s="6"/>
    </row>
    <row r="5156" spans="3:11" x14ac:dyDescent="0.25">
      <c r="C5156" s="6"/>
      <c r="G5156" s="6"/>
      <c r="K5156" s="6"/>
    </row>
    <row r="5157" spans="3:11" x14ac:dyDescent="0.25">
      <c r="C5157" s="6"/>
      <c r="G5157" s="6"/>
      <c r="K5157" s="6"/>
    </row>
    <row r="5158" spans="3:11" x14ac:dyDescent="0.25">
      <c r="C5158" s="6"/>
      <c r="G5158" s="6"/>
      <c r="K5158" s="6"/>
    </row>
    <row r="5159" spans="3:11" x14ac:dyDescent="0.25">
      <c r="C5159" s="6"/>
      <c r="G5159" s="6"/>
      <c r="K5159" s="6"/>
    </row>
    <row r="5160" spans="3:11" x14ac:dyDescent="0.25">
      <c r="C5160" s="6"/>
      <c r="G5160" s="6"/>
      <c r="K5160" s="6"/>
    </row>
    <row r="5161" spans="3:11" x14ac:dyDescent="0.25">
      <c r="C5161" s="6"/>
      <c r="G5161" s="6"/>
      <c r="K5161" s="6"/>
    </row>
    <row r="5162" spans="3:11" x14ac:dyDescent="0.25">
      <c r="C5162" s="6"/>
      <c r="G5162" s="6"/>
      <c r="K5162" s="6"/>
    </row>
    <row r="5163" spans="3:11" x14ac:dyDescent="0.25">
      <c r="C5163" s="6"/>
      <c r="G5163" s="6"/>
      <c r="K5163" s="6"/>
    </row>
    <row r="5164" spans="3:11" x14ac:dyDescent="0.25">
      <c r="C5164" s="6"/>
      <c r="G5164" s="6"/>
      <c r="K5164" s="6"/>
    </row>
    <row r="5165" spans="3:11" x14ac:dyDescent="0.25">
      <c r="C5165" s="6"/>
      <c r="G5165" s="6"/>
      <c r="K5165" s="6"/>
    </row>
    <row r="5166" spans="3:11" x14ac:dyDescent="0.25">
      <c r="C5166" s="6"/>
      <c r="G5166" s="6"/>
      <c r="K5166" s="6"/>
    </row>
    <row r="5167" spans="3:11" x14ac:dyDescent="0.25">
      <c r="C5167" s="6"/>
      <c r="G5167" s="6"/>
      <c r="K5167" s="6"/>
    </row>
    <row r="5168" spans="3:11" x14ac:dyDescent="0.25">
      <c r="C5168" s="6"/>
      <c r="G5168" s="6"/>
      <c r="K5168" s="6"/>
    </row>
    <row r="5169" spans="3:11" x14ac:dyDescent="0.25">
      <c r="C5169" s="6"/>
      <c r="G5169" s="6"/>
      <c r="K5169" s="6"/>
    </row>
    <row r="5170" spans="3:11" x14ac:dyDescent="0.25">
      <c r="C5170" s="6"/>
      <c r="G5170" s="6"/>
      <c r="K5170" s="6"/>
    </row>
    <row r="5171" spans="3:11" x14ac:dyDescent="0.25">
      <c r="C5171" s="6"/>
      <c r="G5171" s="6"/>
      <c r="K5171" s="6"/>
    </row>
    <row r="5172" spans="3:11" x14ac:dyDescent="0.25">
      <c r="C5172" s="6"/>
      <c r="G5172" s="6"/>
      <c r="K5172" s="6"/>
    </row>
    <row r="5173" spans="3:11" x14ac:dyDescent="0.25">
      <c r="C5173" s="6"/>
      <c r="G5173" s="6"/>
      <c r="K5173" s="6"/>
    </row>
    <row r="5174" spans="3:11" x14ac:dyDescent="0.25">
      <c r="C5174" s="6"/>
      <c r="G5174" s="6"/>
      <c r="K5174" s="6"/>
    </row>
    <row r="5175" spans="3:11" x14ac:dyDescent="0.25">
      <c r="C5175" s="6"/>
      <c r="G5175" s="6"/>
      <c r="K5175" s="6"/>
    </row>
    <row r="5176" spans="3:11" x14ac:dyDescent="0.25">
      <c r="C5176" s="6"/>
      <c r="G5176" s="6"/>
      <c r="K5176" s="6"/>
    </row>
    <row r="5177" spans="3:11" x14ac:dyDescent="0.25">
      <c r="C5177" s="6"/>
      <c r="G5177" s="6"/>
      <c r="K5177" s="6"/>
    </row>
    <row r="5178" spans="3:11" x14ac:dyDescent="0.25">
      <c r="C5178" s="6"/>
      <c r="G5178" s="6"/>
      <c r="K5178" s="6"/>
    </row>
    <row r="5179" spans="3:11" x14ac:dyDescent="0.25">
      <c r="C5179" s="6"/>
      <c r="G5179" s="6"/>
      <c r="K5179" s="6"/>
    </row>
    <row r="5180" spans="3:11" x14ac:dyDescent="0.25">
      <c r="C5180" s="6"/>
      <c r="G5180" s="6"/>
      <c r="K5180" s="6"/>
    </row>
    <row r="5181" spans="3:11" x14ac:dyDescent="0.25">
      <c r="C5181" s="6"/>
      <c r="G5181" s="6"/>
      <c r="K5181" s="6"/>
    </row>
    <row r="5182" spans="3:11" x14ac:dyDescent="0.25">
      <c r="C5182" s="6"/>
      <c r="G5182" s="6"/>
      <c r="K5182" s="6"/>
    </row>
    <row r="5183" spans="3:11" x14ac:dyDescent="0.25">
      <c r="C5183" s="6"/>
      <c r="G5183" s="6"/>
      <c r="K5183" s="6"/>
    </row>
    <row r="5184" spans="3:11" x14ac:dyDescent="0.25">
      <c r="C5184" s="6"/>
      <c r="G5184" s="6"/>
      <c r="K5184" s="6"/>
    </row>
    <row r="5185" spans="3:11" x14ac:dyDescent="0.25">
      <c r="C5185" s="6"/>
      <c r="G5185" s="6"/>
      <c r="K5185" s="6"/>
    </row>
    <row r="5186" spans="3:11" x14ac:dyDescent="0.25">
      <c r="C5186" s="6"/>
      <c r="G5186" s="6"/>
      <c r="K5186" s="6"/>
    </row>
    <row r="5187" spans="3:11" x14ac:dyDescent="0.25">
      <c r="C5187" s="6"/>
      <c r="G5187" s="6"/>
      <c r="K5187" s="6"/>
    </row>
    <row r="5188" spans="3:11" x14ac:dyDescent="0.25">
      <c r="C5188" s="6"/>
      <c r="G5188" s="6"/>
      <c r="K5188" s="6"/>
    </row>
    <row r="5189" spans="3:11" x14ac:dyDescent="0.25">
      <c r="C5189" s="6"/>
      <c r="G5189" s="6"/>
      <c r="K5189" s="6"/>
    </row>
    <row r="5190" spans="3:11" x14ac:dyDescent="0.25">
      <c r="C5190" s="6"/>
      <c r="G5190" s="6"/>
      <c r="K5190" s="6"/>
    </row>
    <row r="5191" spans="3:11" x14ac:dyDescent="0.25">
      <c r="C5191" s="6"/>
      <c r="G5191" s="6"/>
      <c r="K5191" s="6"/>
    </row>
    <row r="5192" spans="3:11" x14ac:dyDescent="0.25">
      <c r="C5192" s="6"/>
      <c r="G5192" s="6"/>
      <c r="K5192" s="6"/>
    </row>
    <row r="5193" spans="3:11" x14ac:dyDescent="0.25">
      <c r="C5193" s="6"/>
      <c r="G5193" s="6"/>
      <c r="K5193" s="6"/>
    </row>
    <row r="5194" spans="3:11" x14ac:dyDescent="0.25">
      <c r="C5194" s="6"/>
      <c r="G5194" s="6"/>
      <c r="K5194" s="6"/>
    </row>
    <row r="5195" spans="3:11" x14ac:dyDescent="0.25">
      <c r="C5195" s="6"/>
      <c r="G5195" s="6"/>
      <c r="K5195" s="6"/>
    </row>
    <row r="5196" spans="3:11" x14ac:dyDescent="0.25">
      <c r="C5196" s="6"/>
      <c r="G5196" s="6"/>
      <c r="K5196" s="6"/>
    </row>
    <row r="5197" spans="3:11" x14ac:dyDescent="0.25">
      <c r="C5197" s="6"/>
      <c r="G5197" s="6"/>
      <c r="K5197" s="6"/>
    </row>
    <row r="5198" spans="3:11" x14ac:dyDescent="0.25">
      <c r="C5198" s="6"/>
      <c r="G5198" s="6"/>
      <c r="K5198" s="6"/>
    </row>
    <row r="5199" spans="3:11" x14ac:dyDescent="0.25">
      <c r="C5199" s="6"/>
      <c r="G5199" s="6"/>
      <c r="K5199" s="6"/>
    </row>
    <row r="5200" spans="3:11" x14ac:dyDescent="0.25">
      <c r="C5200" s="6"/>
      <c r="G5200" s="6"/>
      <c r="K5200" s="6"/>
    </row>
    <row r="5201" spans="3:11" x14ac:dyDescent="0.25">
      <c r="C5201" s="6"/>
      <c r="G5201" s="6"/>
      <c r="K5201" s="6"/>
    </row>
    <row r="5202" spans="3:11" x14ac:dyDescent="0.25">
      <c r="C5202" s="6"/>
      <c r="G5202" s="6"/>
      <c r="K5202" s="6"/>
    </row>
    <row r="5203" spans="3:11" x14ac:dyDescent="0.25">
      <c r="C5203" s="6"/>
      <c r="G5203" s="6"/>
      <c r="K5203" s="6"/>
    </row>
    <row r="5204" spans="3:11" x14ac:dyDescent="0.25">
      <c r="C5204" s="6"/>
      <c r="G5204" s="6"/>
      <c r="K5204" s="6"/>
    </row>
    <row r="5205" spans="3:11" x14ac:dyDescent="0.25">
      <c r="C5205" s="6"/>
      <c r="G5205" s="6"/>
      <c r="K5205" s="6"/>
    </row>
    <row r="5206" spans="3:11" x14ac:dyDescent="0.25">
      <c r="C5206" s="6"/>
      <c r="G5206" s="6"/>
      <c r="K5206" s="6"/>
    </row>
    <row r="5207" spans="3:11" x14ac:dyDescent="0.25">
      <c r="C5207" s="6"/>
      <c r="G5207" s="6"/>
      <c r="K5207" s="6"/>
    </row>
    <row r="5208" spans="3:11" x14ac:dyDescent="0.25">
      <c r="C5208" s="6"/>
      <c r="G5208" s="6"/>
      <c r="K5208" s="6"/>
    </row>
    <row r="5209" spans="3:11" x14ac:dyDescent="0.25">
      <c r="C5209" s="6"/>
      <c r="G5209" s="6"/>
      <c r="K5209" s="6"/>
    </row>
    <row r="5210" spans="3:11" x14ac:dyDescent="0.25">
      <c r="C5210" s="6"/>
      <c r="G5210" s="6"/>
      <c r="K5210" s="6"/>
    </row>
    <row r="5211" spans="3:11" x14ac:dyDescent="0.25">
      <c r="C5211" s="6"/>
      <c r="G5211" s="6"/>
      <c r="K5211" s="6"/>
    </row>
    <row r="5212" spans="3:11" x14ac:dyDescent="0.25">
      <c r="C5212" s="6"/>
      <c r="G5212" s="6"/>
      <c r="K5212" s="6"/>
    </row>
    <row r="5213" spans="3:11" x14ac:dyDescent="0.25">
      <c r="C5213" s="6"/>
      <c r="G5213" s="6"/>
      <c r="K5213" s="6"/>
    </row>
    <row r="5214" spans="3:11" x14ac:dyDescent="0.25">
      <c r="C5214" s="6"/>
      <c r="G5214" s="6"/>
      <c r="K5214" s="6"/>
    </row>
    <row r="5215" spans="3:11" x14ac:dyDescent="0.25">
      <c r="C5215" s="6"/>
      <c r="G5215" s="6"/>
      <c r="K5215" s="6"/>
    </row>
    <row r="5216" spans="3:11" x14ac:dyDescent="0.25">
      <c r="C5216" s="6"/>
      <c r="G5216" s="6"/>
      <c r="K5216" s="6"/>
    </row>
    <row r="5217" spans="3:11" x14ac:dyDescent="0.25">
      <c r="C5217" s="6"/>
      <c r="G5217" s="6"/>
      <c r="K5217" s="6"/>
    </row>
    <row r="5218" spans="3:11" x14ac:dyDescent="0.25">
      <c r="C5218" s="6"/>
      <c r="G5218" s="6"/>
      <c r="K5218" s="6"/>
    </row>
    <row r="5219" spans="3:11" x14ac:dyDescent="0.25">
      <c r="C5219" s="6"/>
      <c r="G5219" s="6"/>
      <c r="K5219" s="6"/>
    </row>
    <row r="5220" spans="3:11" x14ac:dyDescent="0.25">
      <c r="C5220" s="6"/>
      <c r="G5220" s="6"/>
      <c r="K5220" s="6"/>
    </row>
    <row r="5221" spans="3:11" x14ac:dyDescent="0.25">
      <c r="C5221" s="6"/>
      <c r="G5221" s="6"/>
      <c r="K5221" s="6"/>
    </row>
    <row r="5222" spans="3:11" x14ac:dyDescent="0.25">
      <c r="C5222" s="6"/>
      <c r="G5222" s="6"/>
      <c r="K5222" s="6"/>
    </row>
    <row r="5223" spans="3:11" x14ac:dyDescent="0.25">
      <c r="C5223" s="6"/>
      <c r="G5223" s="6"/>
      <c r="K5223" s="6"/>
    </row>
    <row r="5224" spans="3:11" x14ac:dyDescent="0.25">
      <c r="C5224" s="6"/>
      <c r="G5224" s="6"/>
      <c r="K5224" s="6"/>
    </row>
    <row r="5225" spans="3:11" x14ac:dyDescent="0.25">
      <c r="C5225" s="6"/>
      <c r="G5225" s="6"/>
      <c r="K5225" s="6"/>
    </row>
    <row r="5226" spans="3:11" x14ac:dyDescent="0.25">
      <c r="C5226" s="6"/>
      <c r="G5226" s="6"/>
      <c r="K5226" s="6"/>
    </row>
    <row r="5227" spans="3:11" x14ac:dyDescent="0.25">
      <c r="C5227" s="6"/>
      <c r="G5227" s="6"/>
      <c r="K5227" s="6"/>
    </row>
    <row r="5228" spans="3:11" x14ac:dyDescent="0.25">
      <c r="C5228" s="6"/>
      <c r="G5228" s="6"/>
      <c r="K5228" s="6"/>
    </row>
    <row r="5229" spans="3:11" x14ac:dyDescent="0.25">
      <c r="C5229" s="6"/>
      <c r="G5229" s="6"/>
      <c r="K5229" s="6"/>
    </row>
    <row r="5230" spans="3:11" x14ac:dyDescent="0.25">
      <c r="C5230" s="6"/>
      <c r="G5230" s="6"/>
      <c r="K5230" s="6"/>
    </row>
    <row r="5231" spans="3:11" x14ac:dyDescent="0.25">
      <c r="C5231" s="6"/>
      <c r="G5231" s="6"/>
      <c r="K5231" s="6"/>
    </row>
    <row r="5232" spans="3:11" x14ac:dyDescent="0.25">
      <c r="C5232" s="6"/>
      <c r="G5232" s="6"/>
      <c r="K5232" s="6"/>
    </row>
    <row r="5233" spans="3:11" x14ac:dyDescent="0.25">
      <c r="C5233" s="6"/>
      <c r="G5233" s="6"/>
      <c r="K5233" s="6"/>
    </row>
    <row r="5234" spans="3:11" x14ac:dyDescent="0.25">
      <c r="C5234" s="6"/>
      <c r="G5234" s="6"/>
      <c r="K5234" s="6"/>
    </row>
    <row r="5235" spans="3:11" x14ac:dyDescent="0.25">
      <c r="C5235" s="6"/>
      <c r="G5235" s="6"/>
      <c r="K5235" s="6"/>
    </row>
    <row r="5236" spans="3:11" x14ac:dyDescent="0.25">
      <c r="C5236" s="6"/>
      <c r="G5236" s="6"/>
      <c r="K5236" s="6"/>
    </row>
    <row r="5237" spans="3:11" x14ac:dyDescent="0.25">
      <c r="C5237" s="6"/>
      <c r="G5237" s="6"/>
      <c r="K5237" s="6"/>
    </row>
    <row r="5238" spans="3:11" x14ac:dyDescent="0.25">
      <c r="C5238" s="6"/>
      <c r="G5238" s="6"/>
      <c r="K5238" s="6"/>
    </row>
    <row r="5239" spans="3:11" x14ac:dyDescent="0.25">
      <c r="C5239" s="6"/>
      <c r="G5239" s="6"/>
      <c r="K5239" s="6"/>
    </row>
    <row r="5240" spans="3:11" x14ac:dyDescent="0.25">
      <c r="C5240" s="6"/>
      <c r="G5240" s="6"/>
      <c r="K5240" s="6"/>
    </row>
    <row r="5241" spans="3:11" x14ac:dyDescent="0.25">
      <c r="C5241" s="6"/>
      <c r="G5241" s="6"/>
      <c r="K5241" s="6"/>
    </row>
    <row r="5242" spans="3:11" x14ac:dyDescent="0.25">
      <c r="C5242" s="6"/>
      <c r="G5242" s="6"/>
      <c r="K5242" s="6"/>
    </row>
    <row r="5243" spans="3:11" x14ac:dyDescent="0.25">
      <c r="C5243" s="6"/>
      <c r="G5243" s="6"/>
      <c r="K5243" s="6"/>
    </row>
    <row r="5244" spans="3:11" x14ac:dyDescent="0.25">
      <c r="C5244" s="6"/>
      <c r="G5244" s="6"/>
      <c r="K5244" s="6"/>
    </row>
    <row r="5245" spans="3:11" x14ac:dyDescent="0.25">
      <c r="C5245" s="6"/>
      <c r="G5245" s="6"/>
      <c r="K5245" s="6"/>
    </row>
    <row r="5246" spans="3:11" x14ac:dyDescent="0.25">
      <c r="C5246" s="6"/>
      <c r="G5246" s="6"/>
      <c r="K5246" s="6"/>
    </row>
    <row r="5247" spans="3:11" x14ac:dyDescent="0.25">
      <c r="C5247" s="6"/>
      <c r="G5247" s="6"/>
      <c r="K5247" s="6"/>
    </row>
    <row r="5248" spans="3:11" x14ac:dyDescent="0.25">
      <c r="C5248" s="6"/>
      <c r="G5248" s="6"/>
      <c r="K5248" s="6"/>
    </row>
    <row r="5249" spans="3:11" x14ac:dyDescent="0.25">
      <c r="C5249" s="6"/>
      <c r="G5249" s="6"/>
      <c r="K5249" s="6"/>
    </row>
    <row r="5250" spans="3:11" x14ac:dyDescent="0.25">
      <c r="C5250" s="6"/>
      <c r="G5250" s="6"/>
      <c r="K5250" s="6"/>
    </row>
    <row r="5251" spans="3:11" x14ac:dyDescent="0.25">
      <c r="C5251" s="6"/>
      <c r="G5251" s="6"/>
      <c r="K5251" s="6"/>
    </row>
    <row r="5252" spans="3:11" x14ac:dyDescent="0.25">
      <c r="C5252" s="6"/>
      <c r="G5252" s="6"/>
      <c r="K5252" s="6"/>
    </row>
    <row r="5253" spans="3:11" x14ac:dyDescent="0.25">
      <c r="C5253" s="6"/>
      <c r="G5253" s="6"/>
      <c r="K5253" s="6"/>
    </row>
    <row r="5254" spans="3:11" x14ac:dyDescent="0.25">
      <c r="C5254" s="6"/>
      <c r="G5254" s="6"/>
      <c r="K5254" s="6"/>
    </row>
    <row r="5255" spans="3:11" x14ac:dyDescent="0.25">
      <c r="C5255" s="6"/>
      <c r="G5255" s="6"/>
      <c r="K5255" s="6"/>
    </row>
    <row r="5256" spans="3:11" x14ac:dyDescent="0.25">
      <c r="C5256" s="6"/>
      <c r="G5256" s="6"/>
      <c r="K5256" s="6"/>
    </row>
    <row r="5257" spans="3:11" x14ac:dyDescent="0.25">
      <c r="C5257" s="6"/>
      <c r="G5257" s="6"/>
      <c r="K5257" s="6"/>
    </row>
    <row r="5258" spans="3:11" x14ac:dyDescent="0.25">
      <c r="C5258" s="6"/>
      <c r="G5258" s="6"/>
      <c r="K5258" s="6"/>
    </row>
    <row r="5259" spans="3:11" x14ac:dyDescent="0.25">
      <c r="C5259" s="6"/>
      <c r="G5259" s="6"/>
      <c r="K5259" s="6"/>
    </row>
    <row r="5260" spans="3:11" x14ac:dyDescent="0.25">
      <c r="C5260" s="6"/>
      <c r="G5260" s="6"/>
      <c r="K5260" s="6"/>
    </row>
    <row r="5261" spans="3:11" x14ac:dyDescent="0.25">
      <c r="C5261" s="6"/>
      <c r="G5261" s="6"/>
      <c r="K5261" s="6"/>
    </row>
    <row r="5262" spans="3:11" x14ac:dyDescent="0.25">
      <c r="C5262" s="6"/>
      <c r="G5262" s="6"/>
      <c r="K5262" s="6"/>
    </row>
    <row r="5263" spans="3:11" x14ac:dyDescent="0.25">
      <c r="C5263" s="6"/>
      <c r="G5263" s="6"/>
      <c r="K5263" s="6"/>
    </row>
    <row r="5264" spans="3:11" x14ac:dyDescent="0.25">
      <c r="C5264" s="6"/>
      <c r="G5264" s="6"/>
      <c r="K5264" s="6"/>
    </row>
    <row r="5265" spans="3:11" x14ac:dyDescent="0.25">
      <c r="C5265" s="6"/>
      <c r="G5265" s="6"/>
      <c r="K5265" s="6"/>
    </row>
    <row r="5266" spans="3:11" x14ac:dyDescent="0.25">
      <c r="C5266" s="6"/>
      <c r="G5266" s="6"/>
      <c r="K5266" s="6"/>
    </row>
    <row r="5267" spans="3:11" x14ac:dyDescent="0.25">
      <c r="C5267" s="6"/>
      <c r="G5267" s="6"/>
      <c r="K5267" s="6"/>
    </row>
    <row r="5268" spans="3:11" x14ac:dyDescent="0.25">
      <c r="C5268" s="6"/>
      <c r="G5268" s="6"/>
      <c r="K5268" s="6"/>
    </row>
    <row r="5269" spans="3:11" x14ac:dyDescent="0.25">
      <c r="C5269" s="6"/>
      <c r="G5269" s="6"/>
      <c r="K5269" s="6"/>
    </row>
    <row r="5270" spans="3:11" x14ac:dyDescent="0.25">
      <c r="C5270" s="6"/>
      <c r="G5270" s="6"/>
      <c r="K5270" s="6"/>
    </row>
    <row r="5271" spans="3:11" x14ac:dyDescent="0.25">
      <c r="C5271" s="6"/>
      <c r="G5271" s="6"/>
      <c r="K5271" s="6"/>
    </row>
    <row r="5272" spans="3:11" x14ac:dyDescent="0.25">
      <c r="C5272" s="6"/>
      <c r="G5272" s="6"/>
      <c r="K5272" s="6"/>
    </row>
    <row r="5273" spans="3:11" x14ac:dyDescent="0.25">
      <c r="C5273" s="6"/>
      <c r="G5273" s="6"/>
      <c r="K5273" s="6"/>
    </row>
    <row r="5274" spans="3:11" x14ac:dyDescent="0.25">
      <c r="C5274" s="6"/>
      <c r="G5274" s="6"/>
      <c r="K5274" s="6"/>
    </row>
    <row r="5275" spans="3:11" x14ac:dyDescent="0.25">
      <c r="C5275" s="6"/>
      <c r="G5275" s="6"/>
      <c r="K5275" s="6"/>
    </row>
    <row r="5276" spans="3:11" x14ac:dyDescent="0.25">
      <c r="C5276" s="6"/>
      <c r="G5276" s="6"/>
      <c r="K5276" s="6"/>
    </row>
    <row r="5277" spans="3:11" x14ac:dyDescent="0.25">
      <c r="C5277" s="6"/>
      <c r="G5277" s="6"/>
      <c r="K5277" s="6"/>
    </row>
    <row r="5278" spans="3:11" x14ac:dyDescent="0.25">
      <c r="C5278" s="6"/>
      <c r="G5278" s="6"/>
      <c r="K5278" s="6"/>
    </row>
    <row r="5279" spans="3:11" x14ac:dyDescent="0.25">
      <c r="C5279" s="6"/>
      <c r="G5279" s="6"/>
      <c r="K5279" s="6"/>
    </row>
    <row r="5280" spans="3:11" x14ac:dyDescent="0.25">
      <c r="C5280" s="6"/>
      <c r="G5280" s="6"/>
      <c r="K5280" s="6"/>
    </row>
    <row r="5281" spans="3:11" x14ac:dyDescent="0.25">
      <c r="C5281" s="6"/>
      <c r="G5281" s="6"/>
      <c r="K5281" s="6"/>
    </row>
    <row r="5282" spans="3:11" x14ac:dyDescent="0.25">
      <c r="C5282" s="6"/>
      <c r="G5282" s="6"/>
      <c r="K5282" s="6"/>
    </row>
    <row r="5283" spans="3:11" x14ac:dyDescent="0.25">
      <c r="C5283" s="6"/>
      <c r="G5283" s="6"/>
      <c r="K5283" s="6"/>
    </row>
    <row r="5284" spans="3:11" x14ac:dyDescent="0.25">
      <c r="C5284" s="6"/>
      <c r="G5284" s="6"/>
      <c r="K5284" s="6"/>
    </row>
    <row r="5285" spans="3:11" x14ac:dyDescent="0.25">
      <c r="C5285" s="6"/>
      <c r="G5285" s="6"/>
      <c r="K5285" s="6"/>
    </row>
    <row r="5286" spans="3:11" x14ac:dyDescent="0.25">
      <c r="C5286" s="6"/>
      <c r="G5286" s="6"/>
      <c r="K5286" s="6"/>
    </row>
    <row r="5287" spans="3:11" x14ac:dyDescent="0.25">
      <c r="C5287" s="6"/>
      <c r="G5287" s="6"/>
      <c r="K5287" s="6"/>
    </row>
    <row r="5288" spans="3:11" x14ac:dyDescent="0.25">
      <c r="C5288" s="6"/>
      <c r="G5288" s="6"/>
      <c r="K5288" s="6"/>
    </row>
    <row r="5289" spans="3:11" x14ac:dyDescent="0.25">
      <c r="C5289" s="6"/>
      <c r="G5289" s="6"/>
      <c r="K5289" s="6"/>
    </row>
    <row r="5290" spans="3:11" x14ac:dyDescent="0.25">
      <c r="C5290" s="6"/>
      <c r="G5290" s="6"/>
      <c r="K5290" s="6"/>
    </row>
    <row r="5291" spans="3:11" x14ac:dyDescent="0.25">
      <c r="C5291" s="6"/>
      <c r="G5291" s="6"/>
      <c r="K5291" s="6"/>
    </row>
    <row r="5292" spans="3:11" x14ac:dyDescent="0.25">
      <c r="C5292" s="6"/>
      <c r="G5292" s="6"/>
      <c r="K5292" s="6"/>
    </row>
    <row r="5293" spans="3:11" x14ac:dyDescent="0.25">
      <c r="C5293" s="6"/>
      <c r="G5293" s="6"/>
      <c r="K5293" s="6"/>
    </row>
    <row r="5294" spans="3:11" x14ac:dyDescent="0.25">
      <c r="C5294" s="6"/>
      <c r="G5294" s="6"/>
      <c r="K5294" s="6"/>
    </row>
    <row r="5295" spans="3:11" x14ac:dyDescent="0.25">
      <c r="C5295" s="6"/>
      <c r="G5295" s="6"/>
      <c r="K5295" s="6"/>
    </row>
    <row r="5296" spans="3:11" x14ac:dyDescent="0.25">
      <c r="C5296" s="6"/>
      <c r="G5296" s="6"/>
      <c r="K5296" s="6"/>
    </row>
    <row r="5297" spans="3:11" x14ac:dyDescent="0.25">
      <c r="C5297" s="6"/>
      <c r="G5297" s="6"/>
      <c r="K5297" s="6"/>
    </row>
    <row r="5298" spans="3:11" x14ac:dyDescent="0.25">
      <c r="C5298" s="6"/>
      <c r="G5298" s="6"/>
      <c r="K5298" s="6"/>
    </row>
    <row r="5299" spans="3:11" x14ac:dyDescent="0.25">
      <c r="C5299" s="6"/>
      <c r="G5299" s="6"/>
      <c r="K5299" s="6"/>
    </row>
    <row r="5300" spans="3:11" x14ac:dyDescent="0.25">
      <c r="C5300" s="6"/>
      <c r="G5300" s="6"/>
      <c r="K5300" s="6"/>
    </row>
    <row r="5301" spans="3:11" x14ac:dyDescent="0.25">
      <c r="C5301" s="6"/>
      <c r="G5301" s="6"/>
      <c r="K5301" s="6"/>
    </row>
    <row r="5302" spans="3:11" x14ac:dyDescent="0.25">
      <c r="C5302" s="6"/>
      <c r="G5302" s="6"/>
      <c r="K5302" s="6"/>
    </row>
    <row r="5303" spans="3:11" x14ac:dyDescent="0.25">
      <c r="C5303" s="6"/>
      <c r="G5303" s="6"/>
      <c r="K5303" s="6"/>
    </row>
    <row r="5304" spans="3:11" x14ac:dyDescent="0.25">
      <c r="C5304" s="6"/>
      <c r="G5304" s="6"/>
      <c r="K5304" s="6"/>
    </row>
    <row r="5305" spans="3:11" x14ac:dyDescent="0.25">
      <c r="C5305" s="6"/>
      <c r="G5305" s="6"/>
      <c r="K5305" s="6"/>
    </row>
    <row r="5306" spans="3:11" x14ac:dyDescent="0.25">
      <c r="C5306" s="6"/>
      <c r="G5306" s="6"/>
      <c r="K5306" s="6"/>
    </row>
    <row r="5307" spans="3:11" x14ac:dyDescent="0.25">
      <c r="C5307" s="6"/>
      <c r="G5307" s="6"/>
      <c r="K5307" s="6"/>
    </row>
    <row r="5308" spans="3:11" x14ac:dyDescent="0.25">
      <c r="C5308" s="6"/>
      <c r="G5308" s="6"/>
      <c r="K5308" s="6"/>
    </row>
    <row r="5309" spans="3:11" x14ac:dyDescent="0.25">
      <c r="C5309" s="6"/>
      <c r="G5309" s="6"/>
      <c r="K5309" s="6"/>
    </row>
    <row r="5310" spans="3:11" x14ac:dyDescent="0.25">
      <c r="C5310" s="6"/>
      <c r="G5310" s="6"/>
      <c r="K5310" s="6"/>
    </row>
    <row r="5311" spans="3:11" x14ac:dyDescent="0.25">
      <c r="C5311" s="6"/>
      <c r="G5311" s="6"/>
      <c r="K5311" s="6"/>
    </row>
    <row r="5312" spans="3:11" x14ac:dyDescent="0.25">
      <c r="C5312" s="6"/>
      <c r="G5312" s="6"/>
      <c r="K5312" s="6"/>
    </row>
    <row r="5313" spans="3:11" x14ac:dyDescent="0.25">
      <c r="C5313" s="6"/>
      <c r="G5313" s="6"/>
      <c r="K5313" s="6"/>
    </row>
    <row r="5314" spans="3:11" x14ac:dyDescent="0.25">
      <c r="C5314" s="6"/>
      <c r="G5314" s="6"/>
      <c r="K5314" s="6"/>
    </row>
    <row r="5315" spans="3:11" x14ac:dyDescent="0.25">
      <c r="C5315" s="6"/>
      <c r="G5315" s="6"/>
      <c r="K5315" s="6"/>
    </row>
    <row r="5316" spans="3:11" x14ac:dyDescent="0.25">
      <c r="C5316" s="6"/>
      <c r="G5316" s="6"/>
      <c r="K5316" s="6"/>
    </row>
    <row r="5317" spans="3:11" x14ac:dyDescent="0.25">
      <c r="C5317" s="6"/>
      <c r="G5317" s="6"/>
      <c r="K5317" s="6"/>
    </row>
    <row r="5318" spans="3:11" x14ac:dyDescent="0.25">
      <c r="C5318" s="6"/>
      <c r="G5318" s="6"/>
      <c r="K5318" s="6"/>
    </row>
    <row r="5319" spans="3:11" x14ac:dyDescent="0.25">
      <c r="C5319" s="6"/>
      <c r="G5319" s="6"/>
      <c r="K5319" s="6"/>
    </row>
    <row r="5320" spans="3:11" x14ac:dyDescent="0.25">
      <c r="C5320" s="6"/>
      <c r="G5320" s="6"/>
      <c r="K5320" s="6"/>
    </row>
    <row r="5321" spans="3:11" x14ac:dyDescent="0.25">
      <c r="C5321" s="6"/>
      <c r="G5321" s="6"/>
      <c r="K5321" s="6"/>
    </row>
    <row r="5322" spans="3:11" x14ac:dyDescent="0.25">
      <c r="C5322" s="6"/>
      <c r="G5322" s="6"/>
      <c r="K5322" s="6"/>
    </row>
    <row r="5323" spans="3:11" x14ac:dyDescent="0.25">
      <c r="C5323" s="6"/>
      <c r="G5323" s="6"/>
      <c r="K5323" s="6"/>
    </row>
    <row r="5324" spans="3:11" x14ac:dyDescent="0.25">
      <c r="C5324" s="6"/>
      <c r="G5324" s="6"/>
      <c r="K5324" s="6"/>
    </row>
    <row r="5325" spans="3:11" x14ac:dyDescent="0.25">
      <c r="C5325" s="6"/>
      <c r="G5325" s="6"/>
      <c r="K5325" s="6"/>
    </row>
    <row r="5326" spans="3:11" x14ac:dyDescent="0.25">
      <c r="C5326" s="6"/>
      <c r="G5326" s="6"/>
      <c r="K5326" s="6"/>
    </row>
    <row r="5327" spans="3:11" x14ac:dyDescent="0.25">
      <c r="C5327" s="6"/>
      <c r="G5327" s="6"/>
      <c r="K5327" s="6"/>
    </row>
    <row r="5328" spans="3:11" x14ac:dyDescent="0.25">
      <c r="C5328" s="6"/>
      <c r="G5328" s="6"/>
      <c r="K5328" s="6"/>
    </row>
    <row r="5329" spans="3:11" x14ac:dyDescent="0.25">
      <c r="C5329" s="6"/>
      <c r="G5329" s="6"/>
      <c r="K5329" s="6"/>
    </row>
    <row r="5330" spans="3:11" x14ac:dyDescent="0.25">
      <c r="C5330" s="6"/>
      <c r="G5330" s="6"/>
      <c r="K5330" s="6"/>
    </row>
    <row r="5331" spans="3:11" x14ac:dyDescent="0.25">
      <c r="C5331" s="6"/>
      <c r="G5331" s="6"/>
      <c r="K5331" s="6"/>
    </row>
    <row r="5332" spans="3:11" x14ac:dyDescent="0.25">
      <c r="C5332" s="6"/>
      <c r="G5332" s="6"/>
      <c r="K5332" s="6"/>
    </row>
    <row r="5333" spans="3:11" x14ac:dyDescent="0.25">
      <c r="C5333" s="6"/>
      <c r="G5333" s="6"/>
      <c r="K5333" s="6"/>
    </row>
    <row r="5334" spans="3:11" x14ac:dyDescent="0.25">
      <c r="C5334" s="6"/>
      <c r="G5334" s="6"/>
      <c r="K5334" s="6"/>
    </row>
    <row r="5335" spans="3:11" x14ac:dyDescent="0.25">
      <c r="C5335" s="6"/>
      <c r="G5335" s="6"/>
      <c r="K5335" s="6"/>
    </row>
    <row r="5336" spans="3:11" x14ac:dyDescent="0.25">
      <c r="C5336" s="6"/>
      <c r="G5336" s="6"/>
      <c r="K5336" s="6"/>
    </row>
    <row r="5337" spans="3:11" x14ac:dyDescent="0.25">
      <c r="C5337" s="6"/>
      <c r="G5337" s="6"/>
      <c r="K5337" s="6"/>
    </row>
    <row r="5338" spans="3:11" x14ac:dyDescent="0.25">
      <c r="C5338" s="6"/>
      <c r="G5338" s="6"/>
      <c r="K5338" s="6"/>
    </row>
    <row r="5339" spans="3:11" x14ac:dyDescent="0.25">
      <c r="C5339" s="6"/>
      <c r="G5339" s="6"/>
      <c r="K5339" s="6"/>
    </row>
    <row r="5340" spans="3:11" x14ac:dyDescent="0.25">
      <c r="C5340" s="6"/>
      <c r="G5340" s="6"/>
      <c r="K5340" s="6"/>
    </row>
    <row r="5341" spans="3:11" x14ac:dyDescent="0.25">
      <c r="C5341" s="6"/>
      <c r="G5341" s="6"/>
      <c r="K5341" s="6"/>
    </row>
    <row r="5342" spans="3:11" x14ac:dyDescent="0.25">
      <c r="C5342" s="6"/>
      <c r="G5342" s="6"/>
      <c r="K5342" s="6"/>
    </row>
    <row r="5343" spans="3:11" x14ac:dyDescent="0.25">
      <c r="C5343" s="6"/>
      <c r="G5343" s="6"/>
      <c r="K5343" s="6"/>
    </row>
    <row r="5344" spans="3:11" x14ac:dyDescent="0.25">
      <c r="C5344" s="6"/>
      <c r="G5344" s="6"/>
      <c r="K5344" s="6"/>
    </row>
    <row r="5345" spans="3:11" x14ac:dyDescent="0.25">
      <c r="C5345" s="6"/>
      <c r="G5345" s="6"/>
      <c r="K5345" s="6"/>
    </row>
    <row r="5346" spans="3:11" x14ac:dyDescent="0.25">
      <c r="C5346" s="6"/>
      <c r="G5346" s="6"/>
      <c r="K5346" s="6"/>
    </row>
    <row r="5347" spans="3:11" x14ac:dyDescent="0.25">
      <c r="C5347" s="6"/>
      <c r="G5347" s="6"/>
      <c r="K5347" s="6"/>
    </row>
    <row r="5348" spans="3:11" x14ac:dyDescent="0.25">
      <c r="C5348" s="6"/>
      <c r="G5348" s="6"/>
      <c r="K5348" s="6"/>
    </row>
    <row r="5349" spans="3:11" x14ac:dyDescent="0.25">
      <c r="C5349" s="6"/>
      <c r="G5349" s="6"/>
      <c r="K5349" s="6"/>
    </row>
    <row r="5350" spans="3:11" x14ac:dyDescent="0.25">
      <c r="C5350" s="6"/>
      <c r="G5350" s="6"/>
      <c r="K5350" s="6"/>
    </row>
    <row r="5351" spans="3:11" x14ac:dyDescent="0.25">
      <c r="C5351" s="6"/>
      <c r="G5351" s="6"/>
      <c r="K5351" s="6"/>
    </row>
    <row r="5352" spans="3:11" x14ac:dyDescent="0.25">
      <c r="C5352" s="6"/>
      <c r="G5352" s="6"/>
      <c r="K5352" s="6"/>
    </row>
    <row r="5353" spans="3:11" x14ac:dyDescent="0.25">
      <c r="C5353" s="6"/>
      <c r="G5353" s="6"/>
      <c r="K5353" s="6"/>
    </row>
    <row r="5354" spans="3:11" x14ac:dyDescent="0.25">
      <c r="C5354" s="6"/>
      <c r="G5354" s="6"/>
      <c r="K5354" s="6"/>
    </row>
    <row r="5355" spans="3:11" x14ac:dyDescent="0.25">
      <c r="C5355" s="6"/>
      <c r="G5355" s="6"/>
      <c r="K5355" s="6"/>
    </row>
    <row r="5356" spans="3:11" x14ac:dyDescent="0.25">
      <c r="C5356" s="6"/>
      <c r="G5356" s="6"/>
      <c r="K5356" s="6"/>
    </row>
    <row r="5357" spans="3:11" x14ac:dyDescent="0.25">
      <c r="C5357" s="6"/>
      <c r="G5357" s="6"/>
      <c r="K5357" s="6"/>
    </row>
    <row r="5358" spans="3:11" x14ac:dyDescent="0.25">
      <c r="C5358" s="6"/>
      <c r="G5358" s="6"/>
      <c r="K5358" s="6"/>
    </row>
    <row r="5359" spans="3:11" x14ac:dyDescent="0.25">
      <c r="C5359" s="6"/>
      <c r="G5359" s="6"/>
      <c r="K5359" s="6"/>
    </row>
    <row r="5360" spans="3:11" x14ac:dyDescent="0.25">
      <c r="C5360" s="6"/>
      <c r="G5360" s="6"/>
      <c r="K5360" s="6"/>
    </row>
    <row r="5361" spans="3:11" x14ac:dyDescent="0.25">
      <c r="C5361" s="6"/>
      <c r="G5361" s="6"/>
      <c r="K5361" s="6"/>
    </row>
    <row r="5362" spans="3:11" x14ac:dyDescent="0.25">
      <c r="C5362" s="6"/>
      <c r="G5362" s="6"/>
      <c r="K5362" s="6"/>
    </row>
    <row r="5363" spans="3:11" x14ac:dyDescent="0.25">
      <c r="C5363" s="6"/>
      <c r="G5363" s="6"/>
      <c r="K5363" s="6"/>
    </row>
    <row r="5364" spans="3:11" x14ac:dyDescent="0.25">
      <c r="C5364" s="6"/>
      <c r="G5364" s="6"/>
      <c r="K5364" s="6"/>
    </row>
    <row r="5365" spans="3:11" x14ac:dyDescent="0.25">
      <c r="C5365" s="6"/>
      <c r="G5365" s="6"/>
      <c r="K5365" s="6"/>
    </row>
    <row r="5366" spans="3:11" x14ac:dyDescent="0.25">
      <c r="C5366" s="6"/>
      <c r="G5366" s="6"/>
      <c r="K5366" s="6"/>
    </row>
    <row r="5367" spans="3:11" x14ac:dyDescent="0.25">
      <c r="C5367" s="6"/>
      <c r="G5367" s="6"/>
      <c r="K5367" s="6"/>
    </row>
    <row r="5368" spans="3:11" x14ac:dyDescent="0.25">
      <c r="C5368" s="6"/>
      <c r="G5368" s="6"/>
      <c r="K5368" s="6"/>
    </row>
    <row r="5369" spans="3:11" x14ac:dyDescent="0.25">
      <c r="C5369" s="6"/>
      <c r="G5369" s="6"/>
      <c r="K5369" s="6"/>
    </row>
    <row r="5370" spans="3:11" x14ac:dyDescent="0.25">
      <c r="C5370" s="6"/>
      <c r="G5370" s="6"/>
      <c r="K5370" s="6"/>
    </row>
    <row r="5371" spans="3:11" x14ac:dyDescent="0.25">
      <c r="C5371" s="6"/>
      <c r="G5371" s="6"/>
      <c r="K5371" s="6"/>
    </row>
    <row r="5372" spans="3:11" x14ac:dyDescent="0.25">
      <c r="C5372" s="6"/>
      <c r="G5372" s="6"/>
      <c r="K5372" s="6"/>
    </row>
    <row r="5373" spans="3:11" x14ac:dyDescent="0.25">
      <c r="C5373" s="6"/>
      <c r="G5373" s="6"/>
      <c r="K5373" s="6"/>
    </row>
    <row r="5374" spans="3:11" x14ac:dyDescent="0.25">
      <c r="C5374" s="6"/>
      <c r="G5374" s="6"/>
      <c r="K5374" s="6"/>
    </row>
    <row r="5375" spans="3:11" x14ac:dyDescent="0.25">
      <c r="C5375" s="6"/>
      <c r="G5375" s="6"/>
      <c r="K5375" s="6"/>
    </row>
    <row r="5376" spans="3:11" x14ac:dyDescent="0.25">
      <c r="C5376" s="6"/>
      <c r="G5376" s="6"/>
      <c r="K5376" s="6"/>
    </row>
    <row r="5377" spans="3:11" x14ac:dyDescent="0.25">
      <c r="C5377" s="6"/>
      <c r="G5377" s="6"/>
      <c r="K5377" s="6"/>
    </row>
    <row r="5378" spans="3:11" x14ac:dyDescent="0.25">
      <c r="C5378" s="6"/>
      <c r="G5378" s="6"/>
      <c r="K5378" s="6"/>
    </row>
    <row r="5379" spans="3:11" x14ac:dyDescent="0.25">
      <c r="C5379" s="6"/>
      <c r="G5379" s="6"/>
      <c r="K5379" s="6"/>
    </row>
    <row r="5380" spans="3:11" x14ac:dyDescent="0.25">
      <c r="C5380" s="6"/>
      <c r="G5380" s="6"/>
      <c r="K5380" s="6"/>
    </row>
    <row r="5381" spans="3:11" x14ac:dyDescent="0.25">
      <c r="C5381" s="6"/>
      <c r="G5381" s="6"/>
      <c r="K5381" s="6"/>
    </row>
    <row r="5382" spans="3:11" x14ac:dyDescent="0.25">
      <c r="C5382" s="6"/>
      <c r="G5382" s="6"/>
      <c r="K5382" s="6"/>
    </row>
    <row r="5383" spans="3:11" x14ac:dyDescent="0.25">
      <c r="C5383" s="6"/>
      <c r="G5383" s="6"/>
      <c r="K5383" s="6"/>
    </row>
    <row r="5384" spans="3:11" x14ac:dyDescent="0.25">
      <c r="C5384" s="6"/>
      <c r="G5384" s="6"/>
      <c r="K5384" s="6"/>
    </row>
    <row r="5385" spans="3:11" x14ac:dyDescent="0.25">
      <c r="C5385" s="6"/>
      <c r="G5385" s="6"/>
      <c r="K5385" s="6"/>
    </row>
    <row r="5386" spans="3:11" x14ac:dyDescent="0.25">
      <c r="C5386" s="6"/>
      <c r="G5386" s="6"/>
      <c r="K5386" s="6"/>
    </row>
    <row r="5387" spans="3:11" x14ac:dyDescent="0.25">
      <c r="C5387" s="6"/>
      <c r="G5387" s="6"/>
      <c r="K5387" s="6"/>
    </row>
    <row r="5388" spans="3:11" x14ac:dyDescent="0.25">
      <c r="C5388" s="6"/>
      <c r="G5388" s="6"/>
      <c r="K5388" s="6"/>
    </row>
    <row r="5389" spans="3:11" x14ac:dyDescent="0.25">
      <c r="C5389" s="6"/>
      <c r="G5389" s="6"/>
      <c r="K5389" s="6"/>
    </row>
    <row r="5390" spans="3:11" x14ac:dyDescent="0.25">
      <c r="C5390" s="6"/>
      <c r="G5390" s="6"/>
      <c r="K5390" s="6"/>
    </row>
    <row r="5391" spans="3:11" x14ac:dyDescent="0.25">
      <c r="C5391" s="6"/>
      <c r="G5391" s="6"/>
      <c r="K5391" s="6"/>
    </row>
    <row r="5392" spans="3:11" x14ac:dyDescent="0.25">
      <c r="C5392" s="6"/>
      <c r="G5392" s="6"/>
      <c r="K5392" s="6"/>
    </row>
    <row r="5393" spans="3:11" x14ac:dyDescent="0.25">
      <c r="C5393" s="6"/>
      <c r="G5393" s="6"/>
      <c r="K5393" s="6"/>
    </row>
    <row r="5394" spans="3:11" x14ac:dyDescent="0.25">
      <c r="C5394" s="6"/>
      <c r="G5394" s="6"/>
      <c r="K5394" s="6"/>
    </row>
    <row r="5395" spans="3:11" x14ac:dyDescent="0.25">
      <c r="C5395" s="6"/>
      <c r="G5395" s="6"/>
      <c r="K5395" s="6"/>
    </row>
    <row r="5396" spans="3:11" x14ac:dyDescent="0.25">
      <c r="C5396" s="6"/>
      <c r="G5396" s="6"/>
      <c r="K5396" s="6"/>
    </row>
    <row r="5397" spans="3:11" x14ac:dyDescent="0.25">
      <c r="C5397" s="6"/>
      <c r="G5397" s="6"/>
      <c r="K5397" s="6"/>
    </row>
    <row r="5398" spans="3:11" x14ac:dyDescent="0.25">
      <c r="C5398" s="6"/>
      <c r="G5398" s="6"/>
      <c r="K5398" s="6"/>
    </row>
    <row r="5399" spans="3:11" x14ac:dyDescent="0.25">
      <c r="C5399" s="6"/>
      <c r="G5399" s="6"/>
      <c r="K5399" s="6"/>
    </row>
    <row r="5400" spans="3:11" x14ac:dyDescent="0.25">
      <c r="C5400" s="6"/>
      <c r="G5400" s="6"/>
      <c r="K5400" s="6"/>
    </row>
    <row r="5401" spans="3:11" x14ac:dyDescent="0.25">
      <c r="C5401" s="6"/>
      <c r="G5401" s="6"/>
      <c r="K5401" s="6"/>
    </row>
    <row r="5402" spans="3:11" x14ac:dyDescent="0.25">
      <c r="C5402" s="6"/>
      <c r="G5402" s="6"/>
      <c r="K5402" s="6"/>
    </row>
    <row r="5403" spans="3:11" x14ac:dyDescent="0.25">
      <c r="C5403" s="6"/>
      <c r="G5403" s="6"/>
      <c r="K5403" s="6"/>
    </row>
    <row r="5404" spans="3:11" x14ac:dyDescent="0.25">
      <c r="C5404" s="6"/>
      <c r="G5404" s="6"/>
      <c r="K5404" s="6"/>
    </row>
    <row r="5405" spans="3:11" x14ac:dyDescent="0.25">
      <c r="C5405" s="6"/>
      <c r="G5405" s="6"/>
      <c r="K5405" s="6"/>
    </row>
    <row r="5406" spans="3:11" x14ac:dyDescent="0.25">
      <c r="C5406" s="6"/>
      <c r="G5406" s="6"/>
      <c r="K5406" s="6"/>
    </row>
    <row r="5407" spans="3:11" x14ac:dyDescent="0.25">
      <c r="C5407" s="6"/>
      <c r="G5407" s="6"/>
      <c r="K5407" s="6"/>
    </row>
    <row r="5408" spans="3:11" x14ac:dyDescent="0.25">
      <c r="C5408" s="6"/>
      <c r="G5408" s="6"/>
      <c r="K5408" s="6"/>
    </row>
    <row r="5409" spans="3:11" x14ac:dyDescent="0.25">
      <c r="C5409" s="6"/>
      <c r="G5409" s="6"/>
      <c r="K5409" s="6"/>
    </row>
    <row r="5410" spans="3:11" x14ac:dyDescent="0.25">
      <c r="C5410" s="6"/>
      <c r="G5410" s="6"/>
      <c r="K5410" s="6"/>
    </row>
    <row r="5411" spans="3:11" x14ac:dyDescent="0.25">
      <c r="C5411" s="6"/>
      <c r="G5411" s="6"/>
      <c r="K5411" s="6"/>
    </row>
    <row r="5412" spans="3:11" x14ac:dyDescent="0.25">
      <c r="C5412" s="6"/>
      <c r="G5412" s="6"/>
      <c r="K5412" s="6"/>
    </row>
    <row r="5413" spans="3:11" x14ac:dyDescent="0.25">
      <c r="C5413" s="6"/>
      <c r="G5413" s="6"/>
      <c r="K5413" s="6"/>
    </row>
    <row r="5414" spans="3:11" x14ac:dyDescent="0.25">
      <c r="C5414" s="6"/>
      <c r="G5414" s="6"/>
      <c r="K5414" s="6"/>
    </row>
    <row r="5415" spans="3:11" x14ac:dyDescent="0.25">
      <c r="C5415" s="6"/>
      <c r="G5415" s="6"/>
      <c r="K5415" s="6"/>
    </row>
    <row r="5416" spans="3:11" x14ac:dyDescent="0.25">
      <c r="C5416" s="6"/>
      <c r="G5416" s="6"/>
      <c r="K5416" s="6"/>
    </row>
    <row r="5417" spans="3:11" x14ac:dyDescent="0.25">
      <c r="C5417" s="6"/>
      <c r="G5417" s="6"/>
      <c r="K5417" s="6"/>
    </row>
    <row r="5418" spans="3:11" x14ac:dyDescent="0.25">
      <c r="C5418" s="6"/>
      <c r="G5418" s="6"/>
      <c r="K5418" s="6"/>
    </row>
    <row r="5419" spans="3:11" x14ac:dyDescent="0.25">
      <c r="C5419" s="6"/>
      <c r="G5419" s="6"/>
      <c r="K5419" s="6"/>
    </row>
    <row r="5420" spans="3:11" x14ac:dyDescent="0.25">
      <c r="C5420" s="6"/>
      <c r="G5420" s="6"/>
      <c r="K5420" s="6"/>
    </row>
    <row r="5421" spans="3:11" x14ac:dyDescent="0.25">
      <c r="C5421" s="6"/>
      <c r="G5421" s="6"/>
      <c r="K5421" s="6"/>
    </row>
    <row r="5422" spans="3:11" x14ac:dyDescent="0.25">
      <c r="C5422" s="6"/>
      <c r="G5422" s="6"/>
      <c r="K5422" s="6"/>
    </row>
    <row r="5423" spans="3:11" x14ac:dyDescent="0.25">
      <c r="C5423" s="6"/>
      <c r="G5423" s="6"/>
      <c r="K5423" s="6"/>
    </row>
    <row r="5424" spans="3:11" x14ac:dyDescent="0.25">
      <c r="C5424" s="6"/>
      <c r="G5424" s="6"/>
      <c r="K5424" s="6"/>
    </row>
    <row r="5425" spans="3:11" x14ac:dyDescent="0.25">
      <c r="C5425" s="6"/>
      <c r="G5425" s="6"/>
      <c r="K5425" s="6"/>
    </row>
    <row r="5426" spans="3:11" x14ac:dyDescent="0.25">
      <c r="C5426" s="6"/>
      <c r="G5426" s="6"/>
      <c r="K5426" s="6"/>
    </row>
    <row r="5427" spans="3:11" x14ac:dyDescent="0.25">
      <c r="C5427" s="6"/>
      <c r="G5427" s="6"/>
      <c r="K5427" s="6"/>
    </row>
    <row r="5428" spans="3:11" x14ac:dyDescent="0.25">
      <c r="C5428" s="6"/>
      <c r="G5428" s="6"/>
      <c r="K5428" s="6"/>
    </row>
    <row r="5429" spans="3:11" x14ac:dyDescent="0.25">
      <c r="C5429" s="6"/>
      <c r="G5429" s="6"/>
      <c r="K5429" s="6"/>
    </row>
    <row r="5430" spans="3:11" x14ac:dyDescent="0.25">
      <c r="C5430" s="6"/>
      <c r="G5430" s="6"/>
      <c r="K5430" s="6"/>
    </row>
    <row r="5431" spans="3:11" x14ac:dyDescent="0.25">
      <c r="C5431" s="6"/>
      <c r="G5431" s="6"/>
      <c r="K5431" s="6"/>
    </row>
    <row r="5432" spans="3:11" x14ac:dyDescent="0.25">
      <c r="C5432" s="6"/>
      <c r="G5432" s="6"/>
      <c r="K5432" s="6"/>
    </row>
    <row r="5433" spans="3:11" x14ac:dyDescent="0.25">
      <c r="C5433" s="6"/>
      <c r="G5433" s="6"/>
      <c r="K5433" s="6"/>
    </row>
    <row r="5434" spans="3:11" x14ac:dyDescent="0.25">
      <c r="C5434" s="6"/>
      <c r="G5434" s="6"/>
      <c r="K5434" s="6"/>
    </row>
    <row r="5435" spans="3:11" x14ac:dyDescent="0.25">
      <c r="C5435" s="6"/>
      <c r="G5435" s="6"/>
      <c r="K5435" s="6"/>
    </row>
    <row r="5436" spans="3:11" x14ac:dyDescent="0.25">
      <c r="C5436" s="6"/>
      <c r="G5436" s="6"/>
      <c r="K5436" s="6"/>
    </row>
    <row r="5437" spans="3:11" x14ac:dyDescent="0.25">
      <c r="C5437" s="6"/>
      <c r="G5437" s="6"/>
      <c r="K5437" s="6"/>
    </row>
    <row r="5438" spans="3:11" x14ac:dyDescent="0.25">
      <c r="C5438" s="6"/>
      <c r="G5438" s="6"/>
      <c r="K5438" s="6"/>
    </row>
    <row r="5439" spans="3:11" x14ac:dyDescent="0.25">
      <c r="C5439" s="6"/>
      <c r="G5439" s="6"/>
      <c r="K5439" s="6"/>
    </row>
    <row r="5440" spans="3:11" x14ac:dyDescent="0.25">
      <c r="C5440" s="6"/>
      <c r="G5440" s="6"/>
      <c r="K5440" s="6"/>
    </row>
    <row r="5441" spans="3:11" x14ac:dyDescent="0.25">
      <c r="C5441" s="6"/>
      <c r="G5441" s="6"/>
      <c r="K5441" s="6"/>
    </row>
    <row r="5442" spans="3:11" x14ac:dyDescent="0.25">
      <c r="C5442" s="6"/>
      <c r="G5442" s="6"/>
      <c r="K5442" s="6"/>
    </row>
    <row r="5443" spans="3:11" x14ac:dyDescent="0.25">
      <c r="C5443" s="6"/>
      <c r="G5443" s="6"/>
      <c r="K5443" s="6"/>
    </row>
    <row r="5444" spans="3:11" x14ac:dyDescent="0.25">
      <c r="C5444" s="6"/>
      <c r="G5444" s="6"/>
      <c r="K5444" s="6"/>
    </row>
    <row r="5445" spans="3:11" x14ac:dyDescent="0.25">
      <c r="C5445" s="6"/>
      <c r="G5445" s="6"/>
      <c r="K5445" s="6"/>
    </row>
    <row r="5446" spans="3:11" x14ac:dyDescent="0.25">
      <c r="C5446" s="6"/>
      <c r="G5446" s="6"/>
      <c r="K5446" s="6"/>
    </row>
    <row r="5447" spans="3:11" x14ac:dyDescent="0.25">
      <c r="C5447" s="6"/>
      <c r="G5447" s="6"/>
      <c r="K5447" s="6"/>
    </row>
    <row r="5448" spans="3:11" x14ac:dyDescent="0.25">
      <c r="C5448" s="6"/>
      <c r="G5448" s="6"/>
      <c r="K5448" s="6"/>
    </row>
    <row r="5449" spans="3:11" x14ac:dyDescent="0.25">
      <c r="C5449" s="6"/>
      <c r="G5449" s="6"/>
      <c r="K5449" s="6"/>
    </row>
    <row r="5450" spans="3:11" x14ac:dyDescent="0.25">
      <c r="C5450" s="6"/>
      <c r="G5450" s="6"/>
      <c r="K5450" s="6"/>
    </row>
    <row r="5451" spans="3:11" x14ac:dyDescent="0.25">
      <c r="C5451" s="6"/>
      <c r="G5451" s="6"/>
      <c r="K5451" s="6"/>
    </row>
    <row r="5452" spans="3:11" x14ac:dyDescent="0.25">
      <c r="C5452" s="6"/>
      <c r="G5452" s="6"/>
      <c r="K5452" s="6"/>
    </row>
    <row r="5453" spans="3:11" x14ac:dyDescent="0.25">
      <c r="C5453" s="6"/>
      <c r="G5453" s="6"/>
      <c r="K5453" s="6"/>
    </row>
    <row r="5454" spans="3:11" x14ac:dyDescent="0.25">
      <c r="C5454" s="6"/>
      <c r="G5454" s="6"/>
      <c r="K5454" s="6"/>
    </row>
    <row r="5455" spans="3:11" x14ac:dyDescent="0.25">
      <c r="C5455" s="6"/>
      <c r="G5455" s="6"/>
      <c r="K5455" s="6"/>
    </row>
    <row r="5456" spans="3:11" x14ac:dyDescent="0.25">
      <c r="C5456" s="6"/>
      <c r="G5456" s="6"/>
      <c r="K5456" s="6"/>
    </row>
    <row r="5457" spans="3:11" x14ac:dyDescent="0.25">
      <c r="C5457" s="6"/>
      <c r="G5457" s="6"/>
      <c r="K5457" s="6"/>
    </row>
    <row r="5458" spans="3:11" x14ac:dyDescent="0.25">
      <c r="C5458" s="6"/>
      <c r="G5458" s="6"/>
      <c r="K5458" s="6"/>
    </row>
    <row r="5459" spans="3:11" x14ac:dyDescent="0.25">
      <c r="C5459" s="6"/>
      <c r="G5459" s="6"/>
      <c r="K5459" s="6"/>
    </row>
    <row r="5460" spans="3:11" x14ac:dyDescent="0.25">
      <c r="C5460" s="6"/>
      <c r="G5460" s="6"/>
      <c r="K5460" s="6"/>
    </row>
    <row r="5461" spans="3:11" x14ac:dyDescent="0.25">
      <c r="C5461" s="6"/>
      <c r="G5461" s="6"/>
      <c r="K5461" s="6"/>
    </row>
    <row r="5462" spans="3:11" x14ac:dyDescent="0.25">
      <c r="C5462" s="6"/>
      <c r="G5462" s="6"/>
      <c r="K5462" s="6"/>
    </row>
    <row r="5463" spans="3:11" x14ac:dyDescent="0.25">
      <c r="C5463" s="6"/>
      <c r="G5463" s="6"/>
      <c r="K5463" s="6"/>
    </row>
    <row r="5464" spans="3:11" x14ac:dyDescent="0.25">
      <c r="C5464" s="6"/>
      <c r="G5464" s="6"/>
      <c r="K5464" s="6"/>
    </row>
    <row r="5465" spans="3:11" x14ac:dyDescent="0.25">
      <c r="C5465" s="6"/>
      <c r="G5465" s="6"/>
      <c r="K5465" s="6"/>
    </row>
    <row r="5466" spans="3:11" x14ac:dyDescent="0.25">
      <c r="C5466" s="6"/>
      <c r="G5466" s="6"/>
      <c r="K5466" s="6"/>
    </row>
    <row r="5467" spans="3:11" x14ac:dyDescent="0.25">
      <c r="C5467" s="6"/>
      <c r="G5467" s="6"/>
      <c r="K5467" s="6"/>
    </row>
    <row r="5468" spans="3:11" x14ac:dyDescent="0.25">
      <c r="C5468" s="6"/>
      <c r="G5468" s="6"/>
      <c r="K5468" s="6"/>
    </row>
    <row r="5469" spans="3:11" x14ac:dyDescent="0.25">
      <c r="C5469" s="6"/>
      <c r="G5469" s="6"/>
      <c r="K5469" s="6"/>
    </row>
    <row r="5470" spans="3:11" x14ac:dyDescent="0.25">
      <c r="C5470" s="6"/>
      <c r="G5470" s="6"/>
      <c r="K5470" s="6"/>
    </row>
    <row r="5471" spans="3:11" x14ac:dyDescent="0.25">
      <c r="C5471" s="6"/>
      <c r="G5471" s="6"/>
      <c r="K5471" s="6"/>
    </row>
    <row r="5472" spans="3:11" x14ac:dyDescent="0.25">
      <c r="C5472" s="6"/>
      <c r="G5472" s="6"/>
      <c r="K5472" s="6"/>
    </row>
    <row r="5473" spans="3:11" x14ac:dyDescent="0.25">
      <c r="C5473" s="6"/>
      <c r="G5473" s="6"/>
      <c r="K5473" s="6"/>
    </row>
    <row r="5474" spans="3:11" x14ac:dyDescent="0.25">
      <c r="C5474" s="6"/>
      <c r="G5474" s="6"/>
      <c r="K5474" s="6"/>
    </row>
    <row r="5475" spans="3:11" x14ac:dyDescent="0.25">
      <c r="C5475" s="6"/>
      <c r="G5475" s="6"/>
      <c r="K5475" s="6"/>
    </row>
    <row r="5476" spans="3:11" x14ac:dyDescent="0.25">
      <c r="C5476" s="6"/>
      <c r="G5476" s="6"/>
      <c r="K5476" s="6"/>
    </row>
    <row r="5477" spans="3:11" x14ac:dyDescent="0.25">
      <c r="C5477" s="6"/>
      <c r="G5477" s="6"/>
      <c r="K5477" s="6"/>
    </row>
    <row r="5478" spans="3:11" x14ac:dyDescent="0.25">
      <c r="C5478" s="6"/>
      <c r="G5478" s="6"/>
      <c r="K5478" s="6"/>
    </row>
    <row r="5479" spans="3:11" x14ac:dyDescent="0.25">
      <c r="C5479" s="6"/>
      <c r="G5479" s="6"/>
      <c r="K5479" s="6"/>
    </row>
    <row r="5480" spans="3:11" x14ac:dyDescent="0.25">
      <c r="C5480" s="6"/>
      <c r="G5480" s="6"/>
      <c r="K5480" s="6"/>
    </row>
    <row r="5481" spans="3:11" x14ac:dyDescent="0.25">
      <c r="C5481" s="6"/>
      <c r="G5481" s="6"/>
      <c r="K5481" s="6"/>
    </row>
    <row r="5482" spans="3:11" x14ac:dyDescent="0.25">
      <c r="C5482" s="6"/>
      <c r="G5482" s="6"/>
      <c r="K5482" s="6"/>
    </row>
    <row r="5483" spans="3:11" x14ac:dyDescent="0.25">
      <c r="C5483" s="6"/>
      <c r="G5483" s="6"/>
      <c r="K5483" s="6"/>
    </row>
    <row r="5484" spans="3:11" x14ac:dyDescent="0.25">
      <c r="C5484" s="6"/>
      <c r="G5484" s="6"/>
      <c r="K5484" s="6"/>
    </row>
    <row r="5485" spans="3:11" x14ac:dyDescent="0.25">
      <c r="C5485" s="6"/>
      <c r="G5485" s="6"/>
      <c r="K5485" s="6"/>
    </row>
    <row r="5486" spans="3:11" x14ac:dyDescent="0.25">
      <c r="C5486" s="6"/>
      <c r="G5486" s="6"/>
      <c r="K5486" s="6"/>
    </row>
    <row r="5487" spans="3:11" x14ac:dyDescent="0.25">
      <c r="C5487" s="6"/>
      <c r="G5487" s="6"/>
      <c r="K5487" s="6"/>
    </row>
    <row r="5488" spans="3:11" x14ac:dyDescent="0.25">
      <c r="C5488" s="6"/>
      <c r="G5488" s="6"/>
      <c r="K5488" s="6"/>
    </row>
    <row r="5489" spans="3:11" x14ac:dyDescent="0.25">
      <c r="C5489" s="6"/>
      <c r="G5489" s="6"/>
      <c r="K5489" s="6"/>
    </row>
    <row r="5490" spans="3:11" x14ac:dyDescent="0.25">
      <c r="C5490" s="6"/>
      <c r="G5490" s="6"/>
      <c r="K5490" s="6"/>
    </row>
    <row r="5491" spans="3:11" x14ac:dyDescent="0.25">
      <c r="C5491" s="6"/>
      <c r="G5491" s="6"/>
      <c r="K5491" s="6"/>
    </row>
    <row r="5492" spans="3:11" x14ac:dyDescent="0.25">
      <c r="C5492" s="6"/>
      <c r="G5492" s="6"/>
      <c r="K5492" s="6"/>
    </row>
    <row r="5493" spans="3:11" x14ac:dyDescent="0.25">
      <c r="C5493" s="6"/>
      <c r="G5493" s="6"/>
      <c r="K5493" s="6"/>
    </row>
    <row r="5494" spans="3:11" x14ac:dyDescent="0.25">
      <c r="C5494" s="6"/>
      <c r="G5494" s="6"/>
      <c r="K5494" s="6"/>
    </row>
    <row r="5495" spans="3:11" x14ac:dyDescent="0.25">
      <c r="C5495" s="6"/>
      <c r="G5495" s="6"/>
      <c r="K5495" s="6"/>
    </row>
    <row r="5496" spans="3:11" x14ac:dyDescent="0.25">
      <c r="C5496" s="6"/>
      <c r="G5496" s="6"/>
      <c r="K5496" s="6"/>
    </row>
    <row r="5497" spans="3:11" x14ac:dyDescent="0.25">
      <c r="C5497" s="6"/>
      <c r="G5497" s="6"/>
      <c r="K5497" s="6"/>
    </row>
    <row r="5498" spans="3:11" x14ac:dyDescent="0.25">
      <c r="C5498" s="6"/>
      <c r="G5498" s="6"/>
      <c r="K5498" s="6"/>
    </row>
    <row r="5499" spans="3:11" x14ac:dyDescent="0.25">
      <c r="C5499" s="6"/>
      <c r="G5499" s="6"/>
      <c r="K5499" s="6"/>
    </row>
    <row r="5500" spans="3:11" x14ac:dyDescent="0.25">
      <c r="C5500" s="6"/>
      <c r="G5500" s="6"/>
      <c r="K5500" s="6"/>
    </row>
    <row r="5501" spans="3:11" x14ac:dyDescent="0.25">
      <c r="C5501" s="6"/>
      <c r="G5501" s="6"/>
      <c r="K5501" s="6"/>
    </row>
    <row r="5502" spans="3:11" x14ac:dyDescent="0.25">
      <c r="C5502" s="6"/>
      <c r="G5502" s="6"/>
      <c r="K5502" s="6"/>
    </row>
    <row r="5503" spans="3:11" x14ac:dyDescent="0.25">
      <c r="C5503" s="6"/>
      <c r="G5503" s="6"/>
      <c r="K5503" s="6"/>
    </row>
    <row r="5504" spans="3:11" x14ac:dyDescent="0.25">
      <c r="C5504" s="6"/>
      <c r="G5504" s="6"/>
      <c r="K5504" s="6"/>
    </row>
    <row r="5505" spans="3:11" x14ac:dyDescent="0.25">
      <c r="C5505" s="6"/>
      <c r="G5505" s="6"/>
      <c r="K5505" s="6"/>
    </row>
    <row r="5506" spans="3:11" x14ac:dyDescent="0.25">
      <c r="C5506" s="6"/>
      <c r="G5506" s="6"/>
      <c r="K5506" s="6"/>
    </row>
    <row r="5507" spans="3:11" x14ac:dyDescent="0.25">
      <c r="C5507" s="6"/>
      <c r="G5507" s="6"/>
      <c r="K5507" s="6"/>
    </row>
    <row r="5508" spans="3:11" x14ac:dyDescent="0.25">
      <c r="C5508" s="6"/>
      <c r="G5508" s="6"/>
      <c r="K5508" s="6"/>
    </row>
    <row r="5509" spans="3:11" x14ac:dyDescent="0.25">
      <c r="C5509" s="6"/>
      <c r="G5509" s="6"/>
      <c r="K5509" s="6"/>
    </row>
    <row r="5510" spans="3:11" x14ac:dyDescent="0.25">
      <c r="C5510" s="6"/>
      <c r="G5510" s="6"/>
      <c r="K5510" s="6"/>
    </row>
    <row r="5511" spans="3:11" x14ac:dyDescent="0.25">
      <c r="C5511" s="6"/>
      <c r="G5511" s="6"/>
      <c r="K5511" s="6"/>
    </row>
    <row r="5512" spans="3:11" x14ac:dyDescent="0.25">
      <c r="C5512" s="6"/>
      <c r="G5512" s="6"/>
      <c r="K5512" s="6"/>
    </row>
    <row r="5513" spans="3:11" x14ac:dyDescent="0.25">
      <c r="C5513" s="6"/>
      <c r="G5513" s="6"/>
      <c r="K5513" s="6"/>
    </row>
    <row r="5514" spans="3:11" x14ac:dyDescent="0.25">
      <c r="C5514" s="6"/>
      <c r="G5514" s="6"/>
      <c r="K5514" s="6"/>
    </row>
    <row r="5515" spans="3:11" x14ac:dyDescent="0.25">
      <c r="C5515" s="6"/>
      <c r="G5515" s="6"/>
      <c r="K5515" s="6"/>
    </row>
    <row r="5516" spans="3:11" x14ac:dyDescent="0.25">
      <c r="C5516" s="6"/>
      <c r="G5516" s="6"/>
      <c r="K5516" s="6"/>
    </row>
    <row r="5517" spans="3:11" x14ac:dyDescent="0.25">
      <c r="C5517" s="6"/>
      <c r="G5517" s="6"/>
      <c r="K5517" s="6"/>
    </row>
    <row r="5518" spans="3:11" x14ac:dyDescent="0.25">
      <c r="C5518" s="6"/>
      <c r="G5518" s="6"/>
      <c r="K5518" s="6"/>
    </row>
    <row r="5519" spans="3:11" x14ac:dyDescent="0.25">
      <c r="C5519" s="6"/>
      <c r="G5519" s="6"/>
      <c r="K5519" s="6"/>
    </row>
    <row r="5520" spans="3:11" x14ac:dyDescent="0.25">
      <c r="C5520" s="6"/>
      <c r="G5520" s="6"/>
      <c r="K5520" s="6"/>
    </row>
    <row r="5521" spans="3:11" x14ac:dyDescent="0.25">
      <c r="C5521" s="6"/>
      <c r="G5521" s="6"/>
      <c r="K5521" s="6"/>
    </row>
    <row r="5522" spans="3:11" x14ac:dyDescent="0.25">
      <c r="C5522" s="6"/>
      <c r="G5522" s="6"/>
      <c r="K5522" s="6"/>
    </row>
    <row r="5523" spans="3:11" x14ac:dyDescent="0.25">
      <c r="C5523" s="6"/>
      <c r="G5523" s="6"/>
      <c r="K5523" s="6"/>
    </row>
    <row r="5524" spans="3:11" x14ac:dyDescent="0.25">
      <c r="C5524" s="6"/>
      <c r="G5524" s="6"/>
      <c r="K5524" s="6"/>
    </row>
    <row r="5525" spans="3:11" x14ac:dyDescent="0.25">
      <c r="C5525" s="6"/>
      <c r="G5525" s="6"/>
      <c r="K5525" s="6"/>
    </row>
    <row r="5526" spans="3:11" x14ac:dyDescent="0.25">
      <c r="C5526" s="6"/>
      <c r="G5526" s="6"/>
      <c r="K5526" s="6"/>
    </row>
    <row r="5527" spans="3:11" x14ac:dyDescent="0.25">
      <c r="C5527" s="6"/>
      <c r="G5527" s="6"/>
      <c r="K5527" s="6"/>
    </row>
    <row r="5528" spans="3:11" x14ac:dyDescent="0.25">
      <c r="C5528" s="6"/>
      <c r="G5528" s="6"/>
      <c r="K5528" s="6"/>
    </row>
    <row r="5529" spans="3:11" x14ac:dyDescent="0.25">
      <c r="C5529" s="6"/>
      <c r="G5529" s="6"/>
      <c r="K5529" s="6"/>
    </row>
    <row r="5530" spans="3:11" x14ac:dyDescent="0.25">
      <c r="C5530" s="6"/>
      <c r="G5530" s="6"/>
      <c r="K5530" s="6"/>
    </row>
    <row r="5531" spans="3:11" x14ac:dyDescent="0.25">
      <c r="C5531" s="6"/>
      <c r="G5531" s="6"/>
      <c r="K5531" s="6"/>
    </row>
    <row r="5532" spans="3:11" x14ac:dyDescent="0.25">
      <c r="C5532" s="6"/>
      <c r="G5532" s="6"/>
      <c r="K5532" s="6"/>
    </row>
    <row r="5533" spans="3:11" x14ac:dyDescent="0.25">
      <c r="C5533" s="6"/>
      <c r="G5533" s="6"/>
      <c r="K5533" s="6"/>
    </row>
    <row r="5534" spans="3:11" x14ac:dyDescent="0.25">
      <c r="C5534" s="6"/>
      <c r="G5534" s="6"/>
      <c r="K5534" s="6"/>
    </row>
    <row r="5535" spans="3:11" x14ac:dyDescent="0.25">
      <c r="C5535" s="6"/>
      <c r="G5535" s="6"/>
      <c r="K5535" s="6"/>
    </row>
    <row r="5536" spans="3:11" x14ac:dyDescent="0.25">
      <c r="C5536" s="6"/>
      <c r="G5536" s="6"/>
      <c r="K5536" s="6"/>
    </row>
    <row r="5537" spans="3:11" x14ac:dyDescent="0.25">
      <c r="C5537" s="6"/>
      <c r="G5537" s="6"/>
      <c r="K5537" s="6"/>
    </row>
    <row r="5538" spans="3:11" x14ac:dyDescent="0.25">
      <c r="C5538" s="6"/>
      <c r="G5538" s="6"/>
      <c r="K5538" s="6"/>
    </row>
    <row r="5539" spans="3:11" x14ac:dyDescent="0.25">
      <c r="C5539" s="6"/>
      <c r="G5539" s="6"/>
      <c r="K5539" s="6"/>
    </row>
    <row r="5540" spans="3:11" x14ac:dyDescent="0.25">
      <c r="C5540" s="6"/>
      <c r="G5540" s="6"/>
      <c r="K5540" s="6"/>
    </row>
    <row r="5541" spans="3:11" x14ac:dyDescent="0.25">
      <c r="C5541" s="6"/>
      <c r="G5541" s="6"/>
      <c r="K5541" s="6"/>
    </row>
    <row r="5542" spans="3:11" x14ac:dyDescent="0.25">
      <c r="C5542" s="6"/>
      <c r="G5542" s="6"/>
      <c r="K5542" s="6"/>
    </row>
    <row r="5543" spans="3:11" x14ac:dyDescent="0.25">
      <c r="C5543" s="6"/>
      <c r="G5543" s="6"/>
      <c r="K5543" s="6"/>
    </row>
    <row r="5544" spans="3:11" x14ac:dyDescent="0.25">
      <c r="C5544" s="6"/>
      <c r="G5544" s="6"/>
      <c r="K5544" s="6"/>
    </row>
    <row r="5545" spans="3:11" x14ac:dyDescent="0.25">
      <c r="C5545" s="6"/>
      <c r="G5545" s="6"/>
      <c r="K5545" s="6"/>
    </row>
    <row r="5546" spans="3:11" x14ac:dyDescent="0.25">
      <c r="C5546" s="6"/>
      <c r="G5546" s="6"/>
      <c r="K5546" s="6"/>
    </row>
    <row r="5547" spans="3:11" x14ac:dyDescent="0.25">
      <c r="C5547" s="6"/>
      <c r="G5547" s="6"/>
      <c r="K5547" s="6"/>
    </row>
    <row r="5548" spans="3:11" x14ac:dyDescent="0.25">
      <c r="C5548" s="6"/>
      <c r="G5548" s="6"/>
      <c r="K5548" s="6"/>
    </row>
    <row r="5549" spans="3:11" x14ac:dyDescent="0.25">
      <c r="C5549" s="6"/>
      <c r="G5549" s="6"/>
      <c r="K5549" s="6"/>
    </row>
    <row r="5550" spans="3:11" x14ac:dyDescent="0.25">
      <c r="C5550" s="6"/>
      <c r="G5550" s="6"/>
      <c r="K5550" s="6"/>
    </row>
    <row r="5551" spans="3:11" x14ac:dyDescent="0.25">
      <c r="C5551" s="6"/>
      <c r="G5551" s="6"/>
      <c r="K5551" s="6"/>
    </row>
    <row r="5552" spans="3:11" x14ac:dyDescent="0.25">
      <c r="C5552" s="6"/>
      <c r="G5552" s="6"/>
      <c r="K5552" s="6"/>
    </row>
    <row r="5553" spans="3:11" x14ac:dyDescent="0.25">
      <c r="C5553" s="6"/>
      <c r="G5553" s="6"/>
      <c r="K5553" s="6"/>
    </row>
    <row r="5554" spans="3:11" x14ac:dyDescent="0.25">
      <c r="C5554" s="6"/>
      <c r="G5554" s="6"/>
      <c r="K5554" s="6"/>
    </row>
    <row r="5555" spans="3:11" x14ac:dyDescent="0.25">
      <c r="C5555" s="6"/>
      <c r="G5555" s="6"/>
      <c r="K5555" s="6"/>
    </row>
    <row r="5556" spans="3:11" x14ac:dyDescent="0.25">
      <c r="C5556" s="6"/>
      <c r="G5556" s="6"/>
      <c r="K5556" s="6"/>
    </row>
    <row r="5557" spans="3:11" x14ac:dyDescent="0.25">
      <c r="C5557" s="6"/>
      <c r="G5557" s="6"/>
      <c r="K5557" s="6"/>
    </row>
    <row r="5558" spans="3:11" x14ac:dyDescent="0.25">
      <c r="C5558" s="6"/>
      <c r="G5558" s="6"/>
      <c r="K5558" s="6"/>
    </row>
    <row r="5559" spans="3:11" x14ac:dyDescent="0.25">
      <c r="C5559" s="6"/>
      <c r="G5559" s="6"/>
      <c r="K5559" s="6"/>
    </row>
    <row r="5560" spans="3:11" x14ac:dyDescent="0.25">
      <c r="C5560" s="6"/>
      <c r="G5560" s="6"/>
      <c r="K5560" s="6"/>
    </row>
    <row r="5561" spans="3:11" x14ac:dyDescent="0.25">
      <c r="C5561" s="6"/>
      <c r="G5561" s="6"/>
      <c r="K5561" s="6"/>
    </row>
    <row r="5562" spans="3:11" x14ac:dyDescent="0.25">
      <c r="C5562" s="6"/>
      <c r="G5562" s="6"/>
      <c r="K5562" s="6"/>
    </row>
    <row r="5563" spans="3:11" x14ac:dyDescent="0.25">
      <c r="C5563" s="6"/>
      <c r="G5563" s="6"/>
      <c r="K5563" s="6"/>
    </row>
    <row r="5564" spans="3:11" x14ac:dyDescent="0.25">
      <c r="C5564" s="6"/>
      <c r="G5564" s="6"/>
      <c r="K5564" s="6"/>
    </row>
    <row r="5565" spans="3:11" x14ac:dyDescent="0.25">
      <c r="C5565" s="6"/>
      <c r="G5565" s="6"/>
      <c r="K5565" s="6"/>
    </row>
    <row r="5566" spans="3:11" x14ac:dyDescent="0.25">
      <c r="C5566" s="6"/>
      <c r="G5566" s="6"/>
      <c r="K5566" s="6"/>
    </row>
    <row r="5567" spans="3:11" x14ac:dyDescent="0.25">
      <c r="C5567" s="6"/>
      <c r="G5567" s="6"/>
      <c r="K5567" s="6"/>
    </row>
    <row r="5568" spans="3:11" x14ac:dyDescent="0.25">
      <c r="C5568" s="6"/>
      <c r="G5568" s="6"/>
      <c r="K5568" s="6"/>
    </row>
    <row r="5569" spans="3:11" x14ac:dyDescent="0.25">
      <c r="C5569" s="6"/>
      <c r="G5569" s="6"/>
      <c r="K5569" s="6"/>
    </row>
    <row r="5570" spans="3:11" x14ac:dyDescent="0.25">
      <c r="C5570" s="6"/>
      <c r="G5570" s="6"/>
      <c r="K5570" s="6"/>
    </row>
    <row r="5571" spans="3:11" x14ac:dyDescent="0.25">
      <c r="C5571" s="6"/>
      <c r="G5571" s="6"/>
      <c r="K5571" s="6"/>
    </row>
    <row r="5572" spans="3:11" x14ac:dyDescent="0.25">
      <c r="C5572" s="6"/>
      <c r="G5572" s="6"/>
      <c r="K5572" s="6"/>
    </row>
    <row r="5573" spans="3:11" x14ac:dyDescent="0.25">
      <c r="C5573" s="6"/>
      <c r="G5573" s="6"/>
      <c r="K5573" s="6"/>
    </row>
    <row r="5574" spans="3:11" x14ac:dyDescent="0.25">
      <c r="C5574" s="6"/>
      <c r="G5574" s="6"/>
      <c r="K5574" s="6"/>
    </row>
    <row r="5575" spans="3:11" x14ac:dyDescent="0.25">
      <c r="C5575" s="6"/>
      <c r="G5575" s="6"/>
      <c r="K5575" s="6"/>
    </row>
    <row r="5576" spans="3:11" x14ac:dyDescent="0.25">
      <c r="C5576" s="6"/>
      <c r="G5576" s="6"/>
      <c r="K5576" s="6"/>
    </row>
    <row r="5577" spans="3:11" x14ac:dyDescent="0.25">
      <c r="C5577" s="6"/>
      <c r="G5577" s="6"/>
      <c r="K5577" s="6"/>
    </row>
    <row r="5578" spans="3:11" x14ac:dyDescent="0.25">
      <c r="C5578" s="6"/>
      <c r="G5578" s="6"/>
      <c r="K5578" s="6"/>
    </row>
    <row r="5579" spans="3:11" x14ac:dyDescent="0.25">
      <c r="C5579" s="6"/>
      <c r="G5579" s="6"/>
      <c r="K5579" s="6"/>
    </row>
    <row r="5580" spans="3:11" x14ac:dyDescent="0.25">
      <c r="C5580" s="6"/>
      <c r="G5580" s="6"/>
      <c r="K5580" s="6"/>
    </row>
    <row r="5581" spans="3:11" x14ac:dyDescent="0.25">
      <c r="C5581" s="6"/>
      <c r="G5581" s="6"/>
      <c r="K5581" s="6"/>
    </row>
    <row r="5582" spans="3:11" x14ac:dyDescent="0.25">
      <c r="C5582" s="6"/>
      <c r="G5582" s="6"/>
      <c r="K5582" s="6"/>
    </row>
    <row r="5583" spans="3:11" x14ac:dyDescent="0.25">
      <c r="C5583" s="6"/>
      <c r="G5583" s="6"/>
      <c r="K5583" s="6"/>
    </row>
    <row r="5584" spans="3:11" x14ac:dyDescent="0.25">
      <c r="C5584" s="6"/>
      <c r="G5584" s="6"/>
      <c r="K5584" s="6"/>
    </row>
    <row r="5585" spans="3:11" x14ac:dyDescent="0.25">
      <c r="C5585" s="6"/>
      <c r="G5585" s="6"/>
      <c r="K5585" s="6"/>
    </row>
    <row r="5586" spans="3:11" x14ac:dyDescent="0.25">
      <c r="C5586" s="6"/>
      <c r="G5586" s="6"/>
      <c r="K5586" s="6"/>
    </row>
    <row r="5587" spans="3:11" x14ac:dyDescent="0.25">
      <c r="C5587" s="6"/>
      <c r="G5587" s="6"/>
      <c r="K5587" s="6"/>
    </row>
    <row r="5588" spans="3:11" x14ac:dyDescent="0.25">
      <c r="C5588" s="6"/>
      <c r="G5588" s="6"/>
      <c r="K5588" s="6"/>
    </row>
    <row r="5589" spans="3:11" x14ac:dyDescent="0.25">
      <c r="C5589" s="6"/>
      <c r="G5589" s="6"/>
      <c r="K5589" s="6"/>
    </row>
    <row r="5590" spans="3:11" x14ac:dyDescent="0.25">
      <c r="C5590" s="6"/>
      <c r="G5590" s="6"/>
      <c r="K5590" s="6"/>
    </row>
    <row r="5591" spans="3:11" x14ac:dyDescent="0.25">
      <c r="C5591" s="6"/>
      <c r="G5591" s="6"/>
      <c r="K5591" s="6"/>
    </row>
    <row r="5592" spans="3:11" x14ac:dyDescent="0.25">
      <c r="C5592" s="6"/>
      <c r="G5592" s="6"/>
      <c r="K5592" s="6"/>
    </row>
    <row r="5593" spans="3:11" x14ac:dyDescent="0.25">
      <c r="C5593" s="6"/>
      <c r="G5593" s="6"/>
      <c r="K5593" s="6"/>
    </row>
    <row r="5594" spans="3:11" x14ac:dyDescent="0.25">
      <c r="C5594" s="6"/>
      <c r="G5594" s="6"/>
      <c r="K5594" s="6"/>
    </row>
    <row r="5595" spans="3:11" x14ac:dyDescent="0.25">
      <c r="C5595" s="6"/>
      <c r="G5595" s="6"/>
      <c r="K5595" s="6"/>
    </row>
    <row r="5596" spans="3:11" x14ac:dyDescent="0.25">
      <c r="C5596" s="6"/>
      <c r="G5596" s="6"/>
      <c r="K5596" s="6"/>
    </row>
    <row r="5597" spans="3:11" x14ac:dyDescent="0.25">
      <c r="C5597" s="6"/>
      <c r="G5597" s="6"/>
      <c r="K5597" s="6"/>
    </row>
    <row r="5598" spans="3:11" x14ac:dyDescent="0.25">
      <c r="C5598" s="6"/>
      <c r="G5598" s="6"/>
      <c r="K5598" s="6"/>
    </row>
    <row r="5599" spans="3:11" x14ac:dyDescent="0.25">
      <c r="C5599" s="6"/>
      <c r="G5599" s="6"/>
      <c r="K5599" s="6"/>
    </row>
    <row r="5600" spans="3:11" x14ac:dyDescent="0.25">
      <c r="C5600" s="6"/>
      <c r="G5600" s="6"/>
      <c r="K5600" s="6"/>
    </row>
    <row r="5601" spans="3:11" x14ac:dyDescent="0.25">
      <c r="C5601" s="6"/>
      <c r="G5601" s="6"/>
      <c r="K5601" s="6"/>
    </row>
    <row r="5602" spans="3:11" x14ac:dyDescent="0.25">
      <c r="C5602" s="6"/>
      <c r="G5602" s="6"/>
      <c r="K5602" s="6"/>
    </row>
    <row r="5603" spans="3:11" x14ac:dyDescent="0.25">
      <c r="C5603" s="6"/>
      <c r="G5603" s="6"/>
      <c r="K5603" s="6"/>
    </row>
    <row r="5604" spans="3:11" x14ac:dyDescent="0.25">
      <c r="C5604" s="6"/>
      <c r="G5604" s="6"/>
      <c r="K5604" s="6"/>
    </row>
    <row r="5605" spans="3:11" x14ac:dyDescent="0.25">
      <c r="C5605" s="6"/>
      <c r="G5605" s="6"/>
      <c r="K5605" s="6"/>
    </row>
    <row r="5606" spans="3:11" x14ac:dyDescent="0.25">
      <c r="C5606" s="6"/>
      <c r="G5606" s="6"/>
      <c r="K5606" s="6"/>
    </row>
    <row r="5607" spans="3:11" x14ac:dyDescent="0.25">
      <c r="C5607" s="6"/>
      <c r="G5607" s="6"/>
      <c r="K5607" s="6"/>
    </row>
    <row r="5608" spans="3:11" x14ac:dyDescent="0.25">
      <c r="C5608" s="6"/>
      <c r="G5608" s="6"/>
      <c r="K5608" s="6"/>
    </row>
    <row r="5609" spans="3:11" x14ac:dyDescent="0.25">
      <c r="C5609" s="6"/>
      <c r="G5609" s="6"/>
      <c r="K5609" s="6"/>
    </row>
    <row r="5610" spans="3:11" x14ac:dyDescent="0.25">
      <c r="C5610" s="6"/>
      <c r="G5610" s="6"/>
      <c r="K5610" s="6"/>
    </row>
    <row r="5611" spans="3:11" x14ac:dyDescent="0.25">
      <c r="C5611" s="6"/>
      <c r="G5611" s="6"/>
      <c r="K5611" s="6"/>
    </row>
    <row r="5612" spans="3:11" x14ac:dyDescent="0.25">
      <c r="C5612" s="6"/>
      <c r="G5612" s="6"/>
      <c r="K5612" s="6"/>
    </row>
    <row r="5613" spans="3:11" x14ac:dyDescent="0.25">
      <c r="C5613" s="6"/>
      <c r="G5613" s="6"/>
      <c r="K5613" s="6"/>
    </row>
    <row r="5614" spans="3:11" x14ac:dyDescent="0.25">
      <c r="C5614" s="6"/>
      <c r="G5614" s="6"/>
      <c r="K5614" s="6"/>
    </row>
    <row r="5615" spans="3:11" x14ac:dyDescent="0.25">
      <c r="C5615" s="6"/>
      <c r="G5615" s="6"/>
      <c r="K5615" s="6"/>
    </row>
    <row r="5616" spans="3:11" x14ac:dyDescent="0.25">
      <c r="C5616" s="6"/>
      <c r="G5616" s="6"/>
      <c r="K5616" s="6"/>
    </row>
    <row r="5617" spans="3:11" x14ac:dyDescent="0.25">
      <c r="C5617" s="6"/>
      <c r="G5617" s="6"/>
      <c r="K5617" s="6"/>
    </row>
    <row r="5618" spans="3:11" x14ac:dyDescent="0.25">
      <c r="C5618" s="6"/>
      <c r="G5618" s="6"/>
      <c r="K5618" s="6"/>
    </row>
    <row r="5619" spans="3:11" x14ac:dyDescent="0.25">
      <c r="C5619" s="6"/>
      <c r="G5619" s="6"/>
      <c r="K5619" s="6"/>
    </row>
    <row r="5620" spans="3:11" x14ac:dyDescent="0.25">
      <c r="C5620" s="6"/>
      <c r="G5620" s="6"/>
      <c r="K5620" s="6"/>
    </row>
    <row r="5621" spans="3:11" x14ac:dyDescent="0.25">
      <c r="C5621" s="6"/>
      <c r="G5621" s="6"/>
      <c r="K5621" s="6"/>
    </row>
    <row r="5622" spans="3:11" x14ac:dyDescent="0.25">
      <c r="C5622" s="6"/>
      <c r="G5622" s="6"/>
      <c r="K5622" s="6"/>
    </row>
    <row r="5623" spans="3:11" x14ac:dyDescent="0.25">
      <c r="C5623" s="6"/>
      <c r="G5623" s="6"/>
      <c r="K5623" s="6"/>
    </row>
    <row r="5624" spans="3:11" x14ac:dyDescent="0.25">
      <c r="C5624" s="6"/>
      <c r="G5624" s="6"/>
      <c r="K5624" s="6"/>
    </row>
    <row r="5625" spans="3:11" x14ac:dyDescent="0.25">
      <c r="C5625" s="6"/>
      <c r="G5625" s="6"/>
      <c r="K5625" s="6"/>
    </row>
    <row r="5626" spans="3:11" x14ac:dyDescent="0.25">
      <c r="C5626" s="6"/>
      <c r="G5626" s="6"/>
      <c r="K5626" s="6"/>
    </row>
    <row r="5627" spans="3:11" x14ac:dyDescent="0.25">
      <c r="C5627" s="6"/>
      <c r="G5627" s="6"/>
      <c r="K5627" s="6"/>
    </row>
    <row r="5628" spans="3:11" x14ac:dyDescent="0.25">
      <c r="C5628" s="6"/>
      <c r="G5628" s="6"/>
      <c r="K5628" s="6"/>
    </row>
    <row r="5629" spans="3:11" x14ac:dyDescent="0.25">
      <c r="C5629" s="6"/>
      <c r="G5629" s="6"/>
      <c r="K5629" s="6"/>
    </row>
    <row r="5630" spans="3:11" x14ac:dyDescent="0.25">
      <c r="C5630" s="6"/>
      <c r="G5630" s="6"/>
      <c r="K5630" s="6"/>
    </row>
    <row r="5631" spans="3:11" x14ac:dyDescent="0.25">
      <c r="C5631" s="6"/>
      <c r="G5631" s="6"/>
      <c r="K5631" s="6"/>
    </row>
    <row r="5632" spans="3:11" x14ac:dyDescent="0.25">
      <c r="C5632" s="6"/>
      <c r="G5632" s="6"/>
      <c r="K5632" s="6"/>
    </row>
    <row r="5633" spans="3:11" x14ac:dyDescent="0.25">
      <c r="C5633" s="6"/>
      <c r="G5633" s="6"/>
      <c r="K5633" s="6"/>
    </row>
    <row r="5634" spans="3:11" x14ac:dyDescent="0.25">
      <c r="C5634" s="6"/>
      <c r="G5634" s="6"/>
      <c r="K5634" s="6"/>
    </row>
    <row r="5635" spans="3:11" x14ac:dyDescent="0.25">
      <c r="C5635" s="6"/>
      <c r="G5635" s="6"/>
      <c r="K5635" s="6"/>
    </row>
    <row r="5636" spans="3:11" x14ac:dyDescent="0.25">
      <c r="C5636" s="6"/>
      <c r="G5636" s="6"/>
      <c r="K5636" s="6"/>
    </row>
    <row r="5637" spans="3:11" x14ac:dyDescent="0.25">
      <c r="C5637" s="6"/>
      <c r="G5637" s="6"/>
      <c r="K5637" s="6"/>
    </row>
    <row r="5638" spans="3:11" x14ac:dyDescent="0.25">
      <c r="C5638" s="6"/>
      <c r="G5638" s="6"/>
      <c r="K5638" s="6"/>
    </row>
    <row r="5639" spans="3:11" x14ac:dyDescent="0.25">
      <c r="C5639" s="6"/>
      <c r="G5639" s="6"/>
      <c r="K5639" s="6"/>
    </row>
    <row r="5640" spans="3:11" x14ac:dyDescent="0.25">
      <c r="C5640" s="6"/>
      <c r="G5640" s="6"/>
      <c r="K5640" s="6"/>
    </row>
    <row r="5641" spans="3:11" x14ac:dyDescent="0.25">
      <c r="C5641" s="6"/>
      <c r="G5641" s="6"/>
      <c r="K5641" s="6"/>
    </row>
    <row r="5642" spans="3:11" x14ac:dyDescent="0.25">
      <c r="C5642" s="6"/>
      <c r="G5642" s="6"/>
      <c r="K5642" s="6"/>
    </row>
    <row r="5643" spans="3:11" x14ac:dyDescent="0.25">
      <c r="C5643" s="6"/>
      <c r="G5643" s="6"/>
      <c r="K5643" s="6"/>
    </row>
    <row r="5644" spans="3:11" x14ac:dyDescent="0.25">
      <c r="C5644" s="6"/>
      <c r="G5644" s="6"/>
      <c r="K5644" s="6"/>
    </row>
    <row r="5645" spans="3:11" x14ac:dyDescent="0.25">
      <c r="C5645" s="6"/>
      <c r="G5645" s="6"/>
      <c r="K5645" s="6"/>
    </row>
    <row r="5646" spans="3:11" x14ac:dyDescent="0.25">
      <c r="C5646" s="6"/>
      <c r="G5646" s="6"/>
      <c r="K5646" s="6"/>
    </row>
    <row r="5647" spans="3:11" x14ac:dyDescent="0.25">
      <c r="C5647" s="6"/>
      <c r="G5647" s="6"/>
      <c r="K5647" s="6"/>
    </row>
    <row r="5648" spans="3:11" x14ac:dyDescent="0.25">
      <c r="C5648" s="6"/>
      <c r="G5648" s="6"/>
      <c r="K5648" s="6"/>
    </row>
    <row r="5649" spans="3:11" x14ac:dyDescent="0.25">
      <c r="C5649" s="6"/>
      <c r="G5649" s="6"/>
      <c r="K5649" s="6"/>
    </row>
    <row r="5650" spans="3:11" x14ac:dyDescent="0.25">
      <c r="C5650" s="6"/>
      <c r="G5650" s="6"/>
      <c r="K5650" s="6"/>
    </row>
    <row r="5651" spans="3:11" x14ac:dyDescent="0.25">
      <c r="C5651" s="6"/>
      <c r="G5651" s="6"/>
      <c r="K5651" s="6"/>
    </row>
    <row r="5652" spans="3:11" x14ac:dyDescent="0.25">
      <c r="C5652" s="6"/>
      <c r="G5652" s="6"/>
      <c r="K5652" s="6"/>
    </row>
    <row r="5653" spans="3:11" x14ac:dyDescent="0.25">
      <c r="C5653" s="6"/>
      <c r="G5653" s="6"/>
      <c r="K5653" s="6"/>
    </row>
    <row r="5654" spans="3:11" x14ac:dyDescent="0.25">
      <c r="C5654" s="6"/>
      <c r="G5654" s="6"/>
      <c r="K5654" s="6"/>
    </row>
    <row r="5655" spans="3:11" x14ac:dyDescent="0.25">
      <c r="C5655" s="6"/>
      <c r="G5655" s="6"/>
      <c r="K5655" s="6"/>
    </row>
    <row r="5656" spans="3:11" x14ac:dyDescent="0.25">
      <c r="C5656" s="6"/>
      <c r="G5656" s="6"/>
      <c r="K5656" s="6"/>
    </row>
    <row r="5657" spans="3:11" x14ac:dyDescent="0.25">
      <c r="C5657" s="6"/>
      <c r="G5657" s="6"/>
      <c r="K5657" s="6"/>
    </row>
    <row r="5658" spans="3:11" x14ac:dyDescent="0.25">
      <c r="C5658" s="6"/>
      <c r="G5658" s="6"/>
      <c r="K5658" s="6"/>
    </row>
    <row r="5659" spans="3:11" x14ac:dyDescent="0.25">
      <c r="C5659" s="6"/>
      <c r="G5659" s="6"/>
      <c r="K5659" s="6"/>
    </row>
    <row r="5660" spans="3:11" x14ac:dyDescent="0.25">
      <c r="C5660" s="6"/>
      <c r="G5660" s="6"/>
      <c r="K5660" s="6"/>
    </row>
    <row r="5661" spans="3:11" x14ac:dyDescent="0.25">
      <c r="C5661" s="6"/>
      <c r="G5661" s="6"/>
      <c r="K5661" s="6"/>
    </row>
    <row r="5662" spans="3:11" x14ac:dyDescent="0.25">
      <c r="C5662" s="6"/>
      <c r="G5662" s="6"/>
      <c r="K5662" s="6"/>
    </row>
    <row r="5663" spans="3:11" x14ac:dyDescent="0.25">
      <c r="C5663" s="6"/>
      <c r="G5663" s="6"/>
      <c r="K5663" s="6"/>
    </row>
    <row r="5664" spans="3:11" x14ac:dyDescent="0.25">
      <c r="C5664" s="6"/>
      <c r="G5664" s="6"/>
      <c r="K5664" s="6"/>
    </row>
    <row r="5665" spans="3:11" x14ac:dyDescent="0.25">
      <c r="C5665" s="6"/>
      <c r="G5665" s="6"/>
      <c r="K5665" s="6"/>
    </row>
    <row r="5666" spans="3:11" x14ac:dyDescent="0.25">
      <c r="C5666" s="6"/>
      <c r="G5666" s="6"/>
      <c r="K5666" s="6"/>
    </row>
    <row r="5667" spans="3:11" x14ac:dyDescent="0.25">
      <c r="C5667" s="6"/>
      <c r="G5667" s="6"/>
      <c r="K5667" s="6"/>
    </row>
    <row r="5668" spans="3:11" x14ac:dyDescent="0.25">
      <c r="C5668" s="6"/>
      <c r="G5668" s="6"/>
      <c r="K5668" s="6"/>
    </row>
    <row r="5669" spans="3:11" x14ac:dyDescent="0.25">
      <c r="C5669" s="6"/>
      <c r="G5669" s="6"/>
      <c r="K5669" s="6"/>
    </row>
    <row r="5670" spans="3:11" x14ac:dyDescent="0.25">
      <c r="C5670" s="6"/>
      <c r="G5670" s="6"/>
      <c r="K5670" s="6"/>
    </row>
    <row r="5671" spans="3:11" x14ac:dyDescent="0.25">
      <c r="C5671" s="6"/>
      <c r="G5671" s="6"/>
      <c r="K5671" s="6"/>
    </row>
    <row r="5672" spans="3:11" x14ac:dyDescent="0.25">
      <c r="C5672" s="6"/>
      <c r="G5672" s="6"/>
      <c r="K5672" s="6"/>
    </row>
    <row r="5673" spans="3:11" x14ac:dyDescent="0.25">
      <c r="C5673" s="6"/>
      <c r="G5673" s="6"/>
      <c r="K5673" s="6"/>
    </row>
    <row r="5674" spans="3:11" x14ac:dyDescent="0.25">
      <c r="C5674" s="6"/>
      <c r="G5674" s="6"/>
      <c r="K5674" s="6"/>
    </row>
    <row r="5675" spans="3:11" x14ac:dyDescent="0.25">
      <c r="C5675" s="6"/>
      <c r="G5675" s="6"/>
      <c r="K5675" s="6"/>
    </row>
    <row r="5676" spans="3:11" x14ac:dyDescent="0.25">
      <c r="C5676" s="6"/>
      <c r="G5676" s="6"/>
      <c r="K5676" s="6"/>
    </row>
    <row r="5677" spans="3:11" x14ac:dyDescent="0.25">
      <c r="C5677" s="6"/>
      <c r="G5677" s="6"/>
      <c r="K5677" s="6"/>
    </row>
    <row r="5678" spans="3:11" x14ac:dyDescent="0.25">
      <c r="C5678" s="6"/>
      <c r="G5678" s="6"/>
      <c r="K5678" s="6"/>
    </row>
    <row r="5679" spans="3:11" x14ac:dyDescent="0.25">
      <c r="C5679" s="6"/>
      <c r="G5679" s="6"/>
      <c r="K5679" s="6"/>
    </row>
    <row r="5680" spans="3:11" x14ac:dyDescent="0.25">
      <c r="C5680" s="6"/>
      <c r="G5680" s="6"/>
      <c r="K5680" s="6"/>
    </row>
    <row r="5681" spans="3:11" x14ac:dyDescent="0.25">
      <c r="C5681" s="6"/>
      <c r="G5681" s="6"/>
      <c r="K5681" s="6"/>
    </row>
    <row r="5682" spans="3:11" x14ac:dyDescent="0.25">
      <c r="C5682" s="6"/>
      <c r="G5682" s="6"/>
      <c r="K5682" s="6"/>
    </row>
    <row r="5683" spans="3:11" x14ac:dyDescent="0.25">
      <c r="C5683" s="6"/>
      <c r="G5683" s="6"/>
      <c r="K5683" s="6"/>
    </row>
    <row r="5684" spans="3:11" x14ac:dyDescent="0.25">
      <c r="C5684" s="6"/>
      <c r="G5684" s="6"/>
      <c r="K5684" s="6"/>
    </row>
    <row r="5685" spans="3:11" x14ac:dyDescent="0.25">
      <c r="C5685" s="6"/>
      <c r="G5685" s="6"/>
      <c r="K5685" s="6"/>
    </row>
    <row r="5686" spans="3:11" x14ac:dyDescent="0.25">
      <c r="C5686" s="6"/>
      <c r="G5686" s="6"/>
      <c r="K5686" s="6"/>
    </row>
    <row r="5687" spans="3:11" x14ac:dyDescent="0.25">
      <c r="C5687" s="6"/>
      <c r="G5687" s="6"/>
      <c r="K5687" s="6"/>
    </row>
    <row r="5688" spans="3:11" x14ac:dyDescent="0.25">
      <c r="C5688" s="6"/>
      <c r="G5688" s="6"/>
      <c r="K5688" s="6"/>
    </row>
    <row r="5689" spans="3:11" x14ac:dyDescent="0.25">
      <c r="C5689" s="6"/>
      <c r="G5689" s="6"/>
      <c r="K5689" s="6"/>
    </row>
    <row r="5690" spans="3:11" x14ac:dyDescent="0.25">
      <c r="C5690" s="6"/>
      <c r="G5690" s="6"/>
      <c r="K5690" s="6"/>
    </row>
    <row r="5691" spans="3:11" x14ac:dyDescent="0.25">
      <c r="C5691" s="6"/>
      <c r="G5691" s="6"/>
      <c r="K5691" s="6"/>
    </row>
    <row r="5692" spans="3:11" x14ac:dyDescent="0.25">
      <c r="C5692" s="6"/>
      <c r="G5692" s="6"/>
      <c r="K5692" s="6"/>
    </row>
    <row r="5693" spans="3:11" x14ac:dyDescent="0.25">
      <c r="C5693" s="6"/>
      <c r="G5693" s="6"/>
      <c r="K5693" s="6"/>
    </row>
    <row r="5694" spans="3:11" x14ac:dyDescent="0.25">
      <c r="C5694" s="6"/>
      <c r="G5694" s="6"/>
      <c r="K5694" s="6"/>
    </row>
    <row r="5695" spans="3:11" x14ac:dyDescent="0.25">
      <c r="C5695" s="6"/>
      <c r="G5695" s="6"/>
      <c r="K5695" s="6"/>
    </row>
    <row r="5696" spans="3:11" x14ac:dyDescent="0.25">
      <c r="C5696" s="6"/>
      <c r="G5696" s="6"/>
      <c r="K5696" s="6"/>
    </row>
    <row r="5697" spans="3:11" x14ac:dyDescent="0.25">
      <c r="C5697" s="6"/>
      <c r="G5697" s="6"/>
      <c r="K5697" s="6"/>
    </row>
    <row r="5698" spans="3:11" x14ac:dyDescent="0.25">
      <c r="C5698" s="6"/>
      <c r="G5698" s="6"/>
      <c r="K5698" s="6"/>
    </row>
    <row r="5699" spans="3:11" x14ac:dyDescent="0.25">
      <c r="C5699" s="6"/>
      <c r="G5699" s="6"/>
      <c r="K5699" s="6"/>
    </row>
    <row r="5700" spans="3:11" x14ac:dyDescent="0.25">
      <c r="C5700" s="6"/>
      <c r="G5700" s="6"/>
      <c r="K5700" s="6"/>
    </row>
    <row r="5701" spans="3:11" x14ac:dyDescent="0.25">
      <c r="C5701" s="6"/>
      <c r="G5701" s="6"/>
      <c r="K5701" s="6"/>
    </row>
    <row r="5702" spans="3:11" x14ac:dyDescent="0.25">
      <c r="C5702" s="6"/>
      <c r="G5702" s="6"/>
      <c r="K5702" s="6"/>
    </row>
    <row r="5703" spans="3:11" x14ac:dyDescent="0.25">
      <c r="C5703" s="6"/>
      <c r="G5703" s="6"/>
      <c r="K5703" s="6"/>
    </row>
    <row r="5704" spans="3:11" x14ac:dyDescent="0.25">
      <c r="C5704" s="6"/>
      <c r="G5704" s="6"/>
      <c r="K5704" s="6"/>
    </row>
    <row r="5705" spans="3:11" x14ac:dyDescent="0.25">
      <c r="C5705" s="6"/>
      <c r="G5705" s="6"/>
      <c r="K5705" s="6"/>
    </row>
    <row r="5706" spans="3:11" x14ac:dyDescent="0.25">
      <c r="C5706" s="6"/>
      <c r="G5706" s="6"/>
      <c r="K5706" s="6"/>
    </row>
    <row r="5707" spans="3:11" x14ac:dyDescent="0.25">
      <c r="C5707" s="6"/>
      <c r="G5707" s="6"/>
      <c r="K5707" s="6"/>
    </row>
    <row r="5708" spans="3:11" x14ac:dyDescent="0.25">
      <c r="C5708" s="6"/>
      <c r="G5708" s="6"/>
      <c r="K5708" s="6"/>
    </row>
    <row r="5709" spans="3:11" x14ac:dyDescent="0.25">
      <c r="C5709" s="6"/>
      <c r="G5709" s="6"/>
      <c r="K5709" s="6"/>
    </row>
    <row r="5710" spans="3:11" x14ac:dyDescent="0.25">
      <c r="C5710" s="6"/>
      <c r="G5710" s="6"/>
      <c r="K5710" s="6"/>
    </row>
    <row r="5711" spans="3:11" x14ac:dyDescent="0.25">
      <c r="C5711" s="6"/>
      <c r="G5711" s="6"/>
      <c r="K5711" s="6"/>
    </row>
    <row r="5712" spans="3:11" x14ac:dyDescent="0.25">
      <c r="C5712" s="6"/>
      <c r="G5712" s="6"/>
      <c r="K5712" s="6"/>
    </row>
    <row r="5713" spans="3:11" x14ac:dyDescent="0.25">
      <c r="C5713" s="6"/>
      <c r="G5713" s="6"/>
      <c r="K5713" s="6"/>
    </row>
    <row r="5714" spans="3:11" x14ac:dyDescent="0.25">
      <c r="C5714" s="6"/>
      <c r="G5714" s="6"/>
      <c r="K5714" s="6"/>
    </row>
    <row r="5715" spans="3:11" x14ac:dyDescent="0.25">
      <c r="C5715" s="6"/>
      <c r="G5715" s="6"/>
      <c r="K5715" s="6"/>
    </row>
    <row r="5716" spans="3:11" x14ac:dyDescent="0.25">
      <c r="C5716" s="6"/>
      <c r="G5716" s="6"/>
      <c r="K5716" s="6"/>
    </row>
    <row r="5717" spans="3:11" x14ac:dyDescent="0.25">
      <c r="C5717" s="6"/>
      <c r="G5717" s="6"/>
      <c r="K5717" s="6"/>
    </row>
    <row r="5718" spans="3:11" x14ac:dyDescent="0.25">
      <c r="C5718" s="6"/>
      <c r="G5718" s="6"/>
      <c r="K5718" s="6"/>
    </row>
    <row r="5719" spans="3:11" x14ac:dyDescent="0.25">
      <c r="C5719" s="6"/>
      <c r="G5719" s="6"/>
      <c r="K5719" s="6"/>
    </row>
    <row r="5720" spans="3:11" x14ac:dyDescent="0.25">
      <c r="C5720" s="6"/>
      <c r="G5720" s="6"/>
      <c r="K5720" s="6"/>
    </row>
    <row r="5721" spans="3:11" x14ac:dyDescent="0.25">
      <c r="C5721" s="6"/>
      <c r="G5721" s="6"/>
      <c r="K5721" s="6"/>
    </row>
    <row r="5722" spans="3:11" x14ac:dyDescent="0.25">
      <c r="C5722" s="6"/>
      <c r="G5722" s="6"/>
      <c r="K5722" s="6"/>
    </row>
    <row r="5723" spans="3:11" x14ac:dyDescent="0.25">
      <c r="C5723" s="6"/>
      <c r="G5723" s="6"/>
      <c r="K5723" s="6"/>
    </row>
    <row r="5724" spans="3:11" x14ac:dyDescent="0.25">
      <c r="C5724" s="6"/>
      <c r="G5724" s="6"/>
      <c r="K5724" s="6"/>
    </row>
    <row r="5725" spans="3:11" x14ac:dyDescent="0.25">
      <c r="C5725" s="6"/>
      <c r="G5725" s="6"/>
      <c r="K5725" s="6"/>
    </row>
    <row r="5726" spans="3:11" x14ac:dyDescent="0.25">
      <c r="C5726" s="6"/>
      <c r="G5726" s="6"/>
      <c r="K5726" s="6"/>
    </row>
    <row r="5727" spans="3:11" x14ac:dyDescent="0.25">
      <c r="C5727" s="6"/>
      <c r="G5727" s="6"/>
      <c r="K5727" s="6"/>
    </row>
    <row r="5728" spans="3:11" x14ac:dyDescent="0.25">
      <c r="C5728" s="6"/>
      <c r="G5728" s="6"/>
      <c r="K5728" s="6"/>
    </row>
    <row r="5729" spans="3:11" x14ac:dyDescent="0.25">
      <c r="C5729" s="6"/>
      <c r="G5729" s="6"/>
      <c r="K5729" s="6"/>
    </row>
    <row r="5730" spans="3:11" x14ac:dyDescent="0.25">
      <c r="C5730" s="6"/>
      <c r="G5730" s="6"/>
      <c r="K5730" s="6"/>
    </row>
    <row r="5731" spans="3:11" x14ac:dyDescent="0.25">
      <c r="C5731" s="6"/>
      <c r="G5731" s="6"/>
      <c r="K5731" s="6"/>
    </row>
    <row r="5732" spans="3:11" x14ac:dyDescent="0.25">
      <c r="C5732" s="6"/>
      <c r="G5732" s="6"/>
      <c r="K5732" s="6"/>
    </row>
    <row r="5733" spans="3:11" x14ac:dyDescent="0.25">
      <c r="C5733" s="6"/>
      <c r="G5733" s="6"/>
      <c r="K5733" s="6"/>
    </row>
    <row r="5734" spans="3:11" x14ac:dyDescent="0.25">
      <c r="C5734" s="6"/>
      <c r="G5734" s="6"/>
      <c r="K5734" s="6"/>
    </row>
    <row r="5735" spans="3:11" x14ac:dyDescent="0.25">
      <c r="C5735" s="6"/>
      <c r="G5735" s="6"/>
      <c r="K5735" s="6"/>
    </row>
    <row r="5736" spans="3:11" x14ac:dyDescent="0.25">
      <c r="C5736" s="6"/>
      <c r="G5736" s="6"/>
      <c r="K5736" s="6"/>
    </row>
    <row r="5737" spans="3:11" x14ac:dyDescent="0.25">
      <c r="C5737" s="6"/>
      <c r="G5737" s="6"/>
      <c r="K5737" s="6"/>
    </row>
    <row r="5738" spans="3:11" x14ac:dyDescent="0.25">
      <c r="C5738" s="6"/>
      <c r="G5738" s="6"/>
      <c r="K5738" s="6"/>
    </row>
    <row r="5739" spans="3:11" x14ac:dyDescent="0.25">
      <c r="C5739" s="6"/>
      <c r="G5739" s="6"/>
      <c r="K5739" s="6"/>
    </row>
    <row r="5740" spans="3:11" x14ac:dyDescent="0.25">
      <c r="C5740" s="6"/>
      <c r="G5740" s="6"/>
      <c r="K5740" s="6"/>
    </row>
    <row r="5741" spans="3:11" x14ac:dyDescent="0.25">
      <c r="C5741" s="6"/>
      <c r="G5741" s="6"/>
      <c r="K5741" s="6"/>
    </row>
    <row r="5742" spans="3:11" x14ac:dyDescent="0.25">
      <c r="C5742" s="6"/>
      <c r="G5742" s="6"/>
      <c r="K5742" s="6"/>
    </row>
    <row r="5743" spans="3:11" x14ac:dyDescent="0.25">
      <c r="C5743" s="6"/>
      <c r="G5743" s="6"/>
      <c r="K5743" s="6"/>
    </row>
    <row r="5744" spans="3:11" x14ac:dyDescent="0.25">
      <c r="C5744" s="6"/>
      <c r="G5744" s="6"/>
      <c r="K5744" s="6"/>
    </row>
    <row r="5745" spans="3:11" x14ac:dyDescent="0.25">
      <c r="C5745" s="6"/>
      <c r="G5745" s="6"/>
      <c r="K5745" s="6"/>
    </row>
    <row r="5746" spans="3:11" x14ac:dyDescent="0.25">
      <c r="C5746" s="6"/>
      <c r="G5746" s="6"/>
      <c r="K5746" s="6"/>
    </row>
    <row r="5747" spans="3:11" x14ac:dyDescent="0.25">
      <c r="C5747" s="6"/>
      <c r="G5747" s="6"/>
      <c r="K5747" s="6"/>
    </row>
    <row r="5748" spans="3:11" x14ac:dyDescent="0.25">
      <c r="C5748" s="6"/>
      <c r="G5748" s="6"/>
      <c r="K5748" s="6"/>
    </row>
    <row r="5749" spans="3:11" x14ac:dyDescent="0.25">
      <c r="C5749" s="6"/>
      <c r="G5749" s="6"/>
      <c r="K5749" s="6"/>
    </row>
    <row r="5750" spans="3:11" x14ac:dyDescent="0.25">
      <c r="C5750" s="6"/>
      <c r="G5750" s="6"/>
      <c r="K5750" s="6"/>
    </row>
    <row r="5751" spans="3:11" x14ac:dyDescent="0.25">
      <c r="C5751" s="6"/>
      <c r="G5751" s="6"/>
      <c r="K5751" s="6"/>
    </row>
    <row r="5752" spans="3:11" x14ac:dyDescent="0.25">
      <c r="C5752" s="6"/>
      <c r="G5752" s="6"/>
      <c r="K5752" s="6"/>
    </row>
    <row r="5753" spans="3:11" x14ac:dyDescent="0.25">
      <c r="C5753" s="6"/>
      <c r="G5753" s="6"/>
      <c r="K5753" s="6"/>
    </row>
    <row r="5754" spans="3:11" x14ac:dyDescent="0.25">
      <c r="C5754" s="6"/>
      <c r="G5754" s="6"/>
      <c r="K5754" s="6"/>
    </row>
    <row r="5755" spans="3:11" x14ac:dyDescent="0.25">
      <c r="C5755" s="6"/>
      <c r="G5755" s="6"/>
      <c r="K5755" s="6"/>
    </row>
    <row r="5756" spans="3:11" x14ac:dyDescent="0.25">
      <c r="C5756" s="6"/>
      <c r="G5756" s="6"/>
      <c r="K5756" s="6"/>
    </row>
    <row r="5757" spans="3:11" x14ac:dyDescent="0.25">
      <c r="C5757" s="6"/>
      <c r="G5757" s="6"/>
      <c r="K5757" s="6"/>
    </row>
    <row r="5758" spans="3:11" x14ac:dyDescent="0.25">
      <c r="C5758" s="6"/>
      <c r="G5758" s="6"/>
      <c r="K5758" s="6"/>
    </row>
    <row r="5759" spans="3:11" x14ac:dyDescent="0.25">
      <c r="C5759" s="6"/>
      <c r="G5759" s="6"/>
      <c r="K5759" s="6"/>
    </row>
    <row r="5760" spans="3:11" x14ac:dyDescent="0.25">
      <c r="C5760" s="6"/>
      <c r="G5760" s="6"/>
      <c r="K5760" s="6"/>
    </row>
    <row r="5761" spans="3:11" x14ac:dyDescent="0.25">
      <c r="C5761" s="6"/>
      <c r="G5761" s="6"/>
      <c r="K5761" s="6"/>
    </row>
    <row r="5762" spans="3:11" x14ac:dyDescent="0.25">
      <c r="C5762" s="6"/>
      <c r="G5762" s="6"/>
      <c r="K5762" s="6"/>
    </row>
    <row r="5763" spans="3:11" x14ac:dyDescent="0.25">
      <c r="C5763" s="6"/>
      <c r="G5763" s="6"/>
      <c r="K5763" s="6"/>
    </row>
    <row r="5764" spans="3:11" x14ac:dyDescent="0.25">
      <c r="C5764" s="6"/>
      <c r="G5764" s="6"/>
      <c r="K5764" s="6"/>
    </row>
    <row r="5765" spans="3:11" x14ac:dyDescent="0.25">
      <c r="C5765" s="6"/>
      <c r="G5765" s="6"/>
      <c r="K5765" s="6"/>
    </row>
    <row r="5766" spans="3:11" x14ac:dyDescent="0.25">
      <c r="C5766" s="6"/>
      <c r="G5766" s="6"/>
      <c r="K5766" s="6"/>
    </row>
    <row r="5767" spans="3:11" x14ac:dyDescent="0.25">
      <c r="C5767" s="6"/>
      <c r="G5767" s="6"/>
      <c r="K5767" s="6"/>
    </row>
    <row r="5768" spans="3:11" x14ac:dyDescent="0.25">
      <c r="C5768" s="6"/>
      <c r="G5768" s="6"/>
      <c r="K5768" s="6"/>
    </row>
    <row r="5769" spans="3:11" x14ac:dyDescent="0.25">
      <c r="C5769" s="6"/>
      <c r="G5769" s="6"/>
      <c r="K5769" s="6"/>
    </row>
    <row r="5770" spans="3:11" x14ac:dyDescent="0.25">
      <c r="C5770" s="6"/>
      <c r="G5770" s="6"/>
      <c r="K5770" s="6"/>
    </row>
    <row r="5771" spans="3:11" x14ac:dyDescent="0.25">
      <c r="C5771" s="6"/>
      <c r="G5771" s="6"/>
      <c r="K5771" s="6"/>
    </row>
    <row r="5772" spans="3:11" x14ac:dyDescent="0.25">
      <c r="C5772" s="6"/>
      <c r="G5772" s="6"/>
      <c r="K5772" s="6"/>
    </row>
    <row r="5773" spans="3:11" x14ac:dyDescent="0.25">
      <c r="C5773" s="6"/>
      <c r="G5773" s="6"/>
      <c r="K5773" s="6"/>
    </row>
    <row r="5774" spans="3:11" x14ac:dyDescent="0.25">
      <c r="C5774" s="6"/>
      <c r="G5774" s="6"/>
      <c r="K5774" s="6"/>
    </row>
    <row r="5775" spans="3:11" x14ac:dyDescent="0.25">
      <c r="C5775" s="6"/>
      <c r="G5775" s="6"/>
      <c r="K5775" s="6"/>
    </row>
    <row r="5776" spans="3:11" x14ac:dyDescent="0.25">
      <c r="C5776" s="6"/>
      <c r="G5776" s="6"/>
      <c r="K5776" s="6"/>
    </row>
    <row r="5777" spans="3:11" x14ac:dyDescent="0.25">
      <c r="C5777" s="6"/>
      <c r="G5777" s="6"/>
      <c r="K5777" s="6"/>
    </row>
    <row r="5778" spans="3:11" x14ac:dyDescent="0.25">
      <c r="C5778" s="6"/>
      <c r="G5778" s="6"/>
      <c r="K5778" s="6"/>
    </row>
    <row r="5779" spans="3:11" x14ac:dyDescent="0.25">
      <c r="C5779" s="6"/>
      <c r="G5779" s="6"/>
      <c r="K5779" s="6"/>
    </row>
    <row r="5780" spans="3:11" x14ac:dyDescent="0.25">
      <c r="C5780" s="6"/>
      <c r="G5780" s="6"/>
      <c r="K5780" s="6"/>
    </row>
    <row r="5781" spans="3:11" x14ac:dyDescent="0.25">
      <c r="C5781" s="6"/>
      <c r="G5781" s="6"/>
      <c r="K5781" s="6"/>
    </row>
    <row r="5782" spans="3:11" x14ac:dyDescent="0.25">
      <c r="C5782" s="6"/>
      <c r="G5782" s="6"/>
      <c r="K5782" s="6"/>
    </row>
    <row r="5783" spans="3:11" x14ac:dyDescent="0.25">
      <c r="C5783" s="6"/>
      <c r="G5783" s="6"/>
      <c r="K5783" s="6"/>
    </row>
    <row r="5784" spans="3:11" x14ac:dyDescent="0.25">
      <c r="C5784" s="6"/>
      <c r="G5784" s="6"/>
      <c r="K5784" s="6"/>
    </row>
    <row r="5785" spans="3:11" x14ac:dyDescent="0.25">
      <c r="C5785" s="6"/>
      <c r="G5785" s="6"/>
      <c r="K5785" s="6"/>
    </row>
    <row r="5786" spans="3:11" x14ac:dyDescent="0.25">
      <c r="C5786" s="6"/>
      <c r="G5786" s="6"/>
      <c r="K5786" s="6"/>
    </row>
    <row r="5787" spans="3:11" x14ac:dyDescent="0.25">
      <c r="C5787" s="6"/>
      <c r="G5787" s="6"/>
      <c r="K5787" s="6"/>
    </row>
    <row r="5788" spans="3:11" x14ac:dyDescent="0.25">
      <c r="C5788" s="6"/>
      <c r="G5788" s="6"/>
      <c r="K5788" s="6"/>
    </row>
    <row r="5789" spans="3:11" x14ac:dyDescent="0.25">
      <c r="C5789" s="6"/>
      <c r="G5789" s="6"/>
      <c r="K5789" s="6"/>
    </row>
    <row r="5790" spans="3:11" x14ac:dyDescent="0.25">
      <c r="C5790" s="6"/>
      <c r="G5790" s="6"/>
      <c r="K5790" s="6"/>
    </row>
    <row r="5791" spans="3:11" x14ac:dyDescent="0.25">
      <c r="C5791" s="6"/>
      <c r="G5791" s="6"/>
      <c r="K5791" s="6"/>
    </row>
    <row r="5792" spans="3:11" x14ac:dyDescent="0.25">
      <c r="C5792" s="6"/>
      <c r="G5792" s="6"/>
      <c r="K5792" s="6"/>
    </row>
    <row r="5793" spans="3:11" x14ac:dyDescent="0.25">
      <c r="C5793" s="6"/>
      <c r="G5793" s="6"/>
      <c r="K5793" s="6"/>
    </row>
    <row r="5794" spans="3:11" x14ac:dyDescent="0.25">
      <c r="C5794" s="6"/>
      <c r="G5794" s="6"/>
      <c r="K5794" s="6"/>
    </row>
    <row r="5795" spans="3:11" x14ac:dyDescent="0.25">
      <c r="C5795" s="6"/>
      <c r="G5795" s="6"/>
      <c r="K5795" s="6"/>
    </row>
    <row r="5796" spans="3:11" x14ac:dyDescent="0.25">
      <c r="C5796" s="6"/>
      <c r="G5796" s="6"/>
      <c r="K5796" s="6"/>
    </row>
    <row r="5797" spans="3:11" x14ac:dyDescent="0.25">
      <c r="C5797" s="6"/>
      <c r="G5797" s="6"/>
      <c r="K5797" s="6"/>
    </row>
    <row r="5798" spans="3:11" x14ac:dyDescent="0.25">
      <c r="C5798" s="6"/>
      <c r="G5798" s="6"/>
      <c r="K5798" s="6"/>
    </row>
    <row r="5799" spans="3:11" x14ac:dyDescent="0.25">
      <c r="C5799" s="6"/>
      <c r="G5799" s="6"/>
      <c r="K5799" s="6"/>
    </row>
    <row r="5800" spans="3:11" x14ac:dyDescent="0.25">
      <c r="C5800" s="6"/>
      <c r="G5800" s="6"/>
      <c r="K5800" s="6"/>
    </row>
    <row r="5801" spans="3:11" x14ac:dyDescent="0.25">
      <c r="C5801" s="6"/>
      <c r="G5801" s="6"/>
      <c r="K5801" s="6"/>
    </row>
    <row r="5802" spans="3:11" x14ac:dyDescent="0.25">
      <c r="C5802" s="6"/>
      <c r="G5802" s="6"/>
      <c r="K5802" s="6"/>
    </row>
    <row r="5803" spans="3:11" x14ac:dyDescent="0.25">
      <c r="C5803" s="6"/>
      <c r="G5803" s="6"/>
      <c r="K5803" s="6"/>
    </row>
    <row r="5804" spans="3:11" x14ac:dyDescent="0.25">
      <c r="C5804" s="6"/>
      <c r="G5804" s="6"/>
      <c r="K5804" s="6"/>
    </row>
    <row r="5805" spans="3:11" x14ac:dyDescent="0.25">
      <c r="C5805" s="6"/>
      <c r="G5805" s="6"/>
      <c r="K5805" s="6"/>
    </row>
    <row r="5806" spans="3:11" x14ac:dyDescent="0.25">
      <c r="C5806" s="6"/>
      <c r="G5806" s="6"/>
      <c r="K5806" s="6"/>
    </row>
    <row r="5807" spans="3:11" x14ac:dyDescent="0.25">
      <c r="C5807" s="6"/>
      <c r="G5807" s="6"/>
      <c r="K5807" s="6"/>
    </row>
    <row r="5808" spans="3:11" x14ac:dyDescent="0.25">
      <c r="C5808" s="6"/>
      <c r="G5808" s="6"/>
      <c r="K5808" s="6"/>
    </row>
    <row r="5809" spans="3:11" x14ac:dyDescent="0.25">
      <c r="C5809" s="6"/>
      <c r="G5809" s="6"/>
      <c r="K5809" s="6"/>
    </row>
    <row r="5810" spans="3:11" x14ac:dyDescent="0.25">
      <c r="C5810" s="6"/>
      <c r="G5810" s="6"/>
      <c r="K5810" s="6"/>
    </row>
    <row r="5811" spans="3:11" x14ac:dyDescent="0.25">
      <c r="C5811" s="6"/>
      <c r="G5811" s="6"/>
      <c r="K5811" s="6"/>
    </row>
    <row r="5812" spans="3:11" x14ac:dyDescent="0.25">
      <c r="C5812" s="6"/>
      <c r="G5812" s="6"/>
      <c r="K5812" s="6"/>
    </row>
    <row r="5813" spans="3:11" x14ac:dyDescent="0.25">
      <c r="C5813" s="6"/>
      <c r="G5813" s="6"/>
      <c r="K5813" s="6"/>
    </row>
    <row r="5814" spans="3:11" x14ac:dyDescent="0.25">
      <c r="C5814" s="6"/>
      <c r="G5814" s="6"/>
      <c r="K5814" s="6"/>
    </row>
    <row r="5815" spans="3:11" x14ac:dyDescent="0.25">
      <c r="C5815" s="6"/>
      <c r="G5815" s="6"/>
      <c r="K5815" s="6"/>
    </row>
    <row r="5816" spans="3:11" x14ac:dyDescent="0.25">
      <c r="C5816" s="6"/>
      <c r="G5816" s="6"/>
      <c r="K5816" s="6"/>
    </row>
    <row r="5817" spans="3:11" x14ac:dyDescent="0.25">
      <c r="C5817" s="6"/>
      <c r="G5817" s="6"/>
      <c r="K5817" s="6"/>
    </row>
    <row r="5818" spans="3:11" x14ac:dyDescent="0.25">
      <c r="C5818" s="6"/>
      <c r="G5818" s="6"/>
      <c r="K5818" s="6"/>
    </row>
    <row r="5819" spans="3:11" x14ac:dyDescent="0.25">
      <c r="C5819" s="6"/>
      <c r="G5819" s="6"/>
      <c r="K5819" s="6"/>
    </row>
    <row r="5820" spans="3:11" x14ac:dyDescent="0.25">
      <c r="C5820" s="6"/>
      <c r="G5820" s="6"/>
      <c r="K5820" s="6"/>
    </row>
    <row r="5821" spans="3:11" x14ac:dyDescent="0.25">
      <c r="C5821" s="6"/>
      <c r="G5821" s="6"/>
      <c r="K5821" s="6"/>
    </row>
    <row r="5822" spans="3:11" x14ac:dyDescent="0.25">
      <c r="C5822" s="6"/>
      <c r="G5822" s="6"/>
      <c r="K5822" s="6"/>
    </row>
    <row r="5823" spans="3:11" x14ac:dyDescent="0.25">
      <c r="C5823" s="6"/>
      <c r="G5823" s="6"/>
      <c r="K5823" s="6"/>
    </row>
    <row r="5824" spans="3:11" x14ac:dyDescent="0.25">
      <c r="C5824" s="6"/>
      <c r="G5824" s="6"/>
      <c r="K5824" s="6"/>
    </row>
    <row r="5825" spans="3:11" x14ac:dyDescent="0.25">
      <c r="C5825" s="6"/>
      <c r="G5825" s="6"/>
      <c r="K5825" s="6"/>
    </row>
    <row r="5826" spans="3:11" x14ac:dyDescent="0.25">
      <c r="C5826" s="6"/>
      <c r="G5826" s="6"/>
      <c r="K5826" s="6"/>
    </row>
    <row r="5827" spans="3:11" x14ac:dyDescent="0.25">
      <c r="C5827" s="6"/>
      <c r="G5827" s="6"/>
      <c r="K5827" s="6"/>
    </row>
    <row r="5828" spans="3:11" x14ac:dyDescent="0.25">
      <c r="C5828" s="6"/>
      <c r="G5828" s="6"/>
      <c r="K5828" s="6"/>
    </row>
    <row r="5829" spans="3:11" x14ac:dyDescent="0.25">
      <c r="C5829" s="6"/>
      <c r="G5829" s="6"/>
      <c r="K5829" s="6"/>
    </row>
    <row r="5830" spans="3:11" x14ac:dyDescent="0.25">
      <c r="C5830" s="6"/>
      <c r="G5830" s="6"/>
      <c r="K5830" s="6"/>
    </row>
    <row r="5831" spans="3:11" x14ac:dyDescent="0.25">
      <c r="C5831" s="6"/>
      <c r="G5831" s="6"/>
      <c r="K5831" s="6"/>
    </row>
    <row r="5832" spans="3:11" x14ac:dyDescent="0.25">
      <c r="C5832" s="6"/>
      <c r="G5832" s="6"/>
      <c r="K5832" s="6"/>
    </row>
    <row r="5833" spans="3:11" x14ac:dyDescent="0.25">
      <c r="C5833" s="6"/>
      <c r="G5833" s="6"/>
      <c r="K5833" s="6"/>
    </row>
    <row r="5834" spans="3:11" x14ac:dyDescent="0.25">
      <c r="C5834" s="6"/>
      <c r="G5834" s="6"/>
      <c r="K5834" s="6"/>
    </row>
    <row r="5835" spans="3:11" x14ac:dyDescent="0.25">
      <c r="C5835" s="6"/>
      <c r="G5835" s="6"/>
      <c r="K5835" s="6"/>
    </row>
    <row r="5836" spans="3:11" x14ac:dyDescent="0.25">
      <c r="C5836" s="6"/>
      <c r="G5836" s="6"/>
      <c r="K5836" s="6"/>
    </row>
    <row r="5837" spans="3:11" x14ac:dyDescent="0.25">
      <c r="C5837" s="6"/>
      <c r="G5837" s="6"/>
      <c r="K5837" s="6"/>
    </row>
    <row r="5838" spans="3:11" x14ac:dyDescent="0.25">
      <c r="C5838" s="6"/>
      <c r="G5838" s="6"/>
      <c r="K5838" s="6"/>
    </row>
    <row r="5839" spans="3:11" x14ac:dyDescent="0.25">
      <c r="C5839" s="6"/>
      <c r="G5839" s="6"/>
      <c r="K5839" s="6"/>
    </row>
    <row r="5840" spans="3:11" x14ac:dyDescent="0.25">
      <c r="C5840" s="6"/>
      <c r="G5840" s="6"/>
      <c r="K5840" s="6"/>
    </row>
    <row r="5841" spans="3:11" x14ac:dyDescent="0.25">
      <c r="C5841" s="6"/>
      <c r="G5841" s="6"/>
      <c r="K5841" s="6"/>
    </row>
    <row r="5842" spans="3:11" x14ac:dyDescent="0.25">
      <c r="C5842" s="6"/>
      <c r="G5842" s="6"/>
      <c r="K5842" s="6"/>
    </row>
    <row r="5843" spans="3:11" x14ac:dyDescent="0.25">
      <c r="C5843" s="6"/>
      <c r="G5843" s="6"/>
      <c r="K5843" s="6"/>
    </row>
    <row r="5844" spans="3:11" x14ac:dyDescent="0.25">
      <c r="C5844" s="6"/>
      <c r="G5844" s="6"/>
      <c r="K5844" s="6"/>
    </row>
    <row r="5845" spans="3:11" x14ac:dyDescent="0.25">
      <c r="C5845" s="6"/>
      <c r="G5845" s="6"/>
      <c r="K5845" s="6"/>
    </row>
    <row r="5846" spans="3:11" x14ac:dyDescent="0.25">
      <c r="C5846" s="6"/>
      <c r="G5846" s="6"/>
      <c r="K5846" s="6"/>
    </row>
    <row r="5847" spans="3:11" x14ac:dyDescent="0.25">
      <c r="C5847" s="6"/>
      <c r="G5847" s="6"/>
      <c r="K5847" s="6"/>
    </row>
    <row r="5848" spans="3:11" x14ac:dyDescent="0.25">
      <c r="C5848" s="6"/>
      <c r="G5848" s="6"/>
      <c r="K5848" s="6"/>
    </row>
    <row r="5849" spans="3:11" x14ac:dyDescent="0.25">
      <c r="C5849" s="6"/>
      <c r="G5849" s="6"/>
      <c r="K5849" s="6"/>
    </row>
    <row r="5850" spans="3:11" x14ac:dyDescent="0.25">
      <c r="C5850" s="6"/>
      <c r="G5850" s="6"/>
      <c r="K5850" s="6"/>
    </row>
    <row r="5851" spans="3:11" x14ac:dyDescent="0.25">
      <c r="C5851" s="6"/>
      <c r="G5851" s="6"/>
      <c r="K5851" s="6"/>
    </row>
    <row r="5852" spans="3:11" x14ac:dyDescent="0.25">
      <c r="C5852" s="6"/>
      <c r="G5852" s="6"/>
      <c r="K5852" s="6"/>
    </row>
    <row r="5853" spans="3:11" x14ac:dyDescent="0.25">
      <c r="C5853" s="6"/>
      <c r="G5853" s="6"/>
      <c r="K5853" s="6"/>
    </row>
    <row r="5854" spans="3:11" x14ac:dyDescent="0.25">
      <c r="C5854" s="6"/>
      <c r="G5854" s="6"/>
      <c r="K5854" s="6"/>
    </row>
    <row r="5855" spans="3:11" x14ac:dyDescent="0.25">
      <c r="C5855" s="6"/>
      <c r="G5855" s="6"/>
      <c r="K5855" s="6"/>
    </row>
    <row r="5856" spans="3:11" x14ac:dyDescent="0.25">
      <c r="C5856" s="6"/>
      <c r="G5856" s="6"/>
      <c r="K5856" s="6"/>
    </row>
    <row r="5857" spans="3:11" x14ac:dyDescent="0.25">
      <c r="C5857" s="6"/>
      <c r="G5857" s="6"/>
      <c r="K5857" s="6"/>
    </row>
    <row r="5858" spans="3:11" x14ac:dyDescent="0.25">
      <c r="C5858" s="6"/>
      <c r="G5858" s="6"/>
      <c r="K5858" s="6"/>
    </row>
    <row r="5859" spans="3:11" x14ac:dyDescent="0.25">
      <c r="C5859" s="6"/>
      <c r="G5859" s="6"/>
      <c r="K5859" s="6"/>
    </row>
    <row r="5860" spans="3:11" x14ac:dyDescent="0.25">
      <c r="C5860" s="6"/>
      <c r="G5860" s="6"/>
      <c r="K5860" s="6"/>
    </row>
    <row r="5861" spans="3:11" x14ac:dyDescent="0.25">
      <c r="C5861" s="6"/>
      <c r="G5861" s="6"/>
      <c r="K5861" s="6"/>
    </row>
    <row r="5862" spans="3:11" x14ac:dyDescent="0.25">
      <c r="C5862" s="6"/>
      <c r="G5862" s="6"/>
      <c r="K5862" s="6"/>
    </row>
    <row r="5863" spans="3:11" x14ac:dyDescent="0.25">
      <c r="C5863" s="6"/>
      <c r="G5863" s="6"/>
      <c r="K5863" s="6"/>
    </row>
    <row r="5864" spans="3:11" x14ac:dyDescent="0.25">
      <c r="C5864" s="6"/>
      <c r="G5864" s="6"/>
      <c r="K5864" s="6"/>
    </row>
    <row r="5865" spans="3:11" x14ac:dyDescent="0.25">
      <c r="C5865" s="6"/>
      <c r="G5865" s="6"/>
      <c r="K5865" s="6"/>
    </row>
    <row r="5866" spans="3:11" x14ac:dyDescent="0.25">
      <c r="C5866" s="6"/>
      <c r="G5866" s="6"/>
      <c r="K5866" s="6"/>
    </row>
    <row r="5867" spans="3:11" x14ac:dyDescent="0.25">
      <c r="C5867" s="6"/>
      <c r="G5867" s="6"/>
      <c r="K5867" s="6"/>
    </row>
    <row r="5868" spans="3:11" x14ac:dyDescent="0.25">
      <c r="C5868" s="6"/>
      <c r="G5868" s="6"/>
      <c r="K5868" s="6"/>
    </row>
    <row r="5869" spans="3:11" x14ac:dyDescent="0.25">
      <c r="C5869" s="6"/>
      <c r="G5869" s="6"/>
      <c r="K5869" s="6"/>
    </row>
    <row r="5870" spans="3:11" x14ac:dyDescent="0.25">
      <c r="C5870" s="6"/>
      <c r="G5870" s="6"/>
      <c r="K5870" s="6"/>
    </row>
    <row r="5871" spans="3:11" x14ac:dyDescent="0.25">
      <c r="C5871" s="6"/>
      <c r="G5871" s="6"/>
      <c r="K5871" s="6"/>
    </row>
    <row r="5872" spans="3:11" x14ac:dyDescent="0.25">
      <c r="C5872" s="6"/>
      <c r="G5872" s="6"/>
      <c r="K5872" s="6"/>
    </row>
    <row r="5873" spans="3:11" x14ac:dyDescent="0.25">
      <c r="C5873" s="6"/>
      <c r="G5873" s="6"/>
      <c r="K5873" s="6"/>
    </row>
    <row r="5874" spans="3:11" x14ac:dyDescent="0.25">
      <c r="C5874" s="6"/>
      <c r="G5874" s="6"/>
      <c r="K5874" s="6"/>
    </row>
    <row r="5875" spans="3:11" x14ac:dyDescent="0.25">
      <c r="C5875" s="6"/>
      <c r="G5875" s="6"/>
      <c r="K5875" s="6"/>
    </row>
    <row r="5876" spans="3:11" x14ac:dyDescent="0.25">
      <c r="C5876" s="6"/>
      <c r="G5876" s="6"/>
      <c r="K5876" s="6"/>
    </row>
    <row r="5877" spans="3:11" x14ac:dyDescent="0.25">
      <c r="C5877" s="6"/>
      <c r="G5877" s="6"/>
      <c r="K5877" s="6"/>
    </row>
    <row r="5878" spans="3:11" x14ac:dyDescent="0.25">
      <c r="C5878" s="6"/>
      <c r="G5878" s="6"/>
      <c r="K5878" s="6"/>
    </row>
    <row r="5879" spans="3:11" x14ac:dyDescent="0.25">
      <c r="C5879" s="6"/>
      <c r="G5879" s="6"/>
      <c r="K5879" s="6"/>
    </row>
    <row r="5880" spans="3:11" x14ac:dyDescent="0.25">
      <c r="C5880" s="6"/>
      <c r="G5880" s="6"/>
      <c r="K5880" s="6"/>
    </row>
    <row r="5881" spans="3:11" x14ac:dyDescent="0.25">
      <c r="C5881" s="6"/>
      <c r="G5881" s="6"/>
      <c r="K5881" s="6"/>
    </row>
    <row r="5882" spans="3:11" x14ac:dyDescent="0.25">
      <c r="C5882" s="6"/>
      <c r="G5882" s="6"/>
      <c r="K5882" s="6"/>
    </row>
    <row r="5883" spans="3:11" x14ac:dyDescent="0.25">
      <c r="C5883" s="6"/>
      <c r="G5883" s="6"/>
      <c r="K5883" s="6"/>
    </row>
    <row r="5884" spans="3:11" x14ac:dyDescent="0.25">
      <c r="C5884" s="6"/>
      <c r="G5884" s="6"/>
      <c r="K5884" s="6"/>
    </row>
    <row r="5885" spans="3:11" x14ac:dyDescent="0.25">
      <c r="C5885" s="6"/>
      <c r="G5885" s="6"/>
      <c r="K5885" s="6"/>
    </row>
    <row r="5886" spans="3:11" x14ac:dyDescent="0.25">
      <c r="C5886" s="6"/>
      <c r="G5886" s="6"/>
      <c r="K5886" s="6"/>
    </row>
    <row r="5887" spans="3:11" x14ac:dyDescent="0.25">
      <c r="C5887" s="6"/>
      <c r="G5887" s="6"/>
      <c r="K5887" s="6"/>
    </row>
    <row r="5888" spans="3:11" x14ac:dyDescent="0.25">
      <c r="C5888" s="6"/>
      <c r="G5888" s="6"/>
      <c r="K5888" s="6"/>
    </row>
    <row r="5889" spans="3:11" x14ac:dyDescent="0.25">
      <c r="C5889" s="6"/>
      <c r="G5889" s="6"/>
      <c r="K5889" s="6"/>
    </row>
    <row r="5890" spans="3:11" x14ac:dyDescent="0.25">
      <c r="C5890" s="6"/>
      <c r="G5890" s="6"/>
      <c r="K5890" s="6"/>
    </row>
    <row r="5891" spans="3:11" x14ac:dyDescent="0.25">
      <c r="C5891" s="6"/>
      <c r="G5891" s="6"/>
      <c r="K5891" s="6"/>
    </row>
    <row r="5892" spans="3:11" x14ac:dyDescent="0.25">
      <c r="C5892" s="6"/>
      <c r="G5892" s="6"/>
      <c r="K5892" s="6"/>
    </row>
    <row r="5893" spans="3:11" x14ac:dyDescent="0.25">
      <c r="C5893" s="6"/>
      <c r="G5893" s="6"/>
      <c r="K5893" s="6"/>
    </row>
    <row r="5894" spans="3:11" x14ac:dyDescent="0.25">
      <c r="C5894" s="6"/>
      <c r="G5894" s="6"/>
      <c r="K5894" s="6"/>
    </row>
    <row r="5895" spans="3:11" x14ac:dyDescent="0.25">
      <c r="C5895" s="6"/>
      <c r="G5895" s="6"/>
      <c r="K5895" s="6"/>
    </row>
    <row r="5896" spans="3:11" x14ac:dyDescent="0.25">
      <c r="C5896" s="6"/>
      <c r="G5896" s="6"/>
      <c r="K5896" s="6"/>
    </row>
    <row r="5897" spans="3:11" x14ac:dyDescent="0.25">
      <c r="C5897" s="6"/>
      <c r="G5897" s="6"/>
      <c r="K5897" s="6"/>
    </row>
    <row r="5898" spans="3:11" x14ac:dyDescent="0.25">
      <c r="C5898" s="6"/>
      <c r="G5898" s="6"/>
      <c r="K5898" s="6"/>
    </row>
    <row r="5899" spans="3:11" x14ac:dyDescent="0.25">
      <c r="C5899" s="6"/>
      <c r="G5899" s="6"/>
      <c r="K5899" s="6"/>
    </row>
    <row r="5900" spans="3:11" x14ac:dyDescent="0.25">
      <c r="C5900" s="6"/>
      <c r="G5900" s="6"/>
      <c r="K5900" s="6"/>
    </row>
    <row r="5901" spans="3:11" x14ac:dyDescent="0.25">
      <c r="C5901" s="6"/>
      <c r="G5901" s="6"/>
      <c r="K5901" s="6"/>
    </row>
    <row r="5902" spans="3:11" x14ac:dyDescent="0.25">
      <c r="C5902" s="6"/>
      <c r="G5902" s="6"/>
      <c r="K5902" s="6"/>
    </row>
    <row r="5903" spans="3:11" x14ac:dyDescent="0.25">
      <c r="C5903" s="6"/>
      <c r="G5903" s="6"/>
      <c r="K5903" s="6"/>
    </row>
    <row r="5904" spans="3:11" x14ac:dyDescent="0.25">
      <c r="C5904" s="6"/>
      <c r="G5904" s="6"/>
      <c r="K5904" s="6"/>
    </row>
    <row r="5905" spans="3:11" x14ac:dyDescent="0.25">
      <c r="C5905" s="6"/>
      <c r="G5905" s="6"/>
      <c r="K5905" s="6"/>
    </row>
    <row r="5906" spans="3:11" x14ac:dyDescent="0.25">
      <c r="C5906" s="6"/>
      <c r="G5906" s="6"/>
      <c r="K5906" s="6"/>
    </row>
    <row r="5907" spans="3:11" x14ac:dyDescent="0.25">
      <c r="C5907" s="6"/>
      <c r="G5907" s="6"/>
      <c r="K5907" s="6"/>
    </row>
    <row r="5908" spans="3:11" x14ac:dyDescent="0.25">
      <c r="C5908" s="6"/>
      <c r="G5908" s="6"/>
      <c r="K5908" s="6"/>
    </row>
    <row r="5909" spans="3:11" x14ac:dyDescent="0.25">
      <c r="C5909" s="6"/>
      <c r="G5909" s="6"/>
      <c r="K5909" s="6"/>
    </row>
    <row r="5910" spans="3:11" x14ac:dyDescent="0.25">
      <c r="C5910" s="6"/>
      <c r="G5910" s="6"/>
      <c r="K5910" s="6"/>
    </row>
    <row r="5911" spans="3:11" x14ac:dyDescent="0.25">
      <c r="C5911" s="6"/>
      <c r="G5911" s="6"/>
      <c r="K5911" s="6"/>
    </row>
    <row r="5912" spans="3:11" x14ac:dyDescent="0.25">
      <c r="C5912" s="6"/>
      <c r="G5912" s="6"/>
      <c r="K5912" s="6"/>
    </row>
    <row r="5913" spans="3:11" x14ac:dyDescent="0.25">
      <c r="C5913" s="6"/>
      <c r="G5913" s="6"/>
      <c r="K5913" s="6"/>
    </row>
    <row r="5914" spans="3:11" x14ac:dyDescent="0.25">
      <c r="C5914" s="6"/>
      <c r="G5914" s="6"/>
      <c r="K5914" s="6"/>
    </row>
    <row r="5915" spans="3:11" x14ac:dyDescent="0.25">
      <c r="C5915" s="6"/>
      <c r="G5915" s="6"/>
      <c r="K5915" s="6"/>
    </row>
    <row r="5916" spans="3:11" x14ac:dyDescent="0.25">
      <c r="C5916" s="6"/>
      <c r="G5916" s="6"/>
      <c r="K5916" s="6"/>
    </row>
    <row r="5917" spans="3:11" x14ac:dyDescent="0.25">
      <c r="C5917" s="6"/>
      <c r="G5917" s="6"/>
      <c r="K5917" s="6"/>
    </row>
    <row r="5918" spans="3:11" x14ac:dyDescent="0.25">
      <c r="C5918" s="6"/>
      <c r="G5918" s="6"/>
      <c r="K5918" s="6"/>
    </row>
    <row r="5919" spans="3:11" x14ac:dyDescent="0.25">
      <c r="C5919" s="6"/>
      <c r="G5919" s="6"/>
      <c r="K5919" s="6"/>
    </row>
    <row r="5920" spans="3:11" x14ac:dyDescent="0.25">
      <c r="C5920" s="6"/>
      <c r="G5920" s="6"/>
      <c r="K5920" s="6"/>
    </row>
    <row r="5921" spans="3:11" x14ac:dyDescent="0.25">
      <c r="C5921" s="6"/>
      <c r="G5921" s="6"/>
      <c r="K5921" s="6"/>
    </row>
    <row r="5922" spans="3:11" x14ac:dyDescent="0.25">
      <c r="C5922" s="6"/>
      <c r="G5922" s="6"/>
      <c r="K5922" s="6"/>
    </row>
    <row r="5923" spans="3:11" x14ac:dyDescent="0.25">
      <c r="C5923" s="6"/>
      <c r="G5923" s="6"/>
      <c r="K5923" s="6"/>
    </row>
    <row r="5924" spans="3:11" x14ac:dyDescent="0.25">
      <c r="C5924" s="6"/>
      <c r="G5924" s="6"/>
      <c r="K5924" s="6"/>
    </row>
    <row r="5925" spans="3:11" x14ac:dyDescent="0.25">
      <c r="C5925" s="6"/>
      <c r="G5925" s="6"/>
      <c r="K5925" s="6"/>
    </row>
    <row r="5926" spans="3:11" x14ac:dyDescent="0.25">
      <c r="C5926" s="6"/>
      <c r="G5926" s="6"/>
      <c r="K5926" s="6"/>
    </row>
    <row r="5927" spans="3:11" x14ac:dyDescent="0.25">
      <c r="C5927" s="6"/>
      <c r="G5927" s="6"/>
      <c r="K5927" s="6"/>
    </row>
    <row r="5928" spans="3:11" x14ac:dyDescent="0.25">
      <c r="C5928" s="6"/>
      <c r="G5928" s="6"/>
      <c r="K5928" s="6"/>
    </row>
    <row r="5929" spans="3:11" x14ac:dyDescent="0.25">
      <c r="C5929" s="6"/>
      <c r="G5929" s="6"/>
      <c r="K5929" s="6"/>
    </row>
    <row r="5930" spans="3:11" x14ac:dyDescent="0.25">
      <c r="C5930" s="6"/>
      <c r="G5930" s="6"/>
      <c r="K5930" s="6"/>
    </row>
    <row r="5931" spans="3:11" x14ac:dyDescent="0.25">
      <c r="C5931" s="6"/>
      <c r="G5931" s="6"/>
      <c r="K5931" s="6"/>
    </row>
    <row r="5932" spans="3:11" x14ac:dyDescent="0.25">
      <c r="C5932" s="6"/>
      <c r="G5932" s="6"/>
      <c r="K5932" s="6"/>
    </row>
    <row r="5933" spans="3:11" x14ac:dyDescent="0.25">
      <c r="C5933" s="6"/>
      <c r="G5933" s="6"/>
      <c r="K5933" s="6"/>
    </row>
    <row r="5934" spans="3:11" x14ac:dyDescent="0.25">
      <c r="C5934" s="6"/>
      <c r="G5934" s="6"/>
      <c r="K5934" s="6"/>
    </row>
    <row r="5935" spans="3:11" x14ac:dyDescent="0.25">
      <c r="C5935" s="6"/>
      <c r="G5935" s="6"/>
      <c r="K5935" s="6"/>
    </row>
    <row r="5936" spans="3:11" x14ac:dyDescent="0.25">
      <c r="C5936" s="6"/>
      <c r="G5936" s="6"/>
      <c r="K5936" s="6"/>
    </row>
    <row r="5937" spans="3:11" x14ac:dyDescent="0.25">
      <c r="C5937" s="6"/>
      <c r="G5937" s="6"/>
      <c r="K5937" s="6"/>
    </row>
    <row r="5938" spans="3:11" x14ac:dyDescent="0.25">
      <c r="C5938" s="6"/>
      <c r="G5938" s="6"/>
      <c r="K5938" s="6"/>
    </row>
    <row r="5939" spans="3:11" x14ac:dyDescent="0.25">
      <c r="C5939" s="6"/>
      <c r="G5939" s="6"/>
      <c r="K5939" s="6"/>
    </row>
    <row r="5940" spans="3:11" x14ac:dyDescent="0.25">
      <c r="C5940" s="6"/>
      <c r="G5940" s="6"/>
      <c r="K5940" s="6"/>
    </row>
    <row r="5941" spans="3:11" x14ac:dyDescent="0.25">
      <c r="C5941" s="6"/>
      <c r="G5941" s="6"/>
      <c r="K5941" s="6"/>
    </row>
    <row r="5942" spans="3:11" x14ac:dyDescent="0.25">
      <c r="C5942" s="6"/>
      <c r="G5942" s="6"/>
      <c r="K5942" s="6"/>
    </row>
    <row r="5943" spans="3:11" x14ac:dyDescent="0.25">
      <c r="C5943" s="6"/>
      <c r="G5943" s="6"/>
      <c r="K5943" s="6"/>
    </row>
    <row r="5944" spans="3:11" x14ac:dyDescent="0.25">
      <c r="C5944" s="6"/>
      <c r="G5944" s="6"/>
      <c r="K5944" s="6"/>
    </row>
    <row r="5945" spans="3:11" x14ac:dyDescent="0.25">
      <c r="C5945" s="6"/>
      <c r="G5945" s="6"/>
      <c r="K5945" s="6"/>
    </row>
    <row r="5946" spans="3:11" x14ac:dyDescent="0.25">
      <c r="C5946" s="6"/>
      <c r="G5946" s="6"/>
      <c r="K5946" s="6"/>
    </row>
    <row r="5947" spans="3:11" x14ac:dyDescent="0.25">
      <c r="C5947" s="6"/>
      <c r="G5947" s="6"/>
      <c r="K5947" s="6"/>
    </row>
    <row r="5948" spans="3:11" x14ac:dyDescent="0.25">
      <c r="C5948" s="6"/>
      <c r="G5948" s="6"/>
      <c r="K5948" s="6"/>
    </row>
    <row r="5949" spans="3:11" x14ac:dyDescent="0.25">
      <c r="C5949" s="6"/>
      <c r="G5949" s="6"/>
      <c r="K5949" s="6"/>
    </row>
    <row r="5950" spans="3:11" x14ac:dyDescent="0.25">
      <c r="C5950" s="6"/>
      <c r="G5950" s="6"/>
      <c r="K5950" s="6"/>
    </row>
    <row r="5951" spans="3:11" x14ac:dyDescent="0.25">
      <c r="C5951" s="6"/>
      <c r="G5951" s="6"/>
      <c r="K5951" s="6"/>
    </row>
    <row r="5952" spans="3:11" x14ac:dyDescent="0.25">
      <c r="C5952" s="6"/>
      <c r="G5952" s="6"/>
      <c r="K5952" s="6"/>
    </row>
    <row r="5953" spans="3:11" x14ac:dyDescent="0.25">
      <c r="C5953" s="6"/>
      <c r="G5953" s="6"/>
      <c r="K5953" s="6"/>
    </row>
    <row r="5954" spans="3:11" x14ac:dyDescent="0.25">
      <c r="C5954" s="6"/>
      <c r="G5954" s="6"/>
      <c r="K5954" s="6"/>
    </row>
    <row r="5955" spans="3:11" x14ac:dyDescent="0.25">
      <c r="C5955" s="6"/>
      <c r="G5955" s="6"/>
      <c r="K5955" s="6"/>
    </row>
    <row r="5956" spans="3:11" x14ac:dyDescent="0.25">
      <c r="C5956" s="6"/>
      <c r="G5956" s="6"/>
      <c r="K5956" s="6"/>
    </row>
    <row r="5957" spans="3:11" x14ac:dyDescent="0.25">
      <c r="C5957" s="6"/>
      <c r="G5957" s="6"/>
      <c r="K5957" s="6"/>
    </row>
    <row r="5958" spans="3:11" x14ac:dyDescent="0.25">
      <c r="C5958" s="6"/>
      <c r="G5958" s="6"/>
      <c r="K5958" s="6"/>
    </row>
    <row r="5959" spans="3:11" x14ac:dyDescent="0.25">
      <c r="C5959" s="6"/>
      <c r="G5959" s="6"/>
      <c r="K5959" s="6"/>
    </row>
    <row r="5960" spans="3:11" x14ac:dyDescent="0.25">
      <c r="C5960" s="6"/>
      <c r="G5960" s="6"/>
      <c r="K5960" s="6"/>
    </row>
    <row r="5961" spans="3:11" x14ac:dyDescent="0.25">
      <c r="C5961" s="6"/>
      <c r="G5961" s="6"/>
      <c r="K5961" s="6"/>
    </row>
    <row r="5962" spans="3:11" x14ac:dyDescent="0.25">
      <c r="C5962" s="6"/>
      <c r="G5962" s="6"/>
      <c r="K5962" s="6"/>
    </row>
    <row r="5963" spans="3:11" x14ac:dyDescent="0.25">
      <c r="C5963" s="6"/>
      <c r="G5963" s="6"/>
      <c r="K5963" s="6"/>
    </row>
    <row r="5964" spans="3:11" x14ac:dyDescent="0.25">
      <c r="C5964" s="6"/>
      <c r="G5964" s="6"/>
      <c r="K5964" s="6"/>
    </row>
    <row r="5965" spans="3:11" x14ac:dyDescent="0.25">
      <c r="C5965" s="6"/>
      <c r="G5965" s="6"/>
      <c r="K5965" s="6"/>
    </row>
    <row r="5966" spans="3:11" x14ac:dyDescent="0.25">
      <c r="C5966" s="6"/>
      <c r="G5966" s="6"/>
      <c r="K5966" s="6"/>
    </row>
    <row r="5967" spans="3:11" x14ac:dyDescent="0.25">
      <c r="C5967" s="6"/>
      <c r="G5967" s="6"/>
      <c r="K5967" s="6"/>
    </row>
    <row r="5968" spans="3:11" x14ac:dyDescent="0.25">
      <c r="C5968" s="6"/>
      <c r="G5968" s="6"/>
      <c r="K5968" s="6"/>
    </row>
    <row r="5969" spans="3:11" x14ac:dyDescent="0.25">
      <c r="C5969" s="6"/>
      <c r="G5969" s="6"/>
      <c r="K5969" s="6"/>
    </row>
    <row r="5970" spans="3:11" x14ac:dyDescent="0.25">
      <c r="C5970" s="6"/>
      <c r="G5970" s="6"/>
      <c r="K5970" s="6"/>
    </row>
    <row r="5971" spans="3:11" x14ac:dyDescent="0.25">
      <c r="C5971" s="6"/>
      <c r="G5971" s="6"/>
      <c r="K5971" s="6"/>
    </row>
    <row r="5972" spans="3:11" x14ac:dyDescent="0.25">
      <c r="C5972" s="6"/>
      <c r="G5972" s="6"/>
      <c r="K5972" s="6"/>
    </row>
    <row r="5973" spans="3:11" x14ac:dyDescent="0.25">
      <c r="C5973" s="6"/>
      <c r="G5973" s="6"/>
      <c r="K5973" s="6"/>
    </row>
    <row r="5974" spans="3:11" x14ac:dyDescent="0.25">
      <c r="C5974" s="6"/>
      <c r="G5974" s="6"/>
      <c r="K5974" s="6"/>
    </row>
    <row r="5975" spans="3:11" x14ac:dyDescent="0.25">
      <c r="C5975" s="6"/>
      <c r="G5975" s="6"/>
      <c r="K5975" s="6"/>
    </row>
    <row r="5976" spans="3:11" x14ac:dyDescent="0.25">
      <c r="C5976" s="6"/>
      <c r="G5976" s="6"/>
      <c r="K5976" s="6"/>
    </row>
    <row r="5977" spans="3:11" x14ac:dyDescent="0.25">
      <c r="C5977" s="6"/>
      <c r="G5977" s="6"/>
      <c r="K5977" s="6"/>
    </row>
    <row r="5978" spans="3:11" x14ac:dyDescent="0.25">
      <c r="C5978" s="6"/>
      <c r="G5978" s="6"/>
      <c r="K5978" s="6"/>
    </row>
    <row r="5979" spans="3:11" x14ac:dyDescent="0.25">
      <c r="C5979" s="6"/>
      <c r="G5979" s="6"/>
      <c r="K5979" s="6"/>
    </row>
    <row r="5980" spans="3:11" x14ac:dyDescent="0.25">
      <c r="C5980" s="6"/>
      <c r="G5980" s="6"/>
      <c r="K5980" s="6"/>
    </row>
    <row r="5981" spans="3:11" x14ac:dyDescent="0.25">
      <c r="C5981" s="6"/>
      <c r="G5981" s="6"/>
      <c r="K5981" s="6"/>
    </row>
    <row r="5982" spans="3:11" x14ac:dyDescent="0.25">
      <c r="C5982" s="6"/>
      <c r="G5982" s="6"/>
      <c r="K5982" s="6"/>
    </row>
    <row r="5983" spans="3:11" x14ac:dyDescent="0.25">
      <c r="C5983" s="6"/>
      <c r="G5983" s="6"/>
      <c r="K5983" s="6"/>
    </row>
    <row r="5984" spans="3:11" x14ac:dyDescent="0.25">
      <c r="C5984" s="6"/>
      <c r="G5984" s="6"/>
      <c r="K5984" s="6"/>
    </row>
    <row r="5985" spans="3:11" x14ac:dyDescent="0.25">
      <c r="C5985" s="6"/>
      <c r="G5985" s="6"/>
      <c r="K5985" s="6"/>
    </row>
    <row r="5986" spans="3:11" x14ac:dyDescent="0.25">
      <c r="C5986" s="6"/>
      <c r="G5986" s="6"/>
      <c r="K5986" s="6"/>
    </row>
    <row r="5987" spans="3:11" x14ac:dyDescent="0.25">
      <c r="C5987" s="6"/>
      <c r="G5987" s="6"/>
      <c r="K5987" s="6"/>
    </row>
    <row r="5988" spans="3:11" x14ac:dyDescent="0.25">
      <c r="C5988" s="6"/>
      <c r="G5988" s="6"/>
      <c r="K5988" s="6"/>
    </row>
    <row r="5989" spans="3:11" x14ac:dyDescent="0.25">
      <c r="C5989" s="6"/>
      <c r="G5989" s="6"/>
      <c r="K5989" s="6"/>
    </row>
    <row r="5990" spans="3:11" x14ac:dyDescent="0.25">
      <c r="C5990" s="6"/>
      <c r="G5990" s="6"/>
      <c r="K5990" s="6"/>
    </row>
    <row r="5991" spans="3:11" x14ac:dyDescent="0.25">
      <c r="C5991" s="6"/>
      <c r="G5991" s="6"/>
      <c r="K5991" s="6"/>
    </row>
    <row r="5992" spans="3:11" x14ac:dyDescent="0.25">
      <c r="C5992" s="6"/>
      <c r="G5992" s="6"/>
      <c r="K5992" s="6"/>
    </row>
    <row r="5993" spans="3:11" x14ac:dyDescent="0.25">
      <c r="C5993" s="6"/>
      <c r="G5993" s="6"/>
      <c r="K5993" s="6"/>
    </row>
    <row r="5994" spans="3:11" x14ac:dyDescent="0.25">
      <c r="C5994" s="6"/>
      <c r="G5994" s="6"/>
      <c r="K5994" s="6"/>
    </row>
    <row r="5995" spans="3:11" x14ac:dyDescent="0.25">
      <c r="C5995" s="6"/>
      <c r="G5995" s="6"/>
      <c r="K5995" s="6"/>
    </row>
    <row r="5996" spans="3:11" x14ac:dyDescent="0.25">
      <c r="C5996" s="6"/>
      <c r="G5996" s="6"/>
      <c r="K5996" s="6"/>
    </row>
    <row r="5997" spans="3:11" x14ac:dyDescent="0.25">
      <c r="C5997" s="6"/>
      <c r="G5997" s="6"/>
      <c r="K5997" s="6"/>
    </row>
    <row r="5998" spans="3:11" x14ac:dyDescent="0.25">
      <c r="C5998" s="6"/>
      <c r="G5998" s="6"/>
      <c r="K5998" s="6"/>
    </row>
    <row r="5999" spans="3:11" x14ac:dyDescent="0.25">
      <c r="C5999" s="6"/>
      <c r="G5999" s="6"/>
      <c r="K5999" s="6"/>
    </row>
    <row r="6000" spans="3:11" x14ac:dyDescent="0.25">
      <c r="C6000" s="6"/>
      <c r="G6000" s="6"/>
      <c r="K6000" s="6"/>
    </row>
    <row r="6001" spans="3:11" x14ac:dyDescent="0.25">
      <c r="C6001" s="6"/>
      <c r="G6001" s="6"/>
      <c r="K6001" s="6"/>
    </row>
    <row r="6002" spans="3:11" x14ac:dyDescent="0.25">
      <c r="C6002" s="6"/>
      <c r="G6002" s="6"/>
      <c r="K6002" s="6"/>
    </row>
    <row r="6003" spans="3:11" x14ac:dyDescent="0.25">
      <c r="C6003" s="6"/>
      <c r="G6003" s="6"/>
      <c r="K6003" s="6"/>
    </row>
    <row r="6004" spans="3:11" x14ac:dyDescent="0.25">
      <c r="C6004" s="6"/>
      <c r="G6004" s="6"/>
      <c r="K6004" s="6"/>
    </row>
    <row r="6005" spans="3:11" x14ac:dyDescent="0.25">
      <c r="C6005" s="6"/>
      <c r="G6005" s="6"/>
      <c r="K6005" s="6"/>
    </row>
    <row r="6006" spans="3:11" x14ac:dyDescent="0.25">
      <c r="C6006" s="6"/>
      <c r="G6006" s="6"/>
      <c r="K6006" s="6"/>
    </row>
    <row r="6007" spans="3:11" x14ac:dyDescent="0.25">
      <c r="C6007" s="6"/>
      <c r="G6007" s="6"/>
      <c r="K6007" s="6"/>
    </row>
    <row r="6008" spans="3:11" x14ac:dyDescent="0.25">
      <c r="C6008" s="6"/>
      <c r="G6008" s="6"/>
      <c r="K6008" s="6"/>
    </row>
    <row r="6009" spans="3:11" x14ac:dyDescent="0.25">
      <c r="C6009" s="6"/>
      <c r="G6009" s="6"/>
      <c r="K6009" s="6"/>
    </row>
    <row r="6010" spans="3:11" x14ac:dyDescent="0.25">
      <c r="C6010" s="6"/>
      <c r="G6010" s="6"/>
      <c r="K6010" s="6"/>
    </row>
    <row r="6011" spans="3:11" x14ac:dyDescent="0.25">
      <c r="C6011" s="6"/>
      <c r="G6011" s="6"/>
      <c r="K6011" s="6"/>
    </row>
    <row r="6012" spans="3:11" x14ac:dyDescent="0.25">
      <c r="C6012" s="6"/>
      <c r="G6012" s="6"/>
      <c r="K6012" s="6"/>
    </row>
    <row r="6013" spans="3:11" x14ac:dyDescent="0.25">
      <c r="C6013" s="6"/>
      <c r="G6013" s="6"/>
      <c r="K6013" s="6"/>
    </row>
    <row r="6014" spans="3:11" x14ac:dyDescent="0.25">
      <c r="C6014" s="6"/>
      <c r="G6014" s="6"/>
      <c r="K6014" s="6"/>
    </row>
    <row r="6015" spans="3:11" x14ac:dyDescent="0.25">
      <c r="C6015" s="6"/>
      <c r="G6015" s="6"/>
      <c r="K6015" s="6"/>
    </row>
    <row r="6016" spans="3:11" x14ac:dyDescent="0.25">
      <c r="C6016" s="6"/>
      <c r="G6016" s="6"/>
      <c r="K6016" s="6"/>
    </row>
    <row r="6017" spans="3:11" x14ac:dyDescent="0.25">
      <c r="C6017" s="6"/>
      <c r="G6017" s="6"/>
      <c r="K6017" s="6"/>
    </row>
    <row r="6018" spans="3:11" x14ac:dyDescent="0.25">
      <c r="C6018" s="6"/>
      <c r="G6018" s="6"/>
      <c r="K6018" s="6"/>
    </row>
    <row r="6019" spans="3:11" x14ac:dyDescent="0.25">
      <c r="C6019" s="6"/>
      <c r="G6019" s="6"/>
      <c r="K6019" s="6"/>
    </row>
    <row r="6020" spans="3:11" x14ac:dyDescent="0.25">
      <c r="C6020" s="6"/>
      <c r="G6020" s="6"/>
      <c r="K6020" s="6"/>
    </row>
    <row r="6021" spans="3:11" x14ac:dyDescent="0.25">
      <c r="C6021" s="6"/>
      <c r="G6021" s="6"/>
      <c r="K6021" s="6"/>
    </row>
    <row r="6022" spans="3:11" x14ac:dyDescent="0.25">
      <c r="C6022" s="6"/>
      <c r="G6022" s="6"/>
      <c r="K6022" s="6"/>
    </row>
    <row r="6023" spans="3:11" x14ac:dyDescent="0.25">
      <c r="C6023" s="6"/>
      <c r="G6023" s="6"/>
      <c r="K6023" s="6"/>
    </row>
    <row r="6024" spans="3:11" x14ac:dyDescent="0.25">
      <c r="C6024" s="6"/>
      <c r="G6024" s="6"/>
      <c r="K6024" s="6"/>
    </row>
    <row r="6025" spans="3:11" x14ac:dyDescent="0.25">
      <c r="C6025" s="6"/>
      <c r="G6025" s="6"/>
      <c r="K6025" s="6"/>
    </row>
    <row r="6026" spans="3:11" x14ac:dyDescent="0.25">
      <c r="C6026" s="6"/>
      <c r="G6026" s="6"/>
      <c r="K6026" s="6"/>
    </row>
    <row r="6027" spans="3:11" x14ac:dyDescent="0.25">
      <c r="C6027" s="6"/>
      <c r="G6027" s="6"/>
      <c r="K6027" s="6"/>
    </row>
    <row r="6028" spans="3:11" x14ac:dyDescent="0.25">
      <c r="C6028" s="6"/>
      <c r="G6028" s="6"/>
      <c r="K6028" s="6"/>
    </row>
    <row r="6029" spans="3:11" x14ac:dyDescent="0.25">
      <c r="C6029" s="6"/>
      <c r="G6029" s="6"/>
      <c r="K6029" s="6"/>
    </row>
    <row r="6030" spans="3:11" x14ac:dyDescent="0.25">
      <c r="C6030" s="6"/>
      <c r="G6030" s="6"/>
      <c r="K6030" s="6"/>
    </row>
    <row r="6031" spans="3:11" x14ac:dyDescent="0.25">
      <c r="C6031" s="6"/>
      <c r="G6031" s="6"/>
      <c r="K6031" s="6"/>
    </row>
    <row r="6032" spans="3:11" x14ac:dyDescent="0.25">
      <c r="C6032" s="6"/>
      <c r="G6032" s="6"/>
      <c r="K6032" s="6"/>
    </row>
    <row r="6033" spans="3:11" x14ac:dyDescent="0.25">
      <c r="C6033" s="6"/>
      <c r="G6033" s="6"/>
      <c r="K6033" s="6"/>
    </row>
    <row r="6034" spans="3:11" x14ac:dyDescent="0.25">
      <c r="C6034" s="6"/>
      <c r="G6034" s="6"/>
      <c r="K6034" s="6"/>
    </row>
    <row r="6035" spans="3:11" x14ac:dyDescent="0.25">
      <c r="C6035" s="6"/>
      <c r="G6035" s="6"/>
      <c r="K6035" s="6"/>
    </row>
    <row r="6036" spans="3:11" x14ac:dyDescent="0.25">
      <c r="C6036" s="6"/>
      <c r="G6036" s="6"/>
      <c r="K6036" s="6"/>
    </row>
    <row r="6037" spans="3:11" x14ac:dyDescent="0.25">
      <c r="C6037" s="6"/>
      <c r="G6037" s="6"/>
      <c r="K6037" s="6"/>
    </row>
    <row r="6038" spans="3:11" x14ac:dyDescent="0.25">
      <c r="C6038" s="6"/>
      <c r="G6038" s="6"/>
      <c r="K6038" s="6"/>
    </row>
    <row r="6039" spans="3:11" x14ac:dyDescent="0.25">
      <c r="C6039" s="6"/>
      <c r="G6039" s="6"/>
      <c r="K6039" s="6"/>
    </row>
    <row r="6040" spans="3:11" x14ac:dyDescent="0.25">
      <c r="C6040" s="6"/>
      <c r="G6040" s="6"/>
      <c r="K6040" s="6"/>
    </row>
    <row r="6041" spans="3:11" x14ac:dyDescent="0.25">
      <c r="C6041" s="6"/>
      <c r="G6041" s="6"/>
      <c r="K6041" s="6"/>
    </row>
    <row r="6042" spans="3:11" x14ac:dyDescent="0.25">
      <c r="C6042" s="6"/>
      <c r="G6042" s="6"/>
      <c r="K6042" s="6"/>
    </row>
    <row r="6043" spans="3:11" x14ac:dyDescent="0.25">
      <c r="C6043" s="6"/>
      <c r="G6043" s="6"/>
      <c r="K6043" s="6"/>
    </row>
    <row r="6044" spans="3:11" x14ac:dyDescent="0.25">
      <c r="C6044" s="6"/>
      <c r="G6044" s="6"/>
      <c r="K6044" s="6"/>
    </row>
    <row r="6045" spans="3:11" x14ac:dyDescent="0.25">
      <c r="C6045" s="6"/>
      <c r="G6045" s="6"/>
      <c r="K6045" s="6"/>
    </row>
    <row r="6046" spans="3:11" x14ac:dyDescent="0.25">
      <c r="C6046" s="6"/>
      <c r="G6046" s="6"/>
      <c r="K6046" s="6"/>
    </row>
    <row r="6047" spans="3:11" x14ac:dyDescent="0.25">
      <c r="C6047" s="6"/>
      <c r="G6047" s="6"/>
      <c r="K6047" s="6"/>
    </row>
    <row r="6048" spans="3:11" x14ac:dyDescent="0.25">
      <c r="C6048" s="6"/>
      <c r="G6048" s="6"/>
      <c r="K6048" s="6"/>
    </row>
    <row r="6049" spans="3:11" x14ac:dyDescent="0.25">
      <c r="C6049" s="6"/>
      <c r="G6049" s="6"/>
      <c r="K6049" s="6"/>
    </row>
    <row r="6050" spans="3:11" x14ac:dyDescent="0.25">
      <c r="C6050" s="6"/>
      <c r="G6050" s="6"/>
      <c r="K6050" s="6"/>
    </row>
    <row r="6051" spans="3:11" x14ac:dyDescent="0.25">
      <c r="C6051" s="6"/>
      <c r="G6051" s="6"/>
      <c r="K6051" s="6"/>
    </row>
    <row r="6052" spans="3:11" x14ac:dyDescent="0.25">
      <c r="C6052" s="6"/>
      <c r="G6052" s="6"/>
      <c r="K6052" s="6"/>
    </row>
    <row r="6053" spans="3:11" x14ac:dyDescent="0.25">
      <c r="C6053" s="6"/>
      <c r="G6053" s="6"/>
      <c r="K6053" s="6"/>
    </row>
    <row r="6054" spans="3:11" x14ac:dyDescent="0.25">
      <c r="C6054" s="6"/>
      <c r="G6054" s="6"/>
      <c r="K6054" s="6"/>
    </row>
    <row r="6055" spans="3:11" x14ac:dyDescent="0.25">
      <c r="C6055" s="6"/>
      <c r="G6055" s="6"/>
      <c r="K6055" s="6"/>
    </row>
    <row r="6056" spans="3:11" x14ac:dyDescent="0.25">
      <c r="C6056" s="6"/>
      <c r="G6056" s="6"/>
      <c r="K6056" s="6"/>
    </row>
    <row r="6057" spans="3:11" x14ac:dyDescent="0.25">
      <c r="C6057" s="6"/>
      <c r="G6057" s="6"/>
      <c r="K6057" s="6"/>
    </row>
    <row r="6058" spans="3:11" x14ac:dyDescent="0.25">
      <c r="C6058" s="6"/>
      <c r="G6058" s="6"/>
      <c r="K6058" s="6"/>
    </row>
    <row r="6059" spans="3:11" x14ac:dyDescent="0.25">
      <c r="C6059" s="6"/>
      <c r="G6059" s="6"/>
      <c r="K6059" s="6"/>
    </row>
    <row r="6060" spans="3:11" x14ac:dyDescent="0.25">
      <c r="C6060" s="6"/>
      <c r="G6060" s="6"/>
      <c r="K6060" s="6"/>
    </row>
    <row r="6061" spans="3:11" x14ac:dyDescent="0.25">
      <c r="C6061" s="6"/>
      <c r="G6061" s="6"/>
      <c r="K6061" s="6"/>
    </row>
    <row r="6062" spans="3:11" x14ac:dyDescent="0.25">
      <c r="C6062" s="6"/>
      <c r="G6062" s="6"/>
      <c r="K6062" s="6"/>
    </row>
    <row r="6063" spans="3:11" x14ac:dyDescent="0.25">
      <c r="C6063" s="6"/>
      <c r="G6063" s="6"/>
      <c r="K6063" s="6"/>
    </row>
    <row r="6064" spans="3:11" x14ac:dyDescent="0.25">
      <c r="C6064" s="6"/>
      <c r="G6064" s="6"/>
      <c r="K6064" s="6"/>
    </row>
    <row r="6065" spans="3:11" x14ac:dyDescent="0.25">
      <c r="C6065" s="6"/>
      <c r="G6065" s="6"/>
      <c r="K6065" s="6"/>
    </row>
    <row r="6066" spans="3:11" x14ac:dyDescent="0.25">
      <c r="C6066" s="6"/>
      <c r="G6066" s="6"/>
      <c r="K6066" s="6"/>
    </row>
    <row r="6067" spans="3:11" x14ac:dyDescent="0.25">
      <c r="C6067" s="6"/>
      <c r="G6067" s="6"/>
      <c r="K6067" s="6"/>
    </row>
    <row r="6068" spans="3:11" x14ac:dyDescent="0.25">
      <c r="C6068" s="6"/>
      <c r="G6068" s="6"/>
      <c r="K6068" s="6"/>
    </row>
    <row r="6069" spans="3:11" x14ac:dyDescent="0.25">
      <c r="C6069" s="6"/>
      <c r="G6069" s="6"/>
      <c r="K6069" s="6"/>
    </row>
    <row r="6070" spans="3:11" x14ac:dyDescent="0.25">
      <c r="C6070" s="6"/>
      <c r="G6070" s="6"/>
      <c r="K6070" s="6"/>
    </row>
    <row r="6071" spans="3:11" x14ac:dyDescent="0.25">
      <c r="C6071" s="6"/>
      <c r="G6071" s="6"/>
      <c r="K6071" s="6"/>
    </row>
    <row r="6072" spans="3:11" x14ac:dyDescent="0.25">
      <c r="C6072" s="6"/>
      <c r="G6072" s="6"/>
      <c r="K6072" s="6"/>
    </row>
    <row r="6073" spans="3:11" x14ac:dyDescent="0.25">
      <c r="C6073" s="6"/>
      <c r="G6073" s="6"/>
      <c r="K6073" s="6"/>
    </row>
    <row r="6074" spans="3:11" x14ac:dyDescent="0.25">
      <c r="C6074" s="6"/>
      <c r="G6074" s="6"/>
      <c r="K6074" s="6"/>
    </row>
    <row r="6075" spans="3:11" x14ac:dyDescent="0.25">
      <c r="C6075" s="6"/>
      <c r="G6075" s="6"/>
      <c r="K6075" s="6"/>
    </row>
    <row r="6076" spans="3:11" x14ac:dyDescent="0.25">
      <c r="C6076" s="6"/>
      <c r="G6076" s="6"/>
      <c r="K6076" s="6"/>
    </row>
    <row r="6077" spans="3:11" x14ac:dyDescent="0.25">
      <c r="C6077" s="6"/>
      <c r="G6077" s="6"/>
      <c r="K6077" s="6"/>
    </row>
    <row r="6078" spans="3:11" x14ac:dyDescent="0.25">
      <c r="C6078" s="6"/>
      <c r="G6078" s="6"/>
      <c r="K6078" s="6"/>
    </row>
    <row r="6079" spans="3:11" x14ac:dyDescent="0.25">
      <c r="C6079" s="6"/>
      <c r="G6079" s="6"/>
      <c r="K6079" s="6"/>
    </row>
    <row r="6080" spans="3:11" x14ac:dyDescent="0.25">
      <c r="C6080" s="6"/>
      <c r="G6080" s="6"/>
      <c r="K6080" s="6"/>
    </row>
    <row r="6081" spans="3:11" x14ac:dyDescent="0.25">
      <c r="C6081" s="6"/>
      <c r="G6081" s="6"/>
      <c r="K6081" s="6"/>
    </row>
    <row r="6082" spans="3:11" x14ac:dyDescent="0.25">
      <c r="C6082" s="6"/>
      <c r="G6082" s="6"/>
      <c r="K6082" s="6"/>
    </row>
    <row r="6083" spans="3:11" x14ac:dyDescent="0.25">
      <c r="C6083" s="6"/>
      <c r="G6083" s="6"/>
      <c r="K6083" s="6"/>
    </row>
    <row r="6084" spans="3:11" x14ac:dyDescent="0.25">
      <c r="C6084" s="6"/>
      <c r="G6084" s="6"/>
      <c r="K6084" s="6"/>
    </row>
    <row r="6085" spans="3:11" x14ac:dyDescent="0.25">
      <c r="C6085" s="6"/>
      <c r="G6085" s="6"/>
      <c r="K6085" s="6"/>
    </row>
    <row r="6086" spans="3:11" x14ac:dyDescent="0.25">
      <c r="C6086" s="6"/>
      <c r="G6086" s="6"/>
      <c r="K6086" s="6"/>
    </row>
    <row r="6087" spans="3:11" x14ac:dyDescent="0.25">
      <c r="C6087" s="6"/>
      <c r="G6087" s="6"/>
      <c r="K6087" s="6"/>
    </row>
    <row r="6088" spans="3:11" x14ac:dyDescent="0.25">
      <c r="C6088" s="6"/>
      <c r="G6088" s="6"/>
      <c r="K6088" s="6"/>
    </row>
    <row r="6089" spans="3:11" x14ac:dyDescent="0.25">
      <c r="C6089" s="6"/>
      <c r="G6089" s="6"/>
      <c r="K6089" s="6"/>
    </row>
    <row r="6090" spans="3:11" x14ac:dyDescent="0.25">
      <c r="C6090" s="6"/>
      <c r="G6090" s="6"/>
      <c r="K6090" s="6"/>
    </row>
    <row r="6091" spans="3:11" x14ac:dyDescent="0.25">
      <c r="C6091" s="6"/>
      <c r="G6091" s="6"/>
      <c r="K6091" s="6"/>
    </row>
    <row r="6092" spans="3:11" x14ac:dyDescent="0.25">
      <c r="C6092" s="6"/>
      <c r="G6092" s="6"/>
      <c r="K6092" s="6"/>
    </row>
    <row r="6093" spans="3:11" x14ac:dyDescent="0.25">
      <c r="C6093" s="6"/>
      <c r="G6093" s="6"/>
      <c r="K6093" s="6"/>
    </row>
    <row r="6094" spans="3:11" x14ac:dyDescent="0.25">
      <c r="C6094" s="6"/>
      <c r="G6094" s="6"/>
      <c r="K6094" s="6"/>
    </row>
    <row r="6095" spans="3:11" x14ac:dyDescent="0.25">
      <c r="C6095" s="6"/>
      <c r="G6095" s="6"/>
      <c r="K6095" s="6"/>
    </row>
    <row r="6096" spans="3:11" x14ac:dyDescent="0.25">
      <c r="C6096" s="6"/>
      <c r="G6096" s="6"/>
      <c r="K6096" s="6"/>
    </row>
    <row r="6097" spans="3:11" x14ac:dyDescent="0.25">
      <c r="C6097" s="6"/>
      <c r="G6097" s="6"/>
      <c r="K6097" s="6"/>
    </row>
    <row r="6098" spans="3:11" x14ac:dyDescent="0.25">
      <c r="C6098" s="6"/>
      <c r="G6098" s="6"/>
      <c r="K6098" s="6"/>
    </row>
    <row r="6099" spans="3:11" x14ac:dyDescent="0.25">
      <c r="C6099" s="6"/>
      <c r="G6099" s="6"/>
      <c r="K6099" s="6"/>
    </row>
    <row r="6100" spans="3:11" x14ac:dyDescent="0.25">
      <c r="C6100" s="6"/>
      <c r="G6100" s="6"/>
      <c r="K6100" s="6"/>
    </row>
    <row r="6101" spans="3:11" x14ac:dyDescent="0.25">
      <c r="C6101" s="6"/>
      <c r="G6101" s="6"/>
      <c r="K6101" s="6"/>
    </row>
    <row r="6102" spans="3:11" x14ac:dyDescent="0.25">
      <c r="C6102" s="6"/>
      <c r="G6102" s="6"/>
      <c r="K6102" s="6"/>
    </row>
    <row r="6103" spans="3:11" x14ac:dyDescent="0.25">
      <c r="C6103" s="6"/>
      <c r="G6103" s="6"/>
      <c r="K6103" s="6"/>
    </row>
    <row r="6104" spans="3:11" x14ac:dyDescent="0.25">
      <c r="C6104" s="6"/>
      <c r="G6104" s="6"/>
      <c r="K6104" s="6"/>
    </row>
    <row r="6105" spans="3:11" x14ac:dyDescent="0.25">
      <c r="C6105" s="6"/>
      <c r="G6105" s="6"/>
      <c r="K6105" s="6"/>
    </row>
    <row r="6106" spans="3:11" x14ac:dyDescent="0.25">
      <c r="C6106" s="6"/>
      <c r="G6106" s="6"/>
      <c r="K6106" s="6"/>
    </row>
    <row r="6107" spans="3:11" x14ac:dyDescent="0.25">
      <c r="C6107" s="6"/>
      <c r="G6107" s="6"/>
      <c r="K6107" s="6"/>
    </row>
    <row r="6108" spans="3:11" x14ac:dyDescent="0.25">
      <c r="C6108" s="6"/>
      <c r="G6108" s="6"/>
      <c r="K6108" s="6"/>
    </row>
    <row r="6109" spans="3:11" x14ac:dyDescent="0.25">
      <c r="C6109" s="6"/>
      <c r="G6109" s="6"/>
      <c r="K6109" s="6"/>
    </row>
    <row r="6110" spans="3:11" x14ac:dyDescent="0.25">
      <c r="C6110" s="6"/>
      <c r="G6110" s="6"/>
      <c r="K6110" s="6"/>
    </row>
    <row r="6111" spans="3:11" x14ac:dyDescent="0.25">
      <c r="C6111" s="6"/>
      <c r="G6111" s="6"/>
      <c r="K6111" s="6"/>
    </row>
    <row r="6112" spans="3:11" x14ac:dyDescent="0.25">
      <c r="C6112" s="6"/>
      <c r="G6112" s="6"/>
      <c r="K6112" s="6"/>
    </row>
    <row r="6113" spans="3:11" x14ac:dyDescent="0.25">
      <c r="C6113" s="6"/>
      <c r="G6113" s="6"/>
      <c r="K6113" s="6"/>
    </row>
    <row r="6114" spans="3:11" x14ac:dyDescent="0.25">
      <c r="C6114" s="6"/>
      <c r="G6114" s="6"/>
      <c r="K6114" s="6"/>
    </row>
    <row r="6115" spans="3:11" x14ac:dyDescent="0.25">
      <c r="C6115" s="6"/>
      <c r="G6115" s="6"/>
      <c r="K6115" s="6"/>
    </row>
    <row r="6116" spans="3:11" x14ac:dyDescent="0.25">
      <c r="C6116" s="6"/>
      <c r="G6116" s="6"/>
      <c r="K6116" s="6"/>
    </row>
    <row r="6117" spans="3:11" x14ac:dyDescent="0.25">
      <c r="C6117" s="6"/>
      <c r="G6117" s="6"/>
      <c r="K6117" s="6"/>
    </row>
    <row r="6118" spans="3:11" x14ac:dyDescent="0.25">
      <c r="C6118" s="6"/>
      <c r="G6118" s="6"/>
      <c r="K6118" s="6"/>
    </row>
    <row r="6119" spans="3:11" x14ac:dyDescent="0.25">
      <c r="C6119" s="6"/>
      <c r="G6119" s="6"/>
      <c r="K6119" s="6"/>
    </row>
    <row r="6120" spans="3:11" x14ac:dyDescent="0.25">
      <c r="C6120" s="6"/>
      <c r="G6120" s="6"/>
      <c r="K6120" s="6"/>
    </row>
    <row r="6121" spans="3:11" x14ac:dyDescent="0.25">
      <c r="C6121" s="6"/>
      <c r="G6121" s="6"/>
      <c r="K6121" s="6"/>
    </row>
    <row r="6122" spans="3:11" x14ac:dyDescent="0.25">
      <c r="C6122" s="6"/>
      <c r="G6122" s="6"/>
      <c r="K6122" s="6"/>
    </row>
    <row r="6123" spans="3:11" x14ac:dyDescent="0.25">
      <c r="C6123" s="6"/>
      <c r="G6123" s="6"/>
      <c r="K6123" s="6"/>
    </row>
    <row r="6124" spans="3:11" x14ac:dyDescent="0.25">
      <c r="C6124" s="6"/>
      <c r="G6124" s="6"/>
      <c r="K6124" s="6"/>
    </row>
    <row r="6125" spans="3:11" x14ac:dyDescent="0.25">
      <c r="C6125" s="6"/>
      <c r="G6125" s="6"/>
      <c r="K6125" s="6"/>
    </row>
    <row r="6126" spans="3:11" x14ac:dyDescent="0.25">
      <c r="C6126" s="6"/>
      <c r="G6126" s="6"/>
      <c r="K6126" s="6"/>
    </row>
    <row r="6127" spans="3:11" x14ac:dyDescent="0.25">
      <c r="C6127" s="6"/>
      <c r="G6127" s="6"/>
      <c r="K6127" s="6"/>
    </row>
    <row r="6128" spans="3:11" x14ac:dyDescent="0.25">
      <c r="C6128" s="6"/>
      <c r="G6128" s="6"/>
      <c r="K6128" s="6"/>
    </row>
    <row r="6129" spans="3:11" x14ac:dyDescent="0.25">
      <c r="C6129" s="6"/>
      <c r="G6129" s="6"/>
      <c r="K6129" s="6"/>
    </row>
    <row r="6130" spans="3:11" x14ac:dyDescent="0.25">
      <c r="C6130" s="6"/>
      <c r="G6130" s="6"/>
      <c r="K6130" s="6"/>
    </row>
    <row r="6131" spans="3:11" x14ac:dyDescent="0.25">
      <c r="C6131" s="6"/>
      <c r="G6131" s="6"/>
      <c r="K6131" s="6"/>
    </row>
    <row r="6132" spans="3:11" x14ac:dyDescent="0.25">
      <c r="C6132" s="6"/>
      <c r="G6132" s="6"/>
      <c r="K6132" s="6"/>
    </row>
    <row r="6133" spans="3:11" x14ac:dyDescent="0.25">
      <c r="C6133" s="6"/>
      <c r="G6133" s="6"/>
      <c r="K6133" s="6"/>
    </row>
    <row r="6134" spans="3:11" x14ac:dyDescent="0.25">
      <c r="C6134" s="6"/>
      <c r="G6134" s="6"/>
      <c r="K6134" s="6"/>
    </row>
    <row r="6135" spans="3:11" x14ac:dyDescent="0.25">
      <c r="C6135" s="6"/>
      <c r="G6135" s="6"/>
      <c r="K6135" s="6"/>
    </row>
    <row r="6136" spans="3:11" x14ac:dyDescent="0.25">
      <c r="C6136" s="6"/>
      <c r="G6136" s="6"/>
      <c r="K6136" s="6"/>
    </row>
    <row r="6137" spans="3:11" x14ac:dyDescent="0.25">
      <c r="C6137" s="6"/>
      <c r="G6137" s="6"/>
      <c r="K6137" s="6"/>
    </row>
    <row r="6138" spans="3:11" x14ac:dyDescent="0.25">
      <c r="C6138" s="6"/>
      <c r="G6138" s="6"/>
      <c r="K6138" s="6"/>
    </row>
    <row r="6139" spans="3:11" x14ac:dyDescent="0.25">
      <c r="C6139" s="6"/>
      <c r="G6139" s="6"/>
      <c r="K6139" s="6"/>
    </row>
    <row r="6140" spans="3:11" x14ac:dyDescent="0.25">
      <c r="C6140" s="6"/>
      <c r="G6140" s="6"/>
      <c r="K6140" s="6"/>
    </row>
    <row r="6141" spans="3:11" x14ac:dyDescent="0.25">
      <c r="C6141" s="6"/>
      <c r="G6141" s="6"/>
      <c r="K6141" s="6"/>
    </row>
    <row r="6142" spans="3:11" x14ac:dyDescent="0.25">
      <c r="C6142" s="6"/>
      <c r="G6142" s="6"/>
      <c r="K6142" s="6"/>
    </row>
    <row r="6143" spans="3:11" x14ac:dyDescent="0.25">
      <c r="C6143" s="6"/>
      <c r="G6143" s="6"/>
      <c r="K6143" s="6"/>
    </row>
    <row r="6144" spans="3:11" x14ac:dyDescent="0.25">
      <c r="C6144" s="6"/>
      <c r="G6144" s="6"/>
      <c r="K6144" s="6"/>
    </row>
    <row r="6145" spans="3:11" x14ac:dyDescent="0.25">
      <c r="C6145" s="6"/>
      <c r="G6145" s="6"/>
      <c r="K6145" s="6"/>
    </row>
    <row r="6146" spans="3:11" x14ac:dyDescent="0.25">
      <c r="C6146" s="6"/>
      <c r="G6146" s="6"/>
      <c r="K6146" s="6"/>
    </row>
    <row r="6147" spans="3:11" x14ac:dyDescent="0.25">
      <c r="C6147" s="6"/>
      <c r="G6147" s="6"/>
      <c r="K6147" s="6"/>
    </row>
    <row r="6148" spans="3:11" x14ac:dyDescent="0.25">
      <c r="C6148" s="6"/>
      <c r="G6148" s="6"/>
      <c r="K6148" s="6"/>
    </row>
    <row r="6149" spans="3:11" x14ac:dyDescent="0.25">
      <c r="C6149" s="6"/>
      <c r="G6149" s="6"/>
      <c r="K6149" s="6"/>
    </row>
    <row r="6150" spans="3:11" x14ac:dyDescent="0.25">
      <c r="C6150" s="6"/>
      <c r="G6150" s="6"/>
      <c r="K6150" s="6"/>
    </row>
    <row r="6151" spans="3:11" x14ac:dyDescent="0.25">
      <c r="C6151" s="6"/>
      <c r="G6151" s="6"/>
      <c r="K6151" s="6"/>
    </row>
    <row r="6152" spans="3:11" x14ac:dyDescent="0.25">
      <c r="C6152" s="6"/>
      <c r="G6152" s="6"/>
      <c r="K6152" s="6"/>
    </row>
    <row r="6153" spans="3:11" x14ac:dyDescent="0.25">
      <c r="C6153" s="6"/>
      <c r="G6153" s="6"/>
      <c r="K6153" s="6"/>
    </row>
    <row r="6154" spans="3:11" x14ac:dyDescent="0.25">
      <c r="C6154" s="6"/>
      <c r="G6154" s="6"/>
      <c r="K6154" s="6"/>
    </row>
    <row r="6155" spans="3:11" x14ac:dyDescent="0.25">
      <c r="C6155" s="6"/>
      <c r="G6155" s="6"/>
      <c r="K6155" s="6"/>
    </row>
    <row r="6156" spans="3:11" x14ac:dyDescent="0.25">
      <c r="C6156" s="6"/>
      <c r="G6156" s="6"/>
      <c r="K6156" s="6"/>
    </row>
    <row r="6157" spans="3:11" x14ac:dyDescent="0.25">
      <c r="C6157" s="6"/>
      <c r="G6157" s="6"/>
      <c r="K6157" s="6"/>
    </row>
    <row r="6158" spans="3:11" x14ac:dyDescent="0.25">
      <c r="C6158" s="6"/>
      <c r="G6158" s="6"/>
      <c r="K6158" s="6"/>
    </row>
    <row r="6159" spans="3:11" x14ac:dyDescent="0.25">
      <c r="C6159" s="6"/>
      <c r="G6159" s="6"/>
      <c r="K6159" s="6"/>
    </row>
    <row r="6160" spans="3:11" x14ac:dyDescent="0.25">
      <c r="C6160" s="6"/>
      <c r="G6160" s="6"/>
      <c r="K6160" s="6"/>
    </row>
    <row r="6161" spans="3:11" x14ac:dyDescent="0.25">
      <c r="C6161" s="6"/>
      <c r="G6161" s="6"/>
      <c r="K6161" s="6"/>
    </row>
    <row r="6162" spans="3:11" x14ac:dyDescent="0.25">
      <c r="C6162" s="6"/>
      <c r="G6162" s="6"/>
      <c r="K6162" s="6"/>
    </row>
    <row r="6163" spans="3:11" x14ac:dyDescent="0.25">
      <c r="C6163" s="6"/>
      <c r="G6163" s="6"/>
      <c r="K6163" s="6"/>
    </row>
    <row r="6164" spans="3:11" x14ac:dyDescent="0.25">
      <c r="C6164" s="6"/>
      <c r="G6164" s="6"/>
      <c r="K6164" s="6"/>
    </row>
    <row r="6165" spans="3:11" x14ac:dyDescent="0.25">
      <c r="C6165" s="6"/>
      <c r="G6165" s="6"/>
      <c r="K6165" s="6"/>
    </row>
    <row r="6166" spans="3:11" x14ac:dyDescent="0.25">
      <c r="C6166" s="6"/>
      <c r="G6166" s="6"/>
      <c r="K6166" s="6"/>
    </row>
    <row r="6167" spans="3:11" x14ac:dyDescent="0.25">
      <c r="C6167" s="6"/>
      <c r="G6167" s="6"/>
      <c r="K6167" s="6"/>
    </row>
    <row r="6168" spans="3:11" x14ac:dyDescent="0.25">
      <c r="C6168" s="6"/>
      <c r="G6168" s="6"/>
      <c r="K6168" s="6"/>
    </row>
    <row r="6169" spans="3:11" x14ac:dyDescent="0.25">
      <c r="C6169" s="6"/>
      <c r="G6169" s="6"/>
      <c r="K6169" s="6"/>
    </row>
    <row r="6170" spans="3:11" x14ac:dyDescent="0.25">
      <c r="C6170" s="6"/>
      <c r="G6170" s="6"/>
      <c r="K6170" s="6"/>
    </row>
    <row r="6171" spans="3:11" x14ac:dyDescent="0.25">
      <c r="C6171" s="6"/>
      <c r="G6171" s="6"/>
      <c r="K6171" s="6"/>
    </row>
    <row r="6172" spans="3:11" x14ac:dyDescent="0.25">
      <c r="C6172" s="6"/>
      <c r="G6172" s="6"/>
      <c r="K6172" s="6"/>
    </row>
    <row r="6173" spans="3:11" x14ac:dyDescent="0.25">
      <c r="C6173" s="6"/>
      <c r="G6173" s="6"/>
      <c r="K6173" s="6"/>
    </row>
    <row r="6174" spans="3:11" x14ac:dyDescent="0.25">
      <c r="C6174" s="6"/>
      <c r="G6174" s="6"/>
      <c r="K6174" s="6"/>
    </row>
    <row r="6175" spans="3:11" x14ac:dyDescent="0.25">
      <c r="C6175" s="6"/>
      <c r="G6175" s="6"/>
      <c r="K6175" s="6"/>
    </row>
    <row r="6176" spans="3:11" x14ac:dyDescent="0.25">
      <c r="C6176" s="6"/>
      <c r="G6176" s="6"/>
      <c r="K6176" s="6"/>
    </row>
    <row r="6177" spans="3:11" x14ac:dyDescent="0.25">
      <c r="C6177" s="6"/>
      <c r="G6177" s="6"/>
      <c r="K6177" s="6"/>
    </row>
    <row r="6178" spans="3:11" x14ac:dyDescent="0.25">
      <c r="C6178" s="6"/>
      <c r="G6178" s="6"/>
      <c r="K6178" s="6"/>
    </row>
    <row r="6179" spans="3:11" x14ac:dyDescent="0.25">
      <c r="C6179" s="6"/>
      <c r="G6179" s="6"/>
      <c r="K6179" s="6"/>
    </row>
    <row r="6180" spans="3:11" x14ac:dyDescent="0.25">
      <c r="C6180" s="6"/>
      <c r="G6180" s="6"/>
      <c r="K6180" s="6"/>
    </row>
    <row r="6181" spans="3:11" x14ac:dyDescent="0.25">
      <c r="C6181" s="6"/>
      <c r="G6181" s="6"/>
      <c r="K6181" s="6"/>
    </row>
    <row r="6182" spans="3:11" x14ac:dyDescent="0.25">
      <c r="C6182" s="6"/>
      <c r="G6182" s="6"/>
      <c r="K6182" s="6"/>
    </row>
    <row r="6183" spans="3:11" x14ac:dyDescent="0.25">
      <c r="C6183" s="6"/>
      <c r="G6183" s="6"/>
      <c r="K6183" s="6"/>
    </row>
    <row r="6184" spans="3:11" x14ac:dyDescent="0.25">
      <c r="C6184" s="6"/>
      <c r="G6184" s="6"/>
      <c r="K6184" s="6"/>
    </row>
    <row r="6185" spans="3:11" x14ac:dyDescent="0.25">
      <c r="C6185" s="6"/>
      <c r="G6185" s="6"/>
      <c r="K6185" s="6"/>
    </row>
    <row r="6186" spans="3:11" x14ac:dyDescent="0.25">
      <c r="C6186" s="6"/>
      <c r="G6186" s="6"/>
      <c r="K6186" s="6"/>
    </row>
    <row r="6187" spans="3:11" x14ac:dyDescent="0.25">
      <c r="C6187" s="6"/>
      <c r="G6187" s="6"/>
      <c r="K6187" s="6"/>
    </row>
    <row r="6188" spans="3:11" x14ac:dyDescent="0.25">
      <c r="C6188" s="6"/>
      <c r="G6188" s="6"/>
      <c r="K6188" s="6"/>
    </row>
    <row r="6189" spans="3:11" x14ac:dyDescent="0.25">
      <c r="C6189" s="6"/>
      <c r="G6189" s="6"/>
      <c r="K6189" s="6"/>
    </row>
    <row r="6190" spans="3:11" x14ac:dyDescent="0.25">
      <c r="C6190" s="6"/>
      <c r="G6190" s="6"/>
      <c r="K6190" s="6"/>
    </row>
    <row r="6191" spans="3:11" x14ac:dyDescent="0.25">
      <c r="C6191" s="6"/>
      <c r="G6191" s="6"/>
      <c r="K6191" s="6"/>
    </row>
    <row r="6192" spans="3:11" x14ac:dyDescent="0.25">
      <c r="C6192" s="6"/>
      <c r="G6192" s="6"/>
      <c r="K6192" s="6"/>
    </row>
    <row r="6193" spans="3:11" x14ac:dyDescent="0.25">
      <c r="C6193" s="6"/>
      <c r="G6193" s="6"/>
      <c r="K6193" s="6"/>
    </row>
    <row r="6194" spans="3:11" x14ac:dyDescent="0.25">
      <c r="C6194" s="6"/>
      <c r="G6194" s="6"/>
      <c r="K6194" s="6"/>
    </row>
    <row r="6195" spans="3:11" x14ac:dyDescent="0.25">
      <c r="C6195" s="6"/>
      <c r="G6195" s="6"/>
      <c r="K6195" s="6"/>
    </row>
    <row r="6196" spans="3:11" x14ac:dyDescent="0.25">
      <c r="C6196" s="6"/>
      <c r="G6196" s="6"/>
      <c r="K6196" s="6"/>
    </row>
    <row r="6197" spans="3:11" x14ac:dyDescent="0.25">
      <c r="C6197" s="6"/>
      <c r="G6197" s="6"/>
      <c r="K6197" s="6"/>
    </row>
    <row r="6198" spans="3:11" x14ac:dyDescent="0.25">
      <c r="C6198" s="6"/>
      <c r="G6198" s="6"/>
      <c r="K6198" s="6"/>
    </row>
    <row r="6199" spans="3:11" x14ac:dyDescent="0.25">
      <c r="C6199" s="6"/>
      <c r="G6199" s="6"/>
      <c r="K6199" s="6"/>
    </row>
    <row r="6200" spans="3:11" x14ac:dyDescent="0.25">
      <c r="C6200" s="6"/>
      <c r="G6200" s="6"/>
      <c r="K6200" s="6"/>
    </row>
    <row r="6201" spans="3:11" x14ac:dyDescent="0.25">
      <c r="C6201" s="6"/>
      <c r="G6201" s="6"/>
      <c r="K6201" s="6"/>
    </row>
    <row r="6202" spans="3:11" x14ac:dyDescent="0.25">
      <c r="C6202" s="6"/>
      <c r="G6202" s="6"/>
      <c r="K6202" s="6"/>
    </row>
    <row r="6203" spans="3:11" x14ac:dyDescent="0.25">
      <c r="C6203" s="6"/>
      <c r="G6203" s="6"/>
      <c r="K6203" s="6"/>
    </row>
    <row r="6204" spans="3:11" x14ac:dyDescent="0.25">
      <c r="C6204" s="6"/>
      <c r="G6204" s="6"/>
      <c r="K6204" s="6"/>
    </row>
    <row r="6205" spans="3:11" x14ac:dyDescent="0.25">
      <c r="C6205" s="6"/>
      <c r="G6205" s="6"/>
      <c r="K6205" s="6"/>
    </row>
    <row r="6206" spans="3:11" x14ac:dyDescent="0.25">
      <c r="C6206" s="6"/>
      <c r="G6206" s="6"/>
      <c r="K6206" s="6"/>
    </row>
    <row r="6207" spans="3:11" x14ac:dyDescent="0.25">
      <c r="C6207" s="6"/>
      <c r="G6207" s="6"/>
      <c r="K6207" s="6"/>
    </row>
    <row r="6208" spans="3:11" x14ac:dyDescent="0.25">
      <c r="C6208" s="6"/>
      <c r="G6208" s="6"/>
      <c r="K6208" s="6"/>
    </row>
    <row r="6209" spans="3:11" x14ac:dyDescent="0.25">
      <c r="C6209" s="6"/>
      <c r="G6209" s="6"/>
      <c r="K6209" s="6"/>
    </row>
    <row r="6210" spans="3:11" x14ac:dyDescent="0.25">
      <c r="C6210" s="6"/>
      <c r="G6210" s="6"/>
      <c r="K6210" s="6"/>
    </row>
    <row r="6211" spans="3:11" x14ac:dyDescent="0.25">
      <c r="C6211" s="6"/>
      <c r="G6211" s="6"/>
      <c r="K6211" s="6"/>
    </row>
    <row r="6212" spans="3:11" x14ac:dyDescent="0.25">
      <c r="C6212" s="6"/>
      <c r="G6212" s="6"/>
      <c r="K6212" s="6"/>
    </row>
    <row r="6213" spans="3:11" x14ac:dyDescent="0.25">
      <c r="C6213" s="6"/>
      <c r="G6213" s="6"/>
      <c r="K6213" s="6"/>
    </row>
    <row r="6214" spans="3:11" x14ac:dyDescent="0.25">
      <c r="C6214" s="6"/>
      <c r="G6214" s="6"/>
      <c r="K6214" s="6"/>
    </row>
    <row r="6215" spans="3:11" x14ac:dyDescent="0.25">
      <c r="C6215" s="6"/>
      <c r="G6215" s="6"/>
      <c r="K6215" s="6"/>
    </row>
    <row r="6216" spans="3:11" x14ac:dyDescent="0.25">
      <c r="C6216" s="6"/>
      <c r="G6216" s="6"/>
      <c r="K6216" s="6"/>
    </row>
    <row r="6217" spans="3:11" x14ac:dyDescent="0.25">
      <c r="C6217" s="6"/>
      <c r="G6217" s="6"/>
      <c r="K6217" s="6"/>
    </row>
    <row r="6218" spans="3:11" x14ac:dyDescent="0.25">
      <c r="C6218" s="6"/>
      <c r="G6218" s="6"/>
      <c r="K6218" s="6"/>
    </row>
    <row r="6219" spans="3:11" x14ac:dyDescent="0.25">
      <c r="C6219" s="6"/>
      <c r="G6219" s="6"/>
      <c r="K6219" s="6"/>
    </row>
    <row r="6220" spans="3:11" x14ac:dyDescent="0.25">
      <c r="C6220" s="6"/>
      <c r="G6220" s="6"/>
      <c r="K6220" s="6"/>
    </row>
    <row r="6221" spans="3:11" x14ac:dyDescent="0.25">
      <c r="C6221" s="6"/>
      <c r="G6221" s="6"/>
      <c r="K6221" s="6"/>
    </row>
    <row r="6222" spans="3:11" x14ac:dyDescent="0.25">
      <c r="C6222" s="6"/>
      <c r="G6222" s="6"/>
      <c r="K6222" s="6"/>
    </row>
    <row r="6223" spans="3:11" x14ac:dyDescent="0.25">
      <c r="C6223" s="6"/>
      <c r="G6223" s="6"/>
      <c r="K6223" s="6"/>
    </row>
    <row r="6224" spans="3:11" x14ac:dyDescent="0.25">
      <c r="C6224" s="6"/>
      <c r="G6224" s="6"/>
      <c r="K6224" s="6"/>
    </row>
    <row r="6225" spans="3:11" x14ac:dyDescent="0.25">
      <c r="C6225" s="6"/>
      <c r="G6225" s="6"/>
      <c r="K6225" s="6"/>
    </row>
    <row r="6226" spans="3:11" x14ac:dyDescent="0.25">
      <c r="C6226" s="6"/>
      <c r="G6226" s="6"/>
      <c r="K6226" s="6"/>
    </row>
    <row r="6227" spans="3:11" x14ac:dyDescent="0.25">
      <c r="C6227" s="6"/>
      <c r="G6227" s="6"/>
      <c r="K6227" s="6"/>
    </row>
    <row r="6228" spans="3:11" x14ac:dyDescent="0.25">
      <c r="C6228" s="6"/>
      <c r="G6228" s="6"/>
      <c r="K6228" s="6"/>
    </row>
    <row r="6229" spans="3:11" x14ac:dyDescent="0.25">
      <c r="C6229" s="6"/>
      <c r="G6229" s="6"/>
      <c r="K6229" s="6"/>
    </row>
    <row r="6230" spans="3:11" x14ac:dyDescent="0.25">
      <c r="C6230" s="6"/>
      <c r="G6230" s="6"/>
      <c r="K6230" s="6"/>
    </row>
    <row r="6231" spans="3:11" x14ac:dyDescent="0.25">
      <c r="C6231" s="6"/>
      <c r="G6231" s="6"/>
      <c r="K6231" s="6"/>
    </row>
    <row r="6232" spans="3:11" x14ac:dyDescent="0.25">
      <c r="C6232" s="6"/>
      <c r="G6232" s="6"/>
      <c r="K6232" s="6"/>
    </row>
    <row r="6233" spans="3:11" x14ac:dyDescent="0.25">
      <c r="C6233" s="6"/>
      <c r="G6233" s="6"/>
      <c r="K6233" s="6"/>
    </row>
    <row r="6234" spans="3:11" x14ac:dyDescent="0.25">
      <c r="C6234" s="6"/>
      <c r="G6234" s="6"/>
      <c r="K6234" s="6"/>
    </row>
    <row r="6235" spans="3:11" x14ac:dyDescent="0.25">
      <c r="C6235" s="6"/>
      <c r="G6235" s="6"/>
      <c r="K6235" s="6"/>
    </row>
    <row r="6236" spans="3:11" x14ac:dyDescent="0.25">
      <c r="C6236" s="6"/>
      <c r="G6236" s="6"/>
      <c r="K6236" s="6"/>
    </row>
    <row r="6237" spans="3:11" x14ac:dyDescent="0.25">
      <c r="C6237" s="6"/>
      <c r="G6237" s="6"/>
      <c r="K6237" s="6"/>
    </row>
    <row r="6238" spans="3:11" x14ac:dyDescent="0.25">
      <c r="C6238" s="6"/>
      <c r="G6238" s="6"/>
      <c r="K6238" s="6"/>
    </row>
    <row r="6239" spans="3:11" x14ac:dyDescent="0.25">
      <c r="C6239" s="6"/>
      <c r="G6239" s="6"/>
      <c r="K6239" s="6"/>
    </row>
    <row r="6240" spans="3:11" x14ac:dyDescent="0.25">
      <c r="C6240" s="6"/>
      <c r="G6240" s="6"/>
      <c r="K6240" s="6"/>
    </row>
    <row r="6241" spans="3:11" x14ac:dyDescent="0.25">
      <c r="C6241" s="6"/>
      <c r="G6241" s="6"/>
      <c r="K6241" s="6"/>
    </row>
    <row r="6242" spans="3:11" x14ac:dyDescent="0.25">
      <c r="C6242" s="6"/>
      <c r="G6242" s="6"/>
      <c r="K6242" s="6"/>
    </row>
    <row r="6243" spans="3:11" x14ac:dyDescent="0.25">
      <c r="C6243" s="6"/>
      <c r="G6243" s="6"/>
      <c r="K6243" s="6"/>
    </row>
    <row r="6244" spans="3:11" x14ac:dyDescent="0.25">
      <c r="C6244" s="6"/>
      <c r="G6244" s="6"/>
      <c r="K6244" s="6"/>
    </row>
    <row r="6245" spans="3:11" x14ac:dyDescent="0.25">
      <c r="C6245" s="6"/>
      <c r="G6245" s="6"/>
      <c r="K6245" s="6"/>
    </row>
    <row r="6246" spans="3:11" x14ac:dyDescent="0.25">
      <c r="C6246" s="6"/>
      <c r="G6246" s="6"/>
      <c r="K6246" s="6"/>
    </row>
    <row r="6247" spans="3:11" x14ac:dyDescent="0.25">
      <c r="C6247" s="6"/>
      <c r="G6247" s="6"/>
      <c r="K6247" s="6"/>
    </row>
    <row r="6248" spans="3:11" x14ac:dyDescent="0.25">
      <c r="C6248" s="6"/>
      <c r="G6248" s="6"/>
      <c r="K6248" s="6"/>
    </row>
    <row r="6249" spans="3:11" x14ac:dyDescent="0.25">
      <c r="C6249" s="6"/>
      <c r="G6249" s="6"/>
      <c r="K6249" s="6"/>
    </row>
    <row r="6250" spans="3:11" x14ac:dyDescent="0.25">
      <c r="C6250" s="6"/>
      <c r="G6250" s="6"/>
      <c r="K6250" s="6"/>
    </row>
    <row r="6251" spans="3:11" x14ac:dyDescent="0.25">
      <c r="C6251" s="6"/>
      <c r="G6251" s="6"/>
      <c r="K6251" s="6"/>
    </row>
    <row r="6252" spans="3:11" x14ac:dyDescent="0.25">
      <c r="C6252" s="6"/>
      <c r="G6252" s="6"/>
      <c r="K6252" s="6"/>
    </row>
    <row r="6253" spans="3:11" x14ac:dyDescent="0.25">
      <c r="C6253" s="6"/>
      <c r="G6253" s="6"/>
      <c r="K6253" s="6"/>
    </row>
    <row r="6254" spans="3:11" x14ac:dyDescent="0.25">
      <c r="C6254" s="6"/>
      <c r="G6254" s="6"/>
      <c r="K6254" s="6"/>
    </row>
    <row r="6255" spans="3:11" x14ac:dyDescent="0.25">
      <c r="C6255" s="6"/>
      <c r="G6255" s="6"/>
      <c r="K6255" s="6"/>
    </row>
    <row r="6256" spans="3:11" x14ac:dyDescent="0.25">
      <c r="C6256" s="6"/>
      <c r="G6256" s="6"/>
      <c r="K6256" s="6"/>
    </row>
    <row r="6257" spans="3:11" x14ac:dyDescent="0.25">
      <c r="C6257" s="6"/>
      <c r="G6257" s="6"/>
      <c r="K6257" s="6"/>
    </row>
    <row r="6258" spans="3:11" x14ac:dyDescent="0.25">
      <c r="C6258" s="6"/>
      <c r="G6258" s="6"/>
      <c r="K6258" s="6"/>
    </row>
    <row r="6259" spans="3:11" x14ac:dyDescent="0.25">
      <c r="C6259" s="6"/>
      <c r="G6259" s="6"/>
      <c r="K6259" s="6"/>
    </row>
    <row r="6260" spans="3:11" x14ac:dyDescent="0.25">
      <c r="C6260" s="6"/>
      <c r="G6260" s="6"/>
      <c r="K6260" s="6"/>
    </row>
    <row r="6261" spans="3:11" x14ac:dyDescent="0.25">
      <c r="C6261" s="6"/>
      <c r="G6261" s="6"/>
      <c r="K6261" s="6"/>
    </row>
    <row r="6262" spans="3:11" x14ac:dyDescent="0.25">
      <c r="C6262" s="6"/>
      <c r="G6262" s="6"/>
      <c r="K6262" s="6"/>
    </row>
    <row r="6263" spans="3:11" x14ac:dyDescent="0.25">
      <c r="C6263" s="6"/>
      <c r="G6263" s="6"/>
      <c r="K6263" s="6"/>
    </row>
    <row r="6264" spans="3:11" x14ac:dyDescent="0.25">
      <c r="C6264" s="6"/>
      <c r="G6264" s="6"/>
      <c r="K6264" s="6"/>
    </row>
    <row r="6265" spans="3:11" x14ac:dyDescent="0.25">
      <c r="C6265" s="6"/>
      <c r="G6265" s="6"/>
      <c r="K6265" s="6"/>
    </row>
    <row r="6266" spans="3:11" x14ac:dyDescent="0.25">
      <c r="C6266" s="6"/>
      <c r="G6266" s="6"/>
      <c r="K6266" s="6"/>
    </row>
    <row r="6267" spans="3:11" x14ac:dyDescent="0.25">
      <c r="C6267" s="6"/>
      <c r="G6267" s="6"/>
      <c r="K6267" s="6"/>
    </row>
    <row r="6268" spans="3:11" x14ac:dyDescent="0.25">
      <c r="C6268" s="6"/>
      <c r="G6268" s="6"/>
      <c r="K6268" s="6"/>
    </row>
    <row r="6269" spans="3:11" x14ac:dyDescent="0.25">
      <c r="C6269" s="6"/>
      <c r="G6269" s="6"/>
      <c r="K6269" s="6"/>
    </row>
    <row r="6270" spans="3:11" x14ac:dyDescent="0.25">
      <c r="C6270" s="6"/>
      <c r="G6270" s="6"/>
      <c r="K6270" s="6"/>
    </row>
    <row r="6271" spans="3:11" x14ac:dyDescent="0.25">
      <c r="C6271" s="6"/>
      <c r="G6271" s="6"/>
      <c r="K6271" s="6"/>
    </row>
    <row r="6272" spans="3:11" x14ac:dyDescent="0.25">
      <c r="C6272" s="6"/>
      <c r="G6272" s="6"/>
      <c r="K6272" s="6"/>
    </row>
    <row r="6273" spans="3:11" x14ac:dyDescent="0.25">
      <c r="C6273" s="6"/>
      <c r="G6273" s="6"/>
      <c r="K6273" s="6"/>
    </row>
    <row r="6274" spans="3:11" x14ac:dyDescent="0.25">
      <c r="C6274" s="6"/>
      <c r="G6274" s="6"/>
      <c r="K6274" s="6"/>
    </row>
    <row r="6275" spans="3:11" x14ac:dyDescent="0.25">
      <c r="C6275" s="6"/>
      <c r="G6275" s="6"/>
      <c r="K6275" s="6"/>
    </row>
    <row r="6276" spans="3:11" x14ac:dyDescent="0.25">
      <c r="C6276" s="6"/>
      <c r="G6276" s="6"/>
      <c r="K6276" s="6"/>
    </row>
    <row r="6277" spans="3:11" x14ac:dyDescent="0.25">
      <c r="C6277" s="6"/>
      <c r="G6277" s="6"/>
      <c r="K6277" s="6"/>
    </row>
    <row r="6278" spans="3:11" x14ac:dyDescent="0.25">
      <c r="C6278" s="6"/>
      <c r="G6278" s="6"/>
      <c r="K6278" s="6"/>
    </row>
    <row r="6279" spans="3:11" x14ac:dyDescent="0.25">
      <c r="C6279" s="6"/>
      <c r="G6279" s="6"/>
      <c r="K6279" s="6"/>
    </row>
    <row r="6280" spans="3:11" x14ac:dyDescent="0.25">
      <c r="C6280" s="6"/>
      <c r="G6280" s="6"/>
      <c r="K6280" s="6"/>
    </row>
    <row r="6281" spans="3:11" x14ac:dyDescent="0.25">
      <c r="C6281" s="6"/>
      <c r="G6281" s="6"/>
      <c r="K6281" s="6"/>
    </row>
    <row r="6282" spans="3:11" x14ac:dyDescent="0.25">
      <c r="C6282" s="6"/>
      <c r="G6282" s="6"/>
      <c r="K6282" s="6"/>
    </row>
    <row r="6283" spans="3:11" x14ac:dyDescent="0.25">
      <c r="C6283" s="6"/>
      <c r="G6283" s="6"/>
      <c r="K6283" s="6"/>
    </row>
    <row r="6284" spans="3:11" x14ac:dyDescent="0.25">
      <c r="C6284" s="6"/>
      <c r="G6284" s="6"/>
      <c r="K6284" s="6"/>
    </row>
    <row r="6285" spans="3:11" x14ac:dyDescent="0.25">
      <c r="C6285" s="6"/>
      <c r="G6285" s="6"/>
      <c r="K6285" s="6"/>
    </row>
    <row r="6286" spans="3:11" x14ac:dyDescent="0.25">
      <c r="C6286" s="6"/>
      <c r="G6286" s="6"/>
      <c r="K6286" s="6"/>
    </row>
    <row r="6287" spans="3:11" x14ac:dyDescent="0.25">
      <c r="C6287" s="6"/>
      <c r="G6287" s="6"/>
      <c r="K6287" s="6"/>
    </row>
    <row r="6288" spans="3:11" x14ac:dyDescent="0.25">
      <c r="C6288" s="6"/>
      <c r="G6288" s="6"/>
      <c r="K6288" s="6"/>
    </row>
    <row r="6289" spans="3:11" x14ac:dyDescent="0.25">
      <c r="C6289" s="6"/>
      <c r="G6289" s="6"/>
      <c r="K6289" s="6"/>
    </row>
    <row r="6290" spans="3:11" x14ac:dyDescent="0.25">
      <c r="C6290" s="6"/>
      <c r="G6290" s="6"/>
      <c r="K6290" s="6"/>
    </row>
    <row r="6291" spans="3:11" x14ac:dyDescent="0.25">
      <c r="C6291" s="6"/>
      <c r="G6291" s="6"/>
      <c r="K6291" s="6"/>
    </row>
    <row r="6292" spans="3:11" x14ac:dyDescent="0.25">
      <c r="C6292" s="6"/>
      <c r="G6292" s="6"/>
      <c r="K6292" s="6"/>
    </row>
    <row r="6293" spans="3:11" x14ac:dyDescent="0.25">
      <c r="C6293" s="6"/>
      <c r="G6293" s="6"/>
      <c r="K6293" s="6"/>
    </row>
    <row r="6294" spans="3:11" x14ac:dyDescent="0.25">
      <c r="C6294" s="6"/>
      <c r="G6294" s="6"/>
      <c r="K6294" s="6"/>
    </row>
    <row r="6295" spans="3:11" x14ac:dyDescent="0.25">
      <c r="C6295" s="6"/>
      <c r="G6295" s="6"/>
      <c r="K6295" s="6"/>
    </row>
    <row r="6296" spans="3:11" x14ac:dyDescent="0.25">
      <c r="C6296" s="6"/>
      <c r="G6296" s="6"/>
      <c r="K6296" s="6"/>
    </row>
    <row r="6297" spans="3:11" x14ac:dyDescent="0.25">
      <c r="C6297" s="6"/>
      <c r="G6297" s="6"/>
      <c r="K6297" s="6"/>
    </row>
    <row r="6298" spans="3:11" x14ac:dyDescent="0.25">
      <c r="C6298" s="6"/>
      <c r="G6298" s="6"/>
      <c r="K6298" s="6"/>
    </row>
    <row r="6299" spans="3:11" x14ac:dyDescent="0.25">
      <c r="C6299" s="6"/>
      <c r="G6299" s="6"/>
      <c r="K6299" s="6"/>
    </row>
    <row r="6300" spans="3:11" x14ac:dyDescent="0.25">
      <c r="C6300" s="6"/>
      <c r="G6300" s="6"/>
      <c r="K6300" s="6"/>
    </row>
    <row r="6301" spans="3:11" x14ac:dyDescent="0.25">
      <c r="C6301" s="6"/>
      <c r="G6301" s="6"/>
      <c r="K6301" s="6"/>
    </row>
    <row r="6302" spans="3:11" x14ac:dyDescent="0.25">
      <c r="C6302" s="6"/>
      <c r="G6302" s="6"/>
      <c r="K6302" s="6"/>
    </row>
    <row r="6303" spans="3:11" x14ac:dyDescent="0.25">
      <c r="C6303" s="6"/>
      <c r="G6303" s="6"/>
      <c r="K6303" s="6"/>
    </row>
    <row r="6304" spans="3:11" x14ac:dyDescent="0.25">
      <c r="C6304" s="6"/>
      <c r="G6304" s="6"/>
      <c r="K6304" s="6"/>
    </row>
    <row r="6305" spans="3:11" x14ac:dyDescent="0.25">
      <c r="C6305" s="6"/>
      <c r="G6305" s="6"/>
      <c r="K6305" s="6"/>
    </row>
    <row r="6306" spans="3:11" x14ac:dyDescent="0.25">
      <c r="C6306" s="6"/>
      <c r="G6306" s="6"/>
      <c r="K6306" s="6"/>
    </row>
    <row r="6307" spans="3:11" x14ac:dyDescent="0.25">
      <c r="C6307" s="6"/>
      <c r="G6307" s="6"/>
      <c r="K6307" s="6"/>
    </row>
    <row r="6308" spans="3:11" x14ac:dyDescent="0.25">
      <c r="C6308" s="6"/>
      <c r="G6308" s="6"/>
      <c r="K6308" s="6"/>
    </row>
    <row r="6309" spans="3:11" x14ac:dyDescent="0.25">
      <c r="C6309" s="6"/>
      <c r="G6309" s="6"/>
      <c r="K6309" s="6"/>
    </row>
    <row r="6310" spans="3:11" x14ac:dyDescent="0.25">
      <c r="C6310" s="6"/>
      <c r="G6310" s="6"/>
      <c r="K6310" s="6"/>
    </row>
    <row r="6311" spans="3:11" x14ac:dyDescent="0.25">
      <c r="C6311" s="6"/>
      <c r="G6311" s="6"/>
      <c r="K6311" s="6"/>
    </row>
    <row r="6312" spans="3:11" x14ac:dyDescent="0.25">
      <c r="C6312" s="6"/>
      <c r="G6312" s="6"/>
      <c r="K6312" s="6"/>
    </row>
    <row r="6313" spans="3:11" x14ac:dyDescent="0.25">
      <c r="C6313" s="6"/>
      <c r="G6313" s="6"/>
      <c r="K6313" s="6"/>
    </row>
    <row r="6314" spans="3:11" x14ac:dyDescent="0.25">
      <c r="C6314" s="6"/>
      <c r="G6314" s="6"/>
      <c r="K6314" s="6"/>
    </row>
    <row r="6315" spans="3:11" x14ac:dyDescent="0.25">
      <c r="C6315" s="6"/>
      <c r="G6315" s="6"/>
      <c r="K6315" s="6"/>
    </row>
    <row r="6316" spans="3:11" x14ac:dyDescent="0.25">
      <c r="C6316" s="6"/>
      <c r="G6316" s="6"/>
      <c r="K6316" s="6"/>
    </row>
    <row r="6317" spans="3:11" x14ac:dyDescent="0.25">
      <c r="C6317" s="6"/>
      <c r="G6317" s="6"/>
      <c r="K6317" s="6"/>
    </row>
    <row r="6318" spans="3:11" x14ac:dyDescent="0.25">
      <c r="C6318" s="6"/>
      <c r="G6318" s="6"/>
      <c r="K6318" s="6"/>
    </row>
    <row r="6319" spans="3:11" x14ac:dyDescent="0.25">
      <c r="C6319" s="6"/>
      <c r="G6319" s="6"/>
      <c r="K6319" s="6"/>
    </row>
    <row r="6320" spans="3:11" x14ac:dyDescent="0.25">
      <c r="C6320" s="6"/>
      <c r="G6320" s="6"/>
      <c r="K6320" s="6"/>
    </row>
    <row r="6321" spans="3:11" x14ac:dyDescent="0.25">
      <c r="C6321" s="6"/>
      <c r="G6321" s="6"/>
      <c r="K6321" s="6"/>
    </row>
    <row r="6322" spans="3:11" x14ac:dyDescent="0.25">
      <c r="C6322" s="6"/>
      <c r="G6322" s="6"/>
      <c r="K6322" s="6"/>
    </row>
    <row r="6323" spans="3:11" x14ac:dyDescent="0.25">
      <c r="C6323" s="6"/>
      <c r="G6323" s="6"/>
      <c r="K6323" s="6"/>
    </row>
    <row r="6324" spans="3:11" x14ac:dyDescent="0.25">
      <c r="C6324" s="6"/>
      <c r="G6324" s="6"/>
      <c r="K6324" s="6"/>
    </row>
    <row r="6325" spans="3:11" x14ac:dyDescent="0.25">
      <c r="C6325" s="6"/>
      <c r="G6325" s="6"/>
      <c r="K6325" s="6"/>
    </row>
    <row r="6326" spans="3:11" x14ac:dyDescent="0.25">
      <c r="C6326" s="6"/>
      <c r="G6326" s="6"/>
      <c r="K6326" s="6"/>
    </row>
    <row r="6327" spans="3:11" x14ac:dyDescent="0.25">
      <c r="C6327" s="6"/>
      <c r="G6327" s="6"/>
      <c r="K6327" s="6"/>
    </row>
    <row r="6328" spans="3:11" x14ac:dyDescent="0.25">
      <c r="C6328" s="6"/>
      <c r="G6328" s="6"/>
      <c r="K6328" s="6"/>
    </row>
    <row r="6329" spans="3:11" x14ac:dyDescent="0.25">
      <c r="C6329" s="6"/>
      <c r="G6329" s="6"/>
      <c r="K6329" s="6"/>
    </row>
    <row r="6330" spans="3:11" x14ac:dyDescent="0.25">
      <c r="C6330" s="6"/>
      <c r="G6330" s="6"/>
      <c r="K6330" s="6"/>
    </row>
    <row r="6331" spans="3:11" x14ac:dyDescent="0.25">
      <c r="C6331" s="6"/>
      <c r="G6331" s="6"/>
      <c r="K6331" s="6"/>
    </row>
    <row r="6332" spans="3:11" x14ac:dyDescent="0.25">
      <c r="C6332" s="6"/>
      <c r="G6332" s="6"/>
      <c r="K6332" s="6"/>
    </row>
    <row r="6333" spans="3:11" x14ac:dyDescent="0.25">
      <c r="C6333" s="6"/>
      <c r="G6333" s="6"/>
      <c r="K6333" s="6"/>
    </row>
    <row r="6334" spans="3:11" x14ac:dyDescent="0.25">
      <c r="C6334" s="6"/>
      <c r="G6334" s="6"/>
      <c r="K6334" s="6"/>
    </row>
    <row r="6335" spans="3:11" x14ac:dyDescent="0.25">
      <c r="C6335" s="6"/>
      <c r="G6335" s="6"/>
      <c r="K6335" s="6"/>
    </row>
    <row r="6336" spans="3:11" x14ac:dyDescent="0.25">
      <c r="C6336" s="6"/>
      <c r="G6336" s="6"/>
      <c r="K6336" s="6"/>
    </row>
    <row r="6337" spans="3:11" x14ac:dyDescent="0.25">
      <c r="C6337" s="6"/>
      <c r="G6337" s="6"/>
      <c r="K6337" s="6"/>
    </row>
    <row r="6338" spans="3:11" x14ac:dyDescent="0.25">
      <c r="C6338" s="6"/>
      <c r="G6338" s="6"/>
      <c r="K6338" s="6"/>
    </row>
    <row r="6339" spans="3:11" x14ac:dyDescent="0.25">
      <c r="C6339" s="6"/>
      <c r="G6339" s="6"/>
      <c r="K6339" s="6"/>
    </row>
    <row r="6340" spans="3:11" x14ac:dyDescent="0.25">
      <c r="C6340" s="6"/>
      <c r="G6340" s="6"/>
      <c r="K6340" s="6"/>
    </row>
    <row r="6341" spans="3:11" x14ac:dyDescent="0.25">
      <c r="C6341" s="6"/>
      <c r="G6341" s="6"/>
      <c r="K6341" s="6"/>
    </row>
    <row r="6342" spans="3:11" x14ac:dyDescent="0.25">
      <c r="C6342" s="6"/>
      <c r="G6342" s="6"/>
      <c r="K6342" s="6"/>
    </row>
    <row r="6343" spans="3:11" x14ac:dyDescent="0.25">
      <c r="C6343" s="6"/>
      <c r="G6343" s="6"/>
      <c r="K6343" s="6"/>
    </row>
    <row r="6344" spans="3:11" x14ac:dyDescent="0.25">
      <c r="C6344" s="6"/>
      <c r="G6344" s="6"/>
      <c r="K6344" s="6"/>
    </row>
    <row r="6345" spans="3:11" x14ac:dyDescent="0.25">
      <c r="C6345" s="6"/>
      <c r="G6345" s="6"/>
      <c r="K6345" s="6"/>
    </row>
    <row r="6346" spans="3:11" x14ac:dyDescent="0.25">
      <c r="C6346" s="6"/>
      <c r="G6346" s="6"/>
      <c r="K6346" s="6"/>
    </row>
    <row r="6347" spans="3:11" x14ac:dyDescent="0.25">
      <c r="C6347" s="6"/>
      <c r="G6347" s="6"/>
      <c r="K6347" s="6"/>
    </row>
    <row r="6348" spans="3:11" x14ac:dyDescent="0.25">
      <c r="C6348" s="6"/>
      <c r="G6348" s="6"/>
      <c r="K6348" s="6"/>
    </row>
    <row r="6349" spans="3:11" x14ac:dyDescent="0.25">
      <c r="C6349" s="6"/>
      <c r="G6349" s="6"/>
      <c r="K6349" s="6"/>
    </row>
    <row r="6350" spans="3:11" x14ac:dyDescent="0.25">
      <c r="C6350" s="6"/>
      <c r="G6350" s="6"/>
      <c r="K6350" s="6"/>
    </row>
    <row r="6351" spans="3:11" x14ac:dyDescent="0.25">
      <c r="C6351" s="6"/>
      <c r="G6351" s="6"/>
      <c r="K6351" s="6"/>
    </row>
    <row r="6352" spans="3:11" x14ac:dyDescent="0.25">
      <c r="C6352" s="6"/>
      <c r="G6352" s="6"/>
      <c r="K6352" s="6"/>
    </row>
    <row r="6353" spans="3:11" x14ac:dyDescent="0.25">
      <c r="C6353" s="6"/>
      <c r="G6353" s="6"/>
      <c r="K6353" s="6"/>
    </row>
    <row r="6354" spans="3:11" x14ac:dyDescent="0.25">
      <c r="C6354" s="6"/>
      <c r="G6354" s="6"/>
      <c r="K6354" s="6"/>
    </row>
    <row r="6355" spans="3:11" x14ac:dyDescent="0.25">
      <c r="C6355" s="6"/>
      <c r="G6355" s="6"/>
      <c r="K6355" s="6"/>
    </row>
    <row r="6356" spans="3:11" x14ac:dyDescent="0.25">
      <c r="C6356" s="6"/>
      <c r="G6356" s="6"/>
      <c r="K6356" s="6"/>
    </row>
    <row r="6357" spans="3:11" x14ac:dyDescent="0.25">
      <c r="C6357" s="6"/>
      <c r="G6357" s="6"/>
      <c r="K6357" s="6"/>
    </row>
    <row r="6358" spans="3:11" x14ac:dyDescent="0.25">
      <c r="C6358" s="6"/>
      <c r="G6358" s="6"/>
      <c r="K6358" s="6"/>
    </row>
    <row r="6359" spans="3:11" x14ac:dyDescent="0.25">
      <c r="C6359" s="6"/>
      <c r="G6359" s="6"/>
      <c r="K6359" s="6"/>
    </row>
    <row r="6360" spans="3:11" x14ac:dyDescent="0.25">
      <c r="C6360" s="6"/>
      <c r="G6360" s="6"/>
      <c r="K6360" s="6"/>
    </row>
    <row r="6361" spans="3:11" x14ac:dyDescent="0.25">
      <c r="C6361" s="6"/>
      <c r="G6361" s="6"/>
      <c r="K6361" s="6"/>
    </row>
    <row r="6362" spans="3:11" x14ac:dyDescent="0.25">
      <c r="C6362" s="6"/>
      <c r="G6362" s="6"/>
      <c r="K6362" s="6"/>
    </row>
    <row r="6363" spans="3:11" x14ac:dyDescent="0.25">
      <c r="C6363" s="6"/>
      <c r="G6363" s="6"/>
      <c r="K6363" s="6"/>
    </row>
    <row r="6364" spans="3:11" x14ac:dyDescent="0.25">
      <c r="C6364" s="6"/>
      <c r="G6364" s="6"/>
      <c r="K6364" s="6"/>
    </row>
    <row r="6365" spans="3:11" x14ac:dyDescent="0.25">
      <c r="C6365" s="6"/>
      <c r="G6365" s="6"/>
      <c r="K6365" s="6"/>
    </row>
    <row r="6366" spans="3:11" x14ac:dyDescent="0.25">
      <c r="C6366" s="6"/>
      <c r="G6366" s="6"/>
      <c r="K6366" s="6"/>
    </row>
    <row r="6367" spans="3:11" x14ac:dyDescent="0.25">
      <c r="C6367" s="6"/>
      <c r="G6367" s="6"/>
      <c r="K6367" s="6"/>
    </row>
    <row r="6368" spans="3:11" x14ac:dyDescent="0.25">
      <c r="C6368" s="6"/>
      <c r="G6368" s="6"/>
      <c r="K6368" s="6"/>
    </row>
    <row r="6369" spans="3:11" x14ac:dyDescent="0.25">
      <c r="C6369" s="6"/>
      <c r="G6369" s="6"/>
      <c r="K6369" s="6"/>
    </row>
    <row r="6370" spans="3:11" x14ac:dyDescent="0.25">
      <c r="C6370" s="6"/>
      <c r="G6370" s="6"/>
      <c r="K6370" s="6"/>
    </row>
    <row r="6371" spans="3:11" x14ac:dyDescent="0.25">
      <c r="C6371" s="6"/>
      <c r="G6371" s="6"/>
      <c r="K6371" s="6"/>
    </row>
    <row r="6372" spans="3:11" x14ac:dyDescent="0.25">
      <c r="C6372" s="6"/>
      <c r="G6372" s="6"/>
      <c r="K6372" s="6"/>
    </row>
    <row r="6373" spans="3:11" x14ac:dyDescent="0.25">
      <c r="C6373" s="6"/>
      <c r="G6373" s="6"/>
      <c r="K6373" s="6"/>
    </row>
    <row r="6374" spans="3:11" x14ac:dyDescent="0.25">
      <c r="C6374" s="6"/>
      <c r="G6374" s="6"/>
      <c r="K6374" s="6"/>
    </row>
    <row r="6375" spans="3:11" x14ac:dyDescent="0.25">
      <c r="C6375" s="6"/>
      <c r="G6375" s="6"/>
      <c r="K6375" s="6"/>
    </row>
    <row r="6376" spans="3:11" x14ac:dyDescent="0.25">
      <c r="C6376" s="6"/>
      <c r="G6376" s="6"/>
      <c r="K6376" s="6"/>
    </row>
    <row r="6377" spans="3:11" x14ac:dyDescent="0.25">
      <c r="C6377" s="6"/>
      <c r="G6377" s="6"/>
      <c r="K6377" s="6"/>
    </row>
    <row r="6378" spans="3:11" x14ac:dyDescent="0.25">
      <c r="C6378" s="6"/>
      <c r="G6378" s="6"/>
      <c r="K6378" s="6"/>
    </row>
    <row r="6379" spans="3:11" x14ac:dyDescent="0.25">
      <c r="C6379" s="6"/>
      <c r="G6379" s="6"/>
      <c r="K6379" s="6"/>
    </row>
    <row r="6380" spans="3:11" x14ac:dyDescent="0.25">
      <c r="C6380" s="6"/>
      <c r="G6380" s="6"/>
      <c r="K6380" s="6"/>
    </row>
    <row r="6381" spans="3:11" x14ac:dyDescent="0.25">
      <c r="C6381" s="6"/>
      <c r="G6381" s="6"/>
      <c r="K6381" s="6"/>
    </row>
    <row r="6382" spans="3:11" x14ac:dyDescent="0.25">
      <c r="C6382" s="6"/>
      <c r="G6382" s="6"/>
      <c r="K6382" s="6"/>
    </row>
    <row r="6383" spans="3:11" x14ac:dyDescent="0.25">
      <c r="C6383" s="6"/>
      <c r="G6383" s="6"/>
      <c r="K6383" s="6"/>
    </row>
    <row r="6384" spans="3:11" x14ac:dyDescent="0.25">
      <c r="C6384" s="6"/>
      <c r="G6384" s="6"/>
      <c r="K6384" s="6"/>
    </row>
    <row r="6385" spans="3:11" x14ac:dyDescent="0.25">
      <c r="C6385" s="6"/>
      <c r="G6385" s="6"/>
      <c r="K6385" s="6"/>
    </row>
    <row r="6386" spans="3:11" x14ac:dyDescent="0.25">
      <c r="C6386" s="6"/>
      <c r="G6386" s="6"/>
      <c r="K6386" s="6"/>
    </row>
    <row r="6387" spans="3:11" x14ac:dyDescent="0.25">
      <c r="C6387" s="6"/>
      <c r="G6387" s="6"/>
      <c r="K6387" s="6"/>
    </row>
    <row r="6388" spans="3:11" x14ac:dyDescent="0.25">
      <c r="C6388" s="6"/>
      <c r="G6388" s="6"/>
      <c r="K6388" s="6"/>
    </row>
    <row r="6389" spans="3:11" x14ac:dyDescent="0.25">
      <c r="C6389" s="6"/>
      <c r="G6389" s="6"/>
      <c r="K6389" s="6"/>
    </row>
    <row r="6390" spans="3:11" x14ac:dyDescent="0.25">
      <c r="C6390" s="6"/>
      <c r="G6390" s="6"/>
      <c r="K6390" s="6"/>
    </row>
    <row r="6391" spans="3:11" x14ac:dyDescent="0.25">
      <c r="C6391" s="6"/>
      <c r="G6391" s="6"/>
      <c r="K6391" s="6"/>
    </row>
    <row r="6392" spans="3:11" x14ac:dyDescent="0.25">
      <c r="C6392" s="6"/>
      <c r="G6392" s="6"/>
      <c r="K6392" s="6"/>
    </row>
    <row r="6393" spans="3:11" x14ac:dyDescent="0.25">
      <c r="C6393" s="6"/>
      <c r="G6393" s="6"/>
      <c r="K6393" s="6"/>
    </row>
    <row r="6394" spans="3:11" x14ac:dyDescent="0.25">
      <c r="C6394" s="6"/>
      <c r="G6394" s="6"/>
      <c r="K6394" s="6"/>
    </row>
    <row r="6395" spans="3:11" x14ac:dyDescent="0.25">
      <c r="C6395" s="6"/>
      <c r="G6395" s="6"/>
      <c r="K6395" s="6"/>
    </row>
    <row r="6396" spans="3:11" x14ac:dyDescent="0.25">
      <c r="C6396" s="6"/>
      <c r="G6396" s="6"/>
      <c r="K6396" s="6"/>
    </row>
    <row r="6397" spans="3:11" x14ac:dyDescent="0.25">
      <c r="C6397" s="6"/>
      <c r="G6397" s="6"/>
      <c r="K6397" s="6"/>
    </row>
    <row r="6398" spans="3:11" x14ac:dyDescent="0.25">
      <c r="C6398" s="6"/>
      <c r="G6398" s="6"/>
      <c r="K6398" s="6"/>
    </row>
    <row r="6399" spans="3:11" x14ac:dyDescent="0.25">
      <c r="C6399" s="6"/>
      <c r="G6399" s="6"/>
      <c r="K6399" s="6"/>
    </row>
    <row r="6400" spans="3:11" x14ac:dyDescent="0.25">
      <c r="C6400" s="6"/>
      <c r="G6400" s="6"/>
      <c r="K6400" s="6"/>
    </row>
    <row r="6401" spans="3:11" x14ac:dyDescent="0.25">
      <c r="C6401" s="6"/>
      <c r="G6401" s="6"/>
      <c r="K6401" s="6"/>
    </row>
    <row r="6402" spans="3:11" x14ac:dyDescent="0.25">
      <c r="C6402" s="6"/>
      <c r="G6402" s="6"/>
      <c r="K6402" s="6"/>
    </row>
    <row r="6403" spans="3:11" x14ac:dyDescent="0.25">
      <c r="C6403" s="6"/>
      <c r="G6403" s="6"/>
      <c r="K6403" s="6"/>
    </row>
    <row r="6404" spans="3:11" x14ac:dyDescent="0.25">
      <c r="C6404" s="6"/>
      <c r="G6404" s="6"/>
      <c r="K6404" s="6"/>
    </row>
    <row r="6405" spans="3:11" x14ac:dyDescent="0.25">
      <c r="C6405" s="6"/>
      <c r="G6405" s="6"/>
      <c r="K6405" s="6"/>
    </row>
    <row r="6406" spans="3:11" x14ac:dyDescent="0.25">
      <c r="C6406" s="6"/>
      <c r="G6406" s="6"/>
      <c r="K6406" s="6"/>
    </row>
    <row r="6407" spans="3:11" x14ac:dyDescent="0.25">
      <c r="C6407" s="6"/>
      <c r="G6407" s="6"/>
      <c r="K6407" s="6"/>
    </row>
    <row r="6408" spans="3:11" x14ac:dyDescent="0.25">
      <c r="C6408" s="6"/>
      <c r="G6408" s="6"/>
      <c r="K6408" s="6"/>
    </row>
    <row r="6409" spans="3:11" x14ac:dyDescent="0.25">
      <c r="C6409" s="6"/>
      <c r="G6409" s="6"/>
      <c r="K6409" s="6"/>
    </row>
    <row r="6410" spans="3:11" x14ac:dyDescent="0.25">
      <c r="C6410" s="6"/>
      <c r="G6410" s="6"/>
      <c r="K6410" s="6"/>
    </row>
    <row r="6411" spans="3:11" x14ac:dyDescent="0.25">
      <c r="C6411" s="6"/>
      <c r="G6411" s="6"/>
      <c r="K6411" s="6"/>
    </row>
    <row r="6412" spans="3:11" x14ac:dyDescent="0.25">
      <c r="C6412" s="6"/>
      <c r="G6412" s="6"/>
      <c r="K6412" s="6"/>
    </row>
    <row r="6413" spans="3:11" x14ac:dyDescent="0.25">
      <c r="C6413" s="6"/>
      <c r="G6413" s="6"/>
      <c r="K6413" s="6"/>
    </row>
    <row r="6414" spans="3:11" x14ac:dyDescent="0.25">
      <c r="C6414" s="6"/>
      <c r="G6414" s="6"/>
      <c r="K6414" s="6"/>
    </row>
    <row r="6415" spans="3:11" x14ac:dyDescent="0.25">
      <c r="C6415" s="6"/>
      <c r="G6415" s="6"/>
      <c r="K6415" s="6"/>
    </row>
    <row r="6416" spans="3:11" x14ac:dyDescent="0.25">
      <c r="C6416" s="6"/>
      <c r="G6416" s="6"/>
      <c r="K6416" s="6"/>
    </row>
    <row r="6417" spans="3:11" x14ac:dyDescent="0.25">
      <c r="C6417" s="6"/>
      <c r="G6417" s="6"/>
      <c r="K6417" s="6"/>
    </row>
    <row r="6418" spans="3:11" x14ac:dyDescent="0.25">
      <c r="C6418" s="6"/>
      <c r="G6418" s="6"/>
      <c r="K6418" s="6"/>
    </row>
    <row r="6419" spans="3:11" x14ac:dyDescent="0.25">
      <c r="C6419" s="6"/>
      <c r="G6419" s="6"/>
      <c r="K6419" s="6"/>
    </row>
    <row r="6420" spans="3:11" x14ac:dyDescent="0.25">
      <c r="C6420" s="6"/>
      <c r="G6420" s="6"/>
      <c r="K6420" s="6"/>
    </row>
    <row r="6421" spans="3:11" x14ac:dyDescent="0.25">
      <c r="C6421" s="6"/>
      <c r="G6421" s="6"/>
      <c r="K6421" s="6"/>
    </row>
    <row r="6422" spans="3:11" x14ac:dyDescent="0.25">
      <c r="C6422" s="6"/>
      <c r="G6422" s="6"/>
      <c r="K6422" s="6"/>
    </row>
    <row r="6423" spans="3:11" x14ac:dyDescent="0.25">
      <c r="C6423" s="6"/>
      <c r="G6423" s="6"/>
      <c r="K6423" s="6"/>
    </row>
    <row r="6424" spans="3:11" x14ac:dyDescent="0.25">
      <c r="C6424" s="6"/>
      <c r="G6424" s="6"/>
      <c r="K6424" s="6"/>
    </row>
    <row r="6425" spans="3:11" x14ac:dyDescent="0.25">
      <c r="C6425" s="6"/>
      <c r="G6425" s="6"/>
      <c r="K6425" s="6"/>
    </row>
    <row r="6426" spans="3:11" x14ac:dyDescent="0.25">
      <c r="C6426" s="6"/>
      <c r="G6426" s="6"/>
      <c r="K6426" s="6"/>
    </row>
    <row r="6427" spans="3:11" x14ac:dyDescent="0.25">
      <c r="C6427" s="6"/>
      <c r="G6427" s="6"/>
      <c r="K6427" s="6"/>
    </row>
    <row r="6428" spans="3:11" x14ac:dyDescent="0.25">
      <c r="C6428" s="6"/>
      <c r="G6428" s="6"/>
      <c r="K6428" s="6"/>
    </row>
    <row r="6429" spans="3:11" x14ac:dyDescent="0.25">
      <c r="C6429" s="6"/>
      <c r="G6429" s="6"/>
      <c r="K6429" s="6"/>
    </row>
    <row r="6430" spans="3:11" x14ac:dyDescent="0.25">
      <c r="C6430" s="6"/>
      <c r="G6430" s="6"/>
      <c r="K6430" s="6"/>
    </row>
    <row r="6431" spans="3:11" x14ac:dyDescent="0.25">
      <c r="C6431" s="6"/>
      <c r="G6431" s="6"/>
      <c r="K6431" s="6"/>
    </row>
    <row r="6432" spans="3:11" x14ac:dyDescent="0.25">
      <c r="C6432" s="6"/>
      <c r="G6432" s="6"/>
      <c r="K6432" s="6"/>
    </row>
    <row r="6433" spans="3:11" x14ac:dyDescent="0.25">
      <c r="C6433" s="6"/>
      <c r="G6433" s="6"/>
      <c r="K6433" s="6"/>
    </row>
    <row r="6434" spans="3:11" x14ac:dyDescent="0.25">
      <c r="C6434" s="6"/>
      <c r="G6434" s="6"/>
      <c r="K6434" s="6"/>
    </row>
    <row r="6435" spans="3:11" x14ac:dyDescent="0.25">
      <c r="C6435" s="6"/>
      <c r="G6435" s="6"/>
      <c r="K6435" s="6"/>
    </row>
    <row r="6436" spans="3:11" x14ac:dyDescent="0.25">
      <c r="C6436" s="6"/>
      <c r="G6436" s="6"/>
      <c r="K6436" s="6"/>
    </row>
    <row r="6437" spans="3:11" x14ac:dyDescent="0.25">
      <c r="C6437" s="6"/>
      <c r="G6437" s="6"/>
      <c r="K6437" s="6"/>
    </row>
    <row r="6438" spans="3:11" x14ac:dyDescent="0.25">
      <c r="C6438" s="6"/>
      <c r="G6438" s="6"/>
      <c r="K6438" s="6"/>
    </row>
    <row r="6439" spans="3:11" x14ac:dyDescent="0.25">
      <c r="C6439" s="6"/>
      <c r="G6439" s="6"/>
      <c r="K6439" s="6"/>
    </row>
    <row r="6440" spans="3:11" x14ac:dyDescent="0.25">
      <c r="C6440" s="6"/>
      <c r="G6440" s="6"/>
      <c r="K6440" s="6"/>
    </row>
    <row r="6441" spans="3:11" x14ac:dyDescent="0.25">
      <c r="C6441" s="6"/>
      <c r="G6441" s="6"/>
      <c r="K6441" s="6"/>
    </row>
    <row r="6442" spans="3:11" x14ac:dyDescent="0.25">
      <c r="C6442" s="6"/>
      <c r="G6442" s="6"/>
      <c r="K6442" s="6"/>
    </row>
    <row r="6443" spans="3:11" x14ac:dyDescent="0.25">
      <c r="C6443" s="6"/>
      <c r="G6443" s="6"/>
      <c r="K6443" s="6"/>
    </row>
    <row r="6444" spans="3:11" x14ac:dyDescent="0.25">
      <c r="C6444" s="6"/>
      <c r="G6444" s="6"/>
      <c r="K6444" s="6"/>
    </row>
    <row r="6445" spans="3:11" x14ac:dyDescent="0.25">
      <c r="C6445" s="6"/>
      <c r="G6445" s="6"/>
      <c r="K6445" s="6"/>
    </row>
    <row r="6446" spans="3:11" x14ac:dyDescent="0.25">
      <c r="C6446" s="6"/>
      <c r="G6446" s="6"/>
      <c r="K6446" s="6"/>
    </row>
    <row r="6447" spans="3:11" x14ac:dyDescent="0.25">
      <c r="C6447" s="6"/>
      <c r="G6447" s="6"/>
      <c r="K6447" s="6"/>
    </row>
    <row r="6448" spans="3:11" x14ac:dyDescent="0.25">
      <c r="C6448" s="6"/>
      <c r="G6448" s="6"/>
      <c r="K6448" s="6"/>
    </row>
    <row r="6449" spans="3:11" x14ac:dyDescent="0.25">
      <c r="C6449" s="6"/>
      <c r="G6449" s="6"/>
      <c r="K6449" s="6"/>
    </row>
    <row r="6450" spans="3:11" x14ac:dyDescent="0.25">
      <c r="C6450" s="6"/>
      <c r="G6450" s="6"/>
      <c r="K6450" s="6"/>
    </row>
    <row r="6451" spans="3:11" x14ac:dyDescent="0.25">
      <c r="C6451" s="6"/>
      <c r="G6451" s="6"/>
      <c r="K6451" s="6"/>
    </row>
    <row r="6452" spans="3:11" x14ac:dyDescent="0.25">
      <c r="C6452" s="6"/>
      <c r="G6452" s="6"/>
      <c r="K6452" s="6"/>
    </row>
    <row r="6453" spans="3:11" x14ac:dyDescent="0.25">
      <c r="C6453" s="6"/>
      <c r="G6453" s="6"/>
      <c r="K6453" s="6"/>
    </row>
    <row r="6454" spans="3:11" x14ac:dyDescent="0.25">
      <c r="C6454" s="6"/>
      <c r="G6454" s="6"/>
      <c r="K6454" s="6"/>
    </row>
    <row r="6455" spans="3:11" x14ac:dyDescent="0.25">
      <c r="C6455" s="6"/>
      <c r="G6455" s="6"/>
      <c r="K6455" s="6"/>
    </row>
    <row r="6456" spans="3:11" x14ac:dyDescent="0.25">
      <c r="C6456" s="6"/>
      <c r="G6456" s="6"/>
      <c r="K6456" s="6"/>
    </row>
    <row r="6457" spans="3:11" x14ac:dyDescent="0.25">
      <c r="C6457" s="6"/>
      <c r="G6457" s="6"/>
      <c r="K6457" s="6"/>
    </row>
    <row r="6458" spans="3:11" x14ac:dyDescent="0.25">
      <c r="C6458" s="6"/>
      <c r="G6458" s="6"/>
      <c r="K6458" s="6"/>
    </row>
    <row r="6459" spans="3:11" x14ac:dyDescent="0.25">
      <c r="C6459" s="6"/>
      <c r="G6459" s="6"/>
      <c r="K6459" s="6"/>
    </row>
    <row r="6460" spans="3:11" x14ac:dyDescent="0.25">
      <c r="C6460" s="6"/>
      <c r="G6460" s="6"/>
      <c r="K6460" s="6"/>
    </row>
    <row r="6461" spans="3:11" x14ac:dyDescent="0.25">
      <c r="C6461" s="6"/>
      <c r="G6461" s="6"/>
      <c r="K6461" s="6"/>
    </row>
    <row r="6462" spans="3:11" x14ac:dyDescent="0.25">
      <c r="C6462" s="6"/>
      <c r="G6462" s="6"/>
      <c r="K6462" s="6"/>
    </row>
    <row r="6463" spans="3:11" x14ac:dyDescent="0.25">
      <c r="C6463" s="6"/>
      <c r="G6463" s="6"/>
      <c r="K6463" s="6"/>
    </row>
    <row r="6464" spans="3:11" x14ac:dyDescent="0.25">
      <c r="C6464" s="6"/>
      <c r="G6464" s="6"/>
      <c r="K6464" s="6"/>
    </row>
    <row r="6465" spans="3:11" x14ac:dyDescent="0.25">
      <c r="C6465" s="6"/>
      <c r="G6465" s="6"/>
      <c r="K6465" s="6"/>
    </row>
    <row r="6466" spans="3:11" x14ac:dyDescent="0.25">
      <c r="C6466" s="6"/>
      <c r="G6466" s="6"/>
      <c r="K6466" s="6"/>
    </row>
    <row r="6467" spans="3:11" x14ac:dyDescent="0.25">
      <c r="C6467" s="6"/>
      <c r="G6467" s="6"/>
      <c r="K6467" s="6"/>
    </row>
    <row r="6468" spans="3:11" x14ac:dyDescent="0.25">
      <c r="C6468" s="6"/>
      <c r="G6468" s="6"/>
      <c r="K6468" s="6"/>
    </row>
    <row r="6469" spans="3:11" x14ac:dyDescent="0.25">
      <c r="C6469" s="6"/>
      <c r="G6469" s="6"/>
      <c r="K6469" s="6"/>
    </row>
    <row r="6470" spans="3:11" x14ac:dyDescent="0.25">
      <c r="C6470" s="6"/>
      <c r="G6470" s="6"/>
      <c r="K6470" s="6"/>
    </row>
    <row r="6471" spans="3:11" x14ac:dyDescent="0.25">
      <c r="C6471" s="6"/>
      <c r="G6471" s="6"/>
      <c r="K6471" s="6"/>
    </row>
    <row r="6472" spans="3:11" x14ac:dyDescent="0.25">
      <c r="C6472" s="6"/>
      <c r="G6472" s="6"/>
      <c r="K6472" s="6"/>
    </row>
    <row r="6473" spans="3:11" x14ac:dyDescent="0.25">
      <c r="C6473" s="6"/>
      <c r="G6473" s="6"/>
      <c r="K6473" s="6"/>
    </row>
    <row r="6474" spans="3:11" x14ac:dyDescent="0.25">
      <c r="C6474" s="6"/>
      <c r="G6474" s="6"/>
      <c r="K6474" s="6"/>
    </row>
    <row r="6475" spans="3:11" x14ac:dyDescent="0.25">
      <c r="C6475" s="6"/>
      <c r="G6475" s="6"/>
      <c r="K6475" s="6"/>
    </row>
    <row r="6476" spans="3:11" x14ac:dyDescent="0.25">
      <c r="C6476" s="6"/>
      <c r="G6476" s="6"/>
      <c r="K6476" s="6"/>
    </row>
    <row r="6477" spans="3:11" x14ac:dyDescent="0.25">
      <c r="C6477" s="6"/>
      <c r="G6477" s="6"/>
      <c r="K6477" s="6"/>
    </row>
    <row r="6478" spans="3:11" x14ac:dyDescent="0.25">
      <c r="C6478" s="6"/>
      <c r="G6478" s="6"/>
      <c r="K6478" s="6"/>
    </row>
    <row r="6479" spans="3:11" x14ac:dyDescent="0.25">
      <c r="C6479" s="6"/>
      <c r="G6479" s="6"/>
      <c r="K6479" s="6"/>
    </row>
    <row r="6480" spans="3:11" x14ac:dyDescent="0.25">
      <c r="C6480" s="6"/>
      <c r="G6480" s="6"/>
      <c r="K6480" s="6"/>
    </row>
    <row r="6481" spans="3:11" x14ac:dyDescent="0.25">
      <c r="C6481" s="6"/>
      <c r="G6481" s="6"/>
      <c r="K6481" s="6"/>
    </row>
    <row r="6482" spans="3:11" x14ac:dyDescent="0.25">
      <c r="C6482" s="6"/>
      <c r="G6482" s="6"/>
      <c r="K6482" s="6"/>
    </row>
    <row r="6483" spans="3:11" x14ac:dyDescent="0.25">
      <c r="C6483" s="6"/>
      <c r="G6483" s="6"/>
      <c r="K6483" s="6"/>
    </row>
    <row r="6484" spans="3:11" x14ac:dyDescent="0.25">
      <c r="C6484" s="6"/>
      <c r="G6484" s="6"/>
      <c r="K6484" s="6"/>
    </row>
    <row r="6485" spans="3:11" x14ac:dyDescent="0.25">
      <c r="C6485" s="6"/>
      <c r="G6485" s="6"/>
      <c r="K6485" s="6"/>
    </row>
    <row r="6486" spans="3:11" x14ac:dyDescent="0.25">
      <c r="C6486" s="6"/>
      <c r="G6486" s="6"/>
      <c r="K6486" s="6"/>
    </row>
    <row r="6487" spans="3:11" x14ac:dyDescent="0.25">
      <c r="C6487" s="6"/>
      <c r="G6487" s="6"/>
      <c r="K6487" s="6"/>
    </row>
    <row r="6488" spans="3:11" x14ac:dyDescent="0.25">
      <c r="C6488" s="6"/>
      <c r="G6488" s="6"/>
      <c r="K6488" s="6"/>
    </row>
    <row r="6489" spans="3:11" x14ac:dyDescent="0.25">
      <c r="C6489" s="6"/>
      <c r="G6489" s="6"/>
      <c r="K6489" s="6"/>
    </row>
    <row r="6490" spans="3:11" x14ac:dyDescent="0.25">
      <c r="C6490" s="6"/>
      <c r="G6490" s="6"/>
      <c r="K6490" s="6"/>
    </row>
    <row r="6491" spans="3:11" x14ac:dyDescent="0.25">
      <c r="C6491" s="6"/>
      <c r="G6491" s="6"/>
      <c r="K6491" s="6"/>
    </row>
    <row r="6492" spans="3:11" x14ac:dyDescent="0.25">
      <c r="C6492" s="6"/>
      <c r="G6492" s="6"/>
      <c r="K6492" s="6"/>
    </row>
    <row r="6493" spans="3:11" x14ac:dyDescent="0.25">
      <c r="C6493" s="6"/>
      <c r="G6493" s="6"/>
      <c r="K6493" s="6"/>
    </row>
    <row r="6494" spans="3:11" x14ac:dyDescent="0.25">
      <c r="C6494" s="6"/>
      <c r="G6494" s="6"/>
      <c r="K6494" s="6"/>
    </row>
    <row r="6495" spans="3:11" x14ac:dyDescent="0.25">
      <c r="C6495" s="6"/>
      <c r="G6495" s="6"/>
      <c r="K6495" s="6"/>
    </row>
    <row r="6496" spans="3:11" x14ac:dyDescent="0.25">
      <c r="C6496" s="6"/>
      <c r="G6496" s="6"/>
      <c r="K6496" s="6"/>
    </row>
    <row r="6497" spans="3:11" x14ac:dyDescent="0.25">
      <c r="C6497" s="6"/>
      <c r="G6497" s="6"/>
      <c r="K6497" s="6"/>
    </row>
    <row r="6498" spans="3:11" x14ac:dyDescent="0.25">
      <c r="C6498" s="6"/>
      <c r="G6498" s="6"/>
      <c r="K6498" s="6"/>
    </row>
    <row r="6499" spans="3:11" x14ac:dyDescent="0.25">
      <c r="C6499" s="6"/>
      <c r="G6499" s="6"/>
      <c r="K6499" s="6"/>
    </row>
    <row r="6500" spans="3:11" x14ac:dyDescent="0.25">
      <c r="C6500" s="6"/>
      <c r="G6500" s="6"/>
      <c r="K6500" s="6"/>
    </row>
    <row r="6501" spans="3:11" x14ac:dyDescent="0.25">
      <c r="C6501" s="6"/>
      <c r="G6501" s="6"/>
      <c r="K6501" s="6"/>
    </row>
    <row r="6502" spans="3:11" x14ac:dyDescent="0.25">
      <c r="C6502" s="6"/>
      <c r="G6502" s="6"/>
      <c r="K6502" s="6"/>
    </row>
    <row r="6503" spans="3:11" x14ac:dyDescent="0.25">
      <c r="C6503" s="6"/>
      <c r="G6503" s="6"/>
      <c r="K6503" s="6"/>
    </row>
    <row r="6504" spans="3:11" x14ac:dyDescent="0.25">
      <c r="C6504" s="6"/>
      <c r="G6504" s="6"/>
      <c r="K6504" s="6"/>
    </row>
    <row r="6505" spans="3:11" x14ac:dyDescent="0.25">
      <c r="C6505" s="6"/>
      <c r="G6505" s="6"/>
      <c r="K6505" s="6"/>
    </row>
    <row r="6506" spans="3:11" x14ac:dyDescent="0.25">
      <c r="C6506" s="6"/>
      <c r="G6506" s="6"/>
      <c r="K6506" s="6"/>
    </row>
    <row r="6507" spans="3:11" x14ac:dyDescent="0.25">
      <c r="C6507" s="6"/>
      <c r="G6507" s="6"/>
      <c r="K6507" s="6"/>
    </row>
    <row r="6508" spans="3:11" x14ac:dyDescent="0.25">
      <c r="C6508" s="6"/>
      <c r="G6508" s="6"/>
      <c r="K6508" s="6"/>
    </row>
    <row r="6509" spans="3:11" x14ac:dyDescent="0.25">
      <c r="C6509" s="6"/>
      <c r="G6509" s="6"/>
      <c r="K6509" s="6"/>
    </row>
    <row r="6510" spans="3:11" x14ac:dyDescent="0.25">
      <c r="C6510" s="6"/>
      <c r="G6510" s="6"/>
      <c r="K6510" s="6"/>
    </row>
    <row r="6511" spans="3:11" x14ac:dyDescent="0.25">
      <c r="C6511" s="6"/>
      <c r="G6511" s="6"/>
      <c r="K6511" s="6"/>
    </row>
    <row r="6512" spans="3:11" x14ac:dyDescent="0.25">
      <c r="C6512" s="6"/>
      <c r="G6512" s="6"/>
      <c r="K6512" s="6"/>
    </row>
    <row r="6513" spans="3:11" x14ac:dyDescent="0.25">
      <c r="C6513" s="6"/>
      <c r="G6513" s="6"/>
      <c r="K6513" s="6"/>
    </row>
    <row r="6514" spans="3:11" x14ac:dyDescent="0.25">
      <c r="C6514" s="6"/>
      <c r="G6514" s="6"/>
      <c r="K6514" s="6"/>
    </row>
    <row r="6515" spans="3:11" x14ac:dyDescent="0.25">
      <c r="C6515" s="6"/>
      <c r="G6515" s="6"/>
      <c r="K6515" s="6"/>
    </row>
    <row r="6516" spans="3:11" x14ac:dyDescent="0.25">
      <c r="C6516" s="6"/>
      <c r="G6516" s="6"/>
      <c r="K6516" s="6"/>
    </row>
    <row r="6517" spans="3:11" x14ac:dyDescent="0.25">
      <c r="C6517" s="6"/>
      <c r="G6517" s="6"/>
      <c r="K6517" s="6"/>
    </row>
    <row r="6518" spans="3:11" x14ac:dyDescent="0.25">
      <c r="C6518" s="6"/>
      <c r="G6518" s="6"/>
      <c r="K6518" s="6"/>
    </row>
    <row r="6519" spans="3:11" x14ac:dyDescent="0.25">
      <c r="C6519" s="6"/>
      <c r="G6519" s="6"/>
      <c r="K6519" s="6"/>
    </row>
    <row r="6520" spans="3:11" x14ac:dyDescent="0.25">
      <c r="C6520" s="6"/>
      <c r="G6520" s="6"/>
      <c r="K6520" s="6"/>
    </row>
    <row r="6521" spans="3:11" x14ac:dyDescent="0.25">
      <c r="C6521" s="6"/>
      <c r="G6521" s="6"/>
      <c r="K6521" s="6"/>
    </row>
    <row r="6522" spans="3:11" x14ac:dyDescent="0.25">
      <c r="C6522" s="6"/>
      <c r="G6522" s="6"/>
      <c r="K6522" s="6"/>
    </row>
    <row r="6523" spans="3:11" x14ac:dyDescent="0.25">
      <c r="C6523" s="6"/>
      <c r="G6523" s="6"/>
      <c r="K6523" s="6"/>
    </row>
    <row r="6524" spans="3:11" x14ac:dyDescent="0.25">
      <c r="C6524" s="6"/>
      <c r="G6524" s="6"/>
      <c r="K6524" s="6"/>
    </row>
    <row r="6525" spans="3:11" x14ac:dyDescent="0.25">
      <c r="C6525" s="6"/>
      <c r="G6525" s="6"/>
      <c r="K6525" s="6"/>
    </row>
    <row r="6526" spans="3:11" x14ac:dyDescent="0.25">
      <c r="C6526" s="6"/>
      <c r="G6526" s="6"/>
      <c r="K6526" s="6"/>
    </row>
    <row r="6527" spans="3:11" x14ac:dyDescent="0.25">
      <c r="C6527" s="6"/>
      <c r="G6527" s="6"/>
      <c r="K6527" s="6"/>
    </row>
    <row r="6528" spans="3:11" x14ac:dyDescent="0.25">
      <c r="C6528" s="6"/>
      <c r="G6528" s="6"/>
      <c r="K6528" s="6"/>
    </row>
    <row r="6529" spans="3:11" x14ac:dyDescent="0.25">
      <c r="C6529" s="6"/>
      <c r="G6529" s="6"/>
      <c r="K6529" s="6"/>
    </row>
    <row r="6530" spans="3:11" x14ac:dyDescent="0.25">
      <c r="C6530" s="6"/>
      <c r="G6530" s="6"/>
      <c r="K6530" s="6"/>
    </row>
    <row r="6531" spans="3:11" x14ac:dyDescent="0.25">
      <c r="C6531" s="6"/>
      <c r="G6531" s="6"/>
      <c r="K6531" s="6"/>
    </row>
    <row r="6532" spans="3:11" x14ac:dyDescent="0.25">
      <c r="C6532" s="6"/>
      <c r="G6532" s="6"/>
      <c r="K6532" s="6"/>
    </row>
    <row r="6533" spans="3:11" x14ac:dyDescent="0.25">
      <c r="C6533" s="6"/>
      <c r="G6533" s="6"/>
      <c r="K6533" s="6"/>
    </row>
    <row r="6534" spans="3:11" x14ac:dyDescent="0.25">
      <c r="C6534" s="6"/>
      <c r="G6534" s="6"/>
      <c r="K6534" s="6"/>
    </row>
    <row r="6535" spans="3:11" x14ac:dyDescent="0.25">
      <c r="C6535" s="6"/>
      <c r="G6535" s="6"/>
      <c r="K6535" s="6"/>
    </row>
    <row r="6536" spans="3:11" x14ac:dyDescent="0.25">
      <c r="C6536" s="6"/>
      <c r="G6536" s="6"/>
      <c r="K6536" s="6"/>
    </row>
    <row r="6537" spans="3:11" x14ac:dyDescent="0.25">
      <c r="C6537" s="6"/>
      <c r="G6537" s="6"/>
      <c r="K6537" s="6"/>
    </row>
    <row r="6538" spans="3:11" x14ac:dyDescent="0.25">
      <c r="C6538" s="6"/>
      <c r="G6538" s="6"/>
      <c r="K6538" s="6"/>
    </row>
    <row r="6539" spans="3:11" x14ac:dyDescent="0.25">
      <c r="C6539" s="6"/>
      <c r="G6539" s="6"/>
      <c r="K6539" s="6"/>
    </row>
    <row r="6540" spans="3:11" x14ac:dyDescent="0.25">
      <c r="C6540" s="6"/>
      <c r="G6540" s="6"/>
      <c r="K6540" s="6"/>
    </row>
    <row r="6541" spans="3:11" x14ac:dyDescent="0.25">
      <c r="C6541" s="6"/>
      <c r="G6541" s="6"/>
      <c r="K6541" s="6"/>
    </row>
    <row r="6542" spans="3:11" x14ac:dyDescent="0.25">
      <c r="C6542" s="6"/>
      <c r="G6542" s="6"/>
      <c r="K6542" s="6"/>
    </row>
    <row r="6543" spans="3:11" x14ac:dyDescent="0.25">
      <c r="C6543" s="6"/>
      <c r="G6543" s="6"/>
      <c r="K6543" s="6"/>
    </row>
    <row r="6544" spans="3:11" x14ac:dyDescent="0.25">
      <c r="C6544" s="6"/>
      <c r="G6544" s="6"/>
      <c r="K6544" s="6"/>
    </row>
    <row r="6545" spans="3:11" x14ac:dyDescent="0.25">
      <c r="C6545" s="6"/>
      <c r="G6545" s="6"/>
      <c r="K6545" s="6"/>
    </row>
    <row r="6546" spans="3:11" x14ac:dyDescent="0.25">
      <c r="C6546" s="6"/>
      <c r="G6546" s="6"/>
      <c r="K6546" s="6"/>
    </row>
    <row r="6547" spans="3:11" x14ac:dyDescent="0.25">
      <c r="C6547" s="6"/>
      <c r="G6547" s="6"/>
      <c r="K6547" s="6"/>
    </row>
    <row r="6548" spans="3:11" x14ac:dyDescent="0.25">
      <c r="C6548" s="6"/>
      <c r="G6548" s="6"/>
      <c r="K6548" s="6"/>
    </row>
    <row r="6549" spans="3:11" x14ac:dyDescent="0.25">
      <c r="C6549" s="6"/>
      <c r="G6549" s="6"/>
      <c r="K6549" s="6"/>
    </row>
    <row r="6550" spans="3:11" x14ac:dyDescent="0.25">
      <c r="C6550" s="6"/>
      <c r="G6550" s="6"/>
      <c r="K6550" s="6"/>
    </row>
    <row r="6551" spans="3:11" x14ac:dyDescent="0.25">
      <c r="C6551" s="6"/>
      <c r="G6551" s="6"/>
      <c r="K6551" s="6"/>
    </row>
    <row r="6552" spans="3:11" x14ac:dyDescent="0.25">
      <c r="C6552" s="6"/>
      <c r="G6552" s="6"/>
      <c r="K6552" s="6"/>
    </row>
    <row r="6553" spans="3:11" x14ac:dyDescent="0.25">
      <c r="C6553" s="6"/>
      <c r="G6553" s="6"/>
      <c r="K6553" s="6"/>
    </row>
    <row r="6554" spans="3:11" x14ac:dyDescent="0.25">
      <c r="C6554" s="6"/>
      <c r="G6554" s="6"/>
      <c r="K6554" s="6"/>
    </row>
    <row r="6555" spans="3:11" x14ac:dyDescent="0.25">
      <c r="C6555" s="6"/>
      <c r="G6555" s="6"/>
      <c r="K6555" s="6"/>
    </row>
    <row r="6556" spans="3:11" x14ac:dyDescent="0.25">
      <c r="C6556" s="6"/>
      <c r="G6556" s="6"/>
      <c r="K6556" s="6"/>
    </row>
    <row r="6557" spans="3:11" x14ac:dyDescent="0.25">
      <c r="C6557" s="6"/>
      <c r="G6557" s="6"/>
      <c r="K6557" s="6"/>
    </row>
    <row r="6558" spans="3:11" x14ac:dyDescent="0.25">
      <c r="C6558" s="6"/>
      <c r="G6558" s="6"/>
      <c r="K6558" s="6"/>
    </row>
    <row r="6559" spans="3:11" x14ac:dyDescent="0.25">
      <c r="C6559" s="6"/>
      <c r="G6559" s="6"/>
      <c r="K6559" s="6"/>
    </row>
    <row r="6560" spans="3:11" x14ac:dyDescent="0.25">
      <c r="C6560" s="6"/>
      <c r="G6560" s="6"/>
      <c r="K6560" s="6"/>
    </row>
    <row r="6561" spans="3:11" x14ac:dyDescent="0.25">
      <c r="C6561" s="6"/>
      <c r="G6561" s="6"/>
      <c r="K6561" s="6"/>
    </row>
    <row r="6562" spans="3:11" x14ac:dyDescent="0.25">
      <c r="C6562" s="6"/>
      <c r="G6562" s="6"/>
      <c r="K6562" s="6"/>
    </row>
    <row r="6563" spans="3:11" x14ac:dyDescent="0.25">
      <c r="C6563" s="6"/>
      <c r="G6563" s="6"/>
      <c r="K6563" s="6"/>
    </row>
    <row r="6564" spans="3:11" x14ac:dyDescent="0.25">
      <c r="C6564" s="6"/>
      <c r="G6564" s="6"/>
      <c r="K6564" s="6"/>
    </row>
    <row r="6565" spans="3:11" x14ac:dyDescent="0.25">
      <c r="C6565" s="6"/>
      <c r="G6565" s="6"/>
      <c r="K6565" s="6"/>
    </row>
    <row r="6566" spans="3:11" x14ac:dyDescent="0.25">
      <c r="C6566" s="6"/>
      <c r="G6566" s="6"/>
      <c r="K6566" s="6"/>
    </row>
    <row r="6567" spans="3:11" x14ac:dyDescent="0.25">
      <c r="C6567" s="6"/>
      <c r="G6567" s="6"/>
      <c r="K6567" s="6"/>
    </row>
    <row r="6568" spans="3:11" x14ac:dyDescent="0.25">
      <c r="C6568" s="6"/>
      <c r="G6568" s="6"/>
      <c r="K6568" s="6"/>
    </row>
    <row r="6569" spans="3:11" x14ac:dyDescent="0.25">
      <c r="C6569" s="6"/>
      <c r="G6569" s="6"/>
      <c r="K6569" s="6"/>
    </row>
    <row r="6570" spans="3:11" x14ac:dyDescent="0.25">
      <c r="C6570" s="6"/>
      <c r="G6570" s="6"/>
      <c r="K6570" s="6"/>
    </row>
    <row r="6571" spans="3:11" x14ac:dyDescent="0.25">
      <c r="C6571" s="6"/>
      <c r="G6571" s="6"/>
      <c r="K6571" s="6"/>
    </row>
    <row r="6572" spans="3:11" x14ac:dyDescent="0.25">
      <c r="C6572" s="6"/>
      <c r="G6572" s="6"/>
      <c r="K6572" s="6"/>
    </row>
    <row r="6573" spans="3:11" x14ac:dyDescent="0.25">
      <c r="C6573" s="6"/>
      <c r="G6573" s="6"/>
      <c r="K6573" s="6"/>
    </row>
    <row r="6574" spans="3:11" x14ac:dyDescent="0.25">
      <c r="C6574" s="6"/>
      <c r="G6574" s="6"/>
      <c r="K6574" s="6"/>
    </row>
    <row r="6575" spans="3:11" x14ac:dyDescent="0.25">
      <c r="C6575" s="6"/>
      <c r="G6575" s="6"/>
      <c r="K6575" s="6"/>
    </row>
    <row r="6576" spans="3:11" x14ac:dyDescent="0.25">
      <c r="C6576" s="6"/>
      <c r="G6576" s="6"/>
      <c r="K6576" s="6"/>
    </row>
    <row r="6577" spans="3:11" x14ac:dyDescent="0.25">
      <c r="C6577" s="6"/>
      <c r="G6577" s="6"/>
      <c r="K6577" s="6"/>
    </row>
    <row r="6578" spans="3:11" x14ac:dyDescent="0.25">
      <c r="C6578" s="6"/>
      <c r="G6578" s="6"/>
      <c r="K6578" s="6"/>
    </row>
    <row r="6579" spans="3:11" x14ac:dyDescent="0.25">
      <c r="C6579" s="6"/>
      <c r="G6579" s="6"/>
      <c r="K6579" s="6"/>
    </row>
    <row r="6580" spans="3:11" x14ac:dyDescent="0.25">
      <c r="C6580" s="6"/>
      <c r="G6580" s="6"/>
      <c r="K6580" s="6"/>
    </row>
    <row r="6581" spans="3:11" x14ac:dyDescent="0.25">
      <c r="C6581" s="6"/>
      <c r="G6581" s="6"/>
      <c r="K6581" s="6"/>
    </row>
    <row r="6582" spans="3:11" x14ac:dyDescent="0.25">
      <c r="C6582" s="6"/>
      <c r="G6582" s="6"/>
      <c r="K6582" s="6"/>
    </row>
    <row r="6583" spans="3:11" x14ac:dyDescent="0.25">
      <c r="C6583" s="6"/>
      <c r="G6583" s="6"/>
      <c r="K6583" s="6"/>
    </row>
    <row r="6584" spans="3:11" x14ac:dyDescent="0.25">
      <c r="C6584" s="6"/>
      <c r="G6584" s="6"/>
      <c r="K6584" s="6"/>
    </row>
    <row r="6585" spans="3:11" x14ac:dyDescent="0.25">
      <c r="C6585" s="6"/>
      <c r="G6585" s="6"/>
      <c r="K6585" s="6"/>
    </row>
    <row r="6586" spans="3:11" x14ac:dyDescent="0.25">
      <c r="C6586" s="6"/>
      <c r="G6586" s="6"/>
      <c r="K6586" s="6"/>
    </row>
    <row r="6587" spans="3:11" x14ac:dyDescent="0.25">
      <c r="C6587" s="6"/>
      <c r="G6587" s="6"/>
      <c r="K6587" s="6"/>
    </row>
    <row r="6588" spans="3:11" x14ac:dyDescent="0.25">
      <c r="C6588" s="6"/>
      <c r="G6588" s="6"/>
      <c r="K6588" s="6"/>
    </row>
    <row r="6589" spans="3:11" x14ac:dyDescent="0.25">
      <c r="C6589" s="6"/>
      <c r="G6589" s="6"/>
      <c r="K6589" s="6"/>
    </row>
    <row r="6590" spans="3:11" x14ac:dyDescent="0.25">
      <c r="C6590" s="6"/>
      <c r="G6590" s="6"/>
      <c r="K6590" s="6"/>
    </row>
    <row r="6591" spans="3:11" x14ac:dyDescent="0.25">
      <c r="C6591" s="6"/>
      <c r="G6591" s="6"/>
      <c r="K6591" s="6"/>
    </row>
    <row r="6592" spans="3:11" x14ac:dyDescent="0.25">
      <c r="C6592" s="6"/>
      <c r="G6592" s="6"/>
      <c r="K6592" s="6"/>
    </row>
    <row r="6593" spans="3:11" x14ac:dyDescent="0.25">
      <c r="C6593" s="6"/>
      <c r="G6593" s="6"/>
      <c r="K6593" s="6"/>
    </row>
    <row r="6594" spans="3:11" x14ac:dyDescent="0.25">
      <c r="C6594" s="6"/>
      <c r="G6594" s="6"/>
      <c r="K6594" s="6"/>
    </row>
    <row r="6595" spans="3:11" x14ac:dyDescent="0.25">
      <c r="C6595" s="6"/>
      <c r="G6595" s="6"/>
      <c r="K6595" s="6"/>
    </row>
    <row r="6596" spans="3:11" x14ac:dyDescent="0.25">
      <c r="C6596" s="6"/>
      <c r="G6596" s="6"/>
      <c r="K6596" s="6"/>
    </row>
    <row r="6597" spans="3:11" x14ac:dyDescent="0.25">
      <c r="C6597" s="6"/>
      <c r="G6597" s="6"/>
      <c r="K6597" s="6"/>
    </row>
    <row r="6598" spans="3:11" x14ac:dyDescent="0.25">
      <c r="C6598" s="6"/>
      <c r="G6598" s="6"/>
      <c r="K6598" s="6"/>
    </row>
    <row r="6599" spans="3:11" x14ac:dyDescent="0.25">
      <c r="C6599" s="6"/>
      <c r="G6599" s="6"/>
      <c r="K6599" s="6"/>
    </row>
    <row r="6600" spans="3:11" x14ac:dyDescent="0.25">
      <c r="C6600" s="6"/>
      <c r="G6600" s="6"/>
      <c r="K6600" s="6"/>
    </row>
    <row r="6601" spans="3:11" x14ac:dyDescent="0.25">
      <c r="C6601" s="6"/>
      <c r="G6601" s="6"/>
      <c r="K6601" s="6"/>
    </row>
    <row r="6602" spans="3:11" x14ac:dyDescent="0.25">
      <c r="C6602" s="6"/>
      <c r="G6602" s="6"/>
      <c r="K6602" s="6"/>
    </row>
    <row r="6603" spans="3:11" x14ac:dyDescent="0.25">
      <c r="C6603" s="6"/>
      <c r="G6603" s="6"/>
      <c r="K6603" s="6"/>
    </row>
    <row r="6604" spans="3:11" x14ac:dyDescent="0.25">
      <c r="C6604" s="6"/>
      <c r="G6604" s="6"/>
      <c r="K6604" s="6"/>
    </row>
    <row r="6605" spans="3:11" x14ac:dyDescent="0.25">
      <c r="C6605" s="6"/>
      <c r="G6605" s="6"/>
      <c r="K6605" s="6"/>
    </row>
    <row r="6606" spans="3:11" x14ac:dyDescent="0.25">
      <c r="C6606" s="6"/>
      <c r="G6606" s="6"/>
      <c r="K6606" s="6"/>
    </row>
    <row r="6607" spans="3:11" x14ac:dyDescent="0.25">
      <c r="C6607" s="6"/>
      <c r="G6607" s="6"/>
      <c r="K6607" s="6"/>
    </row>
    <row r="6608" spans="3:11" x14ac:dyDescent="0.25">
      <c r="C6608" s="6"/>
      <c r="G6608" s="6"/>
      <c r="K6608" s="6"/>
    </row>
    <row r="6609" spans="3:11" x14ac:dyDescent="0.25">
      <c r="C6609" s="6"/>
      <c r="G6609" s="6"/>
      <c r="K6609" s="6"/>
    </row>
    <row r="6610" spans="3:11" x14ac:dyDescent="0.25">
      <c r="C6610" s="6"/>
      <c r="G6610" s="6"/>
      <c r="K6610" s="6"/>
    </row>
    <row r="6611" spans="3:11" x14ac:dyDescent="0.25">
      <c r="C6611" s="6"/>
      <c r="G6611" s="6"/>
      <c r="K6611" s="6"/>
    </row>
    <row r="6612" spans="3:11" x14ac:dyDescent="0.25">
      <c r="C6612" s="6"/>
      <c r="G6612" s="6"/>
      <c r="K6612" s="6"/>
    </row>
    <row r="6613" spans="3:11" x14ac:dyDescent="0.25">
      <c r="C6613" s="6"/>
      <c r="G6613" s="6"/>
      <c r="K6613" s="6"/>
    </row>
    <row r="6614" spans="3:11" x14ac:dyDescent="0.25">
      <c r="C6614" s="6"/>
      <c r="G6614" s="6"/>
      <c r="K6614" s="6"/>
    </row>
    <row r="6615" spans="3:11" x14ac:dyDescent="0.25">
      <c r="C6615" s="6"/>
      <c r="G6615" s="6"/>
      <c r="K6615" s="6"/>
    </row>
    <row r="6616" spans="3:11" x14ac:dyDescent="0.25">
      <c r="C6616" s="6"/>
      <c r="G6616" s="6"/>
      <c r="K6616" s="6"/>
    </row>
    <row r="6617" spans="3:11" x14ac:dyDescent="0.25">
      <c r="C6617" s="6"/>
      <c r="G6617" s="6"/>
      <c r="K6617" s="6"/>
    </row>
    <row r="6618" spans="3:11" x14ac:dyDescent="0.25">
      <c r="C6618" s="6"/>
      <c r="G6618" s="6"/>
      <c r="K6618" s="6"/>
    </row>
    <row r="6619" spans="3:11" x14ac:dyDescent="0.25">
      <c r="C6619" s="6"/>
      <c r="G6619" s="6"/>
      <c r="K6619" s="6"/>
    </row>
    <row r="6620" spans="3:11" x14ac:dyDescent="0.25">
      <c r="C6620" s="6"/>
      <c r="G6620" s="6"/>
      <c r="K6620" s="6"/>
    </row>
    <row r="6621" spans="3:11" x14ac:dyDescent="0.25">
      <c r="C6621" s="6"/>
      <c r="G6621" s="6"/>
      <c r="K6621" s="6"/>
    </row>
    <row r="6622" spans="3:11" x14ac:dyDescent="0.25">
      <c r="C6622" s="6"/>
      <c r="G6622" s="6"/>
      <c r="K6622" s="6"/>
    </row>
    <row r="6623" spans="3:11" x14ac:dyDescent="0.25">
      <c r="C6623" s="6"/>
      <c r="G6623" s="6"/>
      <c r="K6623" s="6"/>
    </row>
    <row r="6624" spans="3:11" x14ac:dyDescent="0.25">
      <c r="C6624" s="6"/>
      <c r="G6624" s="6"/>
      <c r="K6624" s="6"/>
    </row>
    <row r="6625" spans="3:11" x14ac:dyDescent="0.25">
      <c r="C6625" s="6"/>
      <c r="G6625" s="6"/>
      <c r="K6625" s="6"/>
    </row>
    <row r="6626" spans="3:11" x14ac:dyDescent="0.25">
      <c r="C6626" s="6"/>
      <c r="G6626" s="6"/>
      <c r="K6626" s="6"/>
    </row>
    <row r="6627" spans="3:11" x14ac:dyDescent="0.25">
      <c r="C6627" s="6"/>
      <c r="G6627" s="6"/>
      <c r="K6627" s="6"/>
    </row>
    <row r="6628" spans="3:11" x14ac:dyDescent="0.25">
      <c r="C6628" s="6"/>
      <c r="G6628" s="6"/>
      <c r="K6628" s="6"/>
    </row>
    <row r="6629" spans="3:11" x14ac:dyDescent="0.25">
      <c r="C6629" s="6"/>
      <c r="G6629" s="6"/>
      <c r="K6629" s="6"/>
    </row>
    <row r="6630" spans="3:11" x14ac:dyDescent="0.25">
      <c r="C6630" s="6"/>
      <c r="G6630" s="6"/>
      <c r="K6630" s="6"/>
    </row>
    <row r="6631" spans="3:11" x14ac:dyDescent="0.25">
      <c r="C6631" s="6"/>
      <c r="G6631" s="6"/>
      <c r="K6631" s="6"/>
    </row>
    <row r="6632" spans="3:11" x14ac:dyDescent="0.25">
      <c r="C6632" s="6"/>
      <c r="G6632" s="6"/>
      <c r="K6632" s="6"/>
    </row>
    <row r="6633" spans="3:11" x14ac:dyDescent="0.25">
      <c r="C6633" s="6"/>
      <c r="G6633" s="6"/>
      <c r="K6633" s="6"/>
    </row>
    <row r="6634" spans="3:11" x14ac:dyDescent="0.25">
      <c r="C6634" s="6"/>
      <c r="G6634" s="6"/>
      <c r="K6634" s="6"/>
    </row>
    <row r="6635" spans="3:11" x14ac:dyDescent="0.25">
      <c r="C6635" s="6"/>
      <c r="G6635" s="6"/>
      <c r="K6635" s="6"/>
    </row>
    <row r="6636" spans="3:11" x14ac:dyDescent="0.25">
      <c r="C6636" s="6"/>
      <c r="G6636" s="6"/>
      <c r="K6636" s="6"/>
    </row>
    <row r="6637" spans="3:11" x14ac:dyDescent="0.25">
      <c r="C6637" s="6"/>
      <c r="G6637" s="6"/>
      <c r="K6637" s="6"/>
    </row>
    <row r="6638" spans="3:11" x14ac:dyDescent="0.25">
      <c r="C6638" s="6"/>
      <c r="G6638" s="6"/>
      <c r="K6638" s="6"/>
    </row>
    <row r="6639" spans="3:11" x14ac:dyDescent="0.25">
      <c r="C6639" s="6"/>
      <c r="G6639" s="6"/>
      <c r="K6639" s="6"/>
    </row>
    <row r="6640" spans="3:11" x14ac:dyDescent="0.25">
      <c r="C6640" s="6"/>
      <c r="G6640" s="6"/>
      <c r="K6640" s="6"/>
    </row>
    <row r="6641" spans="3:11" x14ac:dyDescent="0.25">
      <c r="C6641" s="6"/>
      <c r="G6641" s="6"/>
      <c r="K6641" s="6"/>
    </row>
    <row r="6642" spans="3:11" x14ac:dyDescent="0.25">
      <c r="C6642" s="6"/>
      <c r="G6642" s="6"/>
      <c r="K6642" s="6"/>
    </row>
    <row r="6643" spans="3:11" x14ac:dyDescent="0.25">
      <c r="C6643" s="6"/>
      <c r="G6643" s="6"/>
      <c r="K6643" s="6"/>
    </row>
    <row r="6644" spans="3:11" x14ac:dyDescent="0.25">
      <c r="C6644" s="6"/>
      <c r="G6644" s="6"/>
      <c r="K6644" s="6"/>
    </row>
    <row r="6645" spans="3:11" x14ac:dyDescent="0.25">
      <c r="C6645" s="6"/>
      <c r="G6645" s="6"/>
      <c r="K6645" s="6"/>
    </row>
    <row r="6646" spans="3:11" x14ac:dyDescent="0.25">
      <c r="C6646" s="6"/>
      <c r="G6646" s="6"/>
      <c r="K6646" s="6"/>
    </row>
    <row r="6647" spans="3:11" x14ac:dyDescent="0.25">
      <c r="C6647" s="6"/>
      <c r="G6647" s="6"/>
      <c r="K6647" s="6"/>
    </row>
    <row r="6648" spans="3:11" x14ac:dyDescent="0.25">
      <c r="C6648" s="6"/>
      <c r="G6648" s="6"/>
      <c r="K6648" s="6"/>
    </row>
    <row r="6649" spans="3:11" x14ac:dyDescent="0.25">
      <c r="C6649" s="6"/>
      <c r="G6649" s="6"/>
      <c r="K6649" s="6"/>
    </row>
    <row r="6650" spans="3:11" x14ac:dyDescent="0.25">
      <c r="C6650" s="6"/>
      <c r="G6650" s="6"/>
      <c r="K6650" s="6"/>
    </row>
    <row r="6651" spans="3:11" x14ac:dyDescent="0.25">
      <c r="C6651" s="6"/>
      <c r="G6651" s="6"/>
      <c r="K6651" s="6"/>
    </row>
    <row r="6652" spans="3:11" x14ac:dyDescent="0.25">
      <c r="C6652" s="6"/>
      <c r="G6652" s="6"/>
      <c r="K6652" s="6"/>
    </row>
    <row r="6653" spans="3:11" x14ac:dyDescent="0.25">
      <c r="C6653" s="6"/>
      <c r="G6653" s="6"/>
      <c r="K6653" s="6"/>
    </row>
    <row r="6654" spans="3:11" x14ac:dyDescent="0.25">
      <c r="C6654" s="6"/>
      <c r="G6654" s="6"/>
      <c r="K6654" s="6"/>
    </row>
    <row r="6655" spans="3:11" x14ac:dyDescent="0.25">
      <c r="C6655" s="6"/>
      <c r="G6655" s="6"/>
      <c r="K6655" s="6"/>
    </row>
    <row r="6656" spans="3:11" x14ac:dyDescent="0.25">
      <c r="C6656" s="6"/>
      <c r="G6656" s="6"/>
      <c r="K6656" s="6"/>
    </row>
    <row r="6657" spans="3:11" x14ac:dyDescent="0.25">
      <c r="C6657" s="6"/>
      <c r="G6657" s="6"/>
      <c r="K6657" s="6"/>
    </row>
    <row r="6658" spans="3:11" x14ac:dyDescent="0.25">
      <c r="C6658" s="6"/>
      <c r="G6658" s="6"/>
      <c r="K6658" s="6"/>
    </row>
    <row r="6659" spans="3:11" x14ac:dyDescent="0.25">
      <c r="C6659" s="6"/>
      <c r="G6659" s="6"/>
      <c r="K6659" s="6"/>
    </row>
    <row r="6660" spans="3:11" x14ac:dyDescent="0.25">
      <c r="C6660" s="6"/>
      <c r="G6660" s="6"/>
      <c r="K6660" s="6"/>
    </row>
    <row r="6661" spans="3:11" x14ac:dyDescent="0.25">
      <c r="C6661" s="6"/>
      <c r="G6661" s="6"/>
      <c r="K6661" s="6"/>
    </row>
    <row r="6662" spans="3:11" x14ac:dyDescent="0.25">
      <c r="C6662" s="6"/>
      <c r="G6662" s="6"/>
      <c r="K6662" s="6"/>
    </row>
    <row r="6663" spans="3:11" x14ac:dyDescent="0.25">
      <c r="C6663" s="6"/>
      <c r="G6663" s="6"/>
      <c r="K6663" s="6"/>
    </row>
    <row r="6664" spans="3:11" x14ac:dyDescent="0.25">
      <c r="C6664" s="6"/>
      <c r="G6664" s="6"/>
      <c r="K6664" s="6"/>
    </row>
    <row r="6665" spans="3:11" x14ac:dyDescent="0.25">
      <c r="C6665" s="6"/>
      <c r="G6665" s="6"/>
      <c r="K6665" s="6"/>
    </row>
    <row r="6666" spans="3:11" x14ac:dyDescent="0.25">
      <c r="C6666" s="6"/>
      <c r="G6666" s="6"/>
      <c r="K6666" s="6"/>
    </row>
    <row r="6667" spans="3:11" x14ac:dyDescent="0.25">
      <c r="C6667" s="6"/>
      <c r="G6667" s="6"/>
      <c r="K6667" s="6"/>
    </row>
    <row r="6668" spans="3:11" x14ac:dyDescent="0.25">
      <c r="C6668" s="6"/>
      <c r="G6668" s="6"/>
      <c r="K6668" s="6"/>
    </row>
    <row r="6669" spans="3:11" x14ac:dyDescent="0.25">
      <c r="C6669" s="6"/>
      <c r="G6669" s="6"/>
      <c r="K6669" s="6"/>
    </row>
    <row r="6670" spans="3:11" x14ac:dyDescent="0.25">
      <c r="C6670" s="6"/>
      <c r="G6670" s="6"/>
      <c r="K6670" s="6"/>
    </row>
    <row r="6671" spans="3:11" x14ac:dyDescent="0.25">
      <c r="C6671" s="6"/>
      <c r="G6671" s="6"/>
      <c r="K6671" s="6"/>
    </row>
    <row r="6672" spans="3:11" x14ac:dyDescent="0.25">
      <c r="C6672" s="6"/>
      <c r="G6672" s="6"/>
      <c r="K6672" s="6"/>
    </row>
    <row r="6673" spans="3:11" x14ac:dyDescent="0.25">
      <c r="C6673" s="6"/>
      <c r="G6673" s="6"/>
      <c r="K6673" s="6"/>
    </row>
    <row r="6674" spans="3:11" x14ac:dyDescent="0.25">
      <c r="C6674" s="6"/>
      <c r="G6674" s="6"/>
      <c r="K6674" s="6"/>
    </row>
    <row r="6675" spans="3:11" x14ac:dyDescent="0.25">
      <c r="C6675" s="6"/>
      <c r="G6675" s="6"/>
      <c r="K6675" s="6"/>
    </row>
    <row r="6676" spans="3:11" x14ac:dyDescent="0.25">
      <c r="C6676" s="6"/>
      <c r="G6676" s="6"/>
      <c r="K6676" s="6"/>
    </row>
    <row r="6677" spans="3:11" x14ac:dyDescent="0.25">
      <c r="C6677" s="6"/>
      <c r="G6677" s="6"/>
      <c r="K6677" s="6"/>
    </row>
    <row r="6678" spans="3:11" x14ac:dyDescent="0.25">
      <c r="C6678" s="6"/>
      <c r="G6678" s="6"/>
      <c r="K6678" s="6"/>
    </row>
    <row r="6679" spans="3:11" x14ac:dyDescent="0.25">
      <c r="C6679" s="6"/>
      <c r="G6679" s="6"/>
      <c r="K6679" s="6"/>
    </row>
    <row r="6680" spans="3:11" x14ac:dyDescent="0.25">
      <c r="C6680" s="6"/>
      <c r="G6680" s="6"/>
      <c r="K6680" s="6"/>
    </row>
    <row r="6681" spans="3:11" x14ac:dyDescent="0.25">
      <c r="C6681" s="6"/>
      <c r="G6681" s="6"/>
      <c r="K6681" s="6"/>
    </row>
    <row r="6682" spans="3:11" x14ac:dyDescent="0.25">
      <c r="C6682" s="6"/>
      <c r="G6682" s="6"/>
      <c r="K6682" s="6"/>
    </row>
    <row r="6683" spans="3:11" x14ac:dyDescent="0.25">
      <c r="C6683" s="6"/>
      <c r="G6683" s="6"/>
      <c r="K6683" s="6"/>
    </row>
    <row r="6684" spans="3:11" x14ac:dyDescent="0.25">
      <c r="C6684" s="6"/>
      <c r="G6684" s="6"/>
      <c r="K6684" s="6"/>
    </row>
    <row r="6685" spans="3:11" x14ac:dyDescent="0.25">
      <c r="C6685" s="6"/>
      <c r="G6685" s="6"/>
      <c r="K6685" s="6"/>
    </row>
    <row r="6686" spans="3:11" x14ac:dyDescent="0.25">
      <c r="C6686" s="6"/>
      <c r="G6686" s="6"/>
      <c r="K6686" s="6"/>
    </row>
    <row r="6687" spans="3:11" x14ac:dyDescent="0.25">
      <c r="C6687" s="6"/>
      <c r="G6687" s="6"/>
      <c r="K6687" s="6"/>
    </row>
    <row r="6688" spans="3:11" x14ac:dyDescent="0.25">
      <c r="C6688" s="6"/>
      <c r="G6688" s="6"/>
      <c r="K6688" s="6"/>
    </row>
    <row r="6689" spans="3:11" x14ac:dyDescent="0.25">
      <c r="C6689" s="6"/>
      <c r="G6689" s="6"/>
      <c r="K6689" s="6"/>
    </row>
    <row r="6690" spans="3:11" x14ac:dyDescent="0.25">
      <c r="C6690" s="6"/>
      <c r="G6690" s="6"/>
      <c r="K6690" s="6"/>
    </row>
    <row r="6691" spans="3:11" x14ac:dyDescent="0.25">
      <c r="C6691" s="6"/>
      <c r="G6691" s="6"/>
      <c r="K6691" s="6"/>
    </row>
    <row r="6692" spans="3:11" x14ac:dyDescent="0.25">
      <c r="C6692" s="6"/>
      <c r="G6692" s="6"/>
      <c r="K6692" s="6"/>
    </row>
    <row r="6693" spans="3:11" x14ac:dyDescent="0.25">
      <c r="C6693" s="6"/>
      <c r="G6693" s="6"/>
      <c r="K6693" s="6"/>
    </row>
    <row r="6694" spans="3:11" x14ac:dyDescent="0.25">
      <c r="C6694" s="6"/>
      <c r="G6694" s="6"/>
      <c r="K6694" s="6"/>
    </row>
    <row r="6695" spans="3:11" x14ac:dyDescent="0.25">
      <c r="C6695" s="6"/>
      <c r="G6695" s="6"/>
      <c r="K6695" s="6"/>
    </row>
    <row r="6696" spans="3:11" x14ac:dyDescent="0.25">
      <c r="C6696" s="6"/>
      <c r="G6696" s="6"/>
      <c r="K6696" s="6"/>
    </row>
    <row r="6697" spans="3:11" x14ac:dyDescent="0.25">
      <c r="C6697" s="6"/>
      <c r="G6697" s="6"/>
      <c r="K6697" s="6"/>
    </row>
    <row r="6698" spans="3:11" x14ac:dyDescent="0.25">
      <c r="C6698" s="6"/>
      <c r="G6698" s="6"/>
      <c r="K6698" s="6"/>
    </row>
    <row r="6699" spans="3:11" x14ac:dyDescent="0.25">
      <c r="C6699" s="6"/>
      <c r="G6699" s="6"/>
      <c r="K6699" s="6"/>
    </row>
    <row r="6700" spans="3:11" x14ac:dyDescent="0.25">
      <c r="C6700" s="6"/>
      <c r="G6700" s="6"/>
      <c r="K6700" s="6"/>
    </row>
    <row r="6701" spans="3:11" x14ac:dyDescent="0.25">
      <c r="C6701" s="6"/>
      <c r="G6701" s="6"/>
      <c r="K6701" s="6"/>
    </row>
    <row r="6702" spans="3:11" x14ac:dyDescent="0.25">
      <c r="C6702" s="6"/>
      <c r="G6702" s="6"/>
      <c r="K6702" s="6"/>
    </row>
    <row r="6703" spans="3:11" x14ac:dyDescent="0.25">
      <c r="C6703" s="6"/>
      <c r="G6703" s="6"/>
      <c r="K6703" s="6"/>
    </row>
    <row r="6704" spans="3:11" x14ac:dyDescent="0.25">
      <c r="C6704" s="6"/>
      <c r="G6704" s="6"/>
      <c r="K6704" s="6"/>
    </row>
    <row r="6705" spans="3:11" x14ac:dyDescent="0.25">
      <c r="C6705" s="6"/>
      <c r="G6705" s="6"/>
      <c r="K6705" s="6"/>
    </row>
    <row r="6706" spans="3:11" x14ac:dyDescent="0.25">
      <c r="C6706" s="6"/>
      <c r="G6706" s="6"/>
      <c r="K6706" s="6"/>
    </row>
    <row r="6707" spans="3:11" x14ac:dyDescent="0.25">
      <c r="C6707" s="6"/>
      <c r="G6707" s="6"/>
      <c r="K6707" s="6"/>
    </row>
    <row r="6708" spans="3:11" x14ac:dyDescent="0.25">
      <c r="C6708" s="6"/>
      <c r="G6708" s="6"/>
      <c r="K6708" s="6"/>
    </row>
    <row r="6709" spans="3:11" x14ac:dyDescent="0.25">
      <c r="C6709" s="6"/>
      <c r="G6709" s="6"/>
      <c r="K6709" s="6"/>
    </row>
    <row r="6710" spans="3:11" x14ac:dyDescent="0.25">
      <c r="C6710" s="6"/>
      <c r="G6710" s="6"/>
      <c r="K6710" s="6"/>
    </row>
    <row r="6711" spans="3:11" x14ac:dyDescent="0.25">
      <c r="C6711" s="6"/>
      <c r="G6711" s="6"/>
      <c r="K6711" s="6"/>
    </row>
    <row r="6712" spans="3:11" x14ac:dyDescent="0.25">
      <c r="C6712" s="6"/>
      <c r="G6712" s="6"/>
      <c r="K6712" s="6"/>
    </row>
    <row r="6713" spans="3:11" x14ac:dyDescent="0.25">
      <c r="C6713" s="6"/>
      <c r="G6713" s="6"/>
      <c r="K6713" s="6"/>
    </row>
    <row r="6714" spans="3:11" x14ac:dyDescent="0.25">
      <c r="C6714" s="6"/>
      <c r="G6714" s="6"/>
      <c r="K6714" s="6"/>
    </row>
    <row r="6715" spans="3:11" x14ac:dyDescent="0.25">
      <c r="C6715" s="6"/>
      <c r="G6715" s="6"/>
      <c r="K6715" s="6"/>
    </row>
    <row r="6716" spans="3:11" x14ac:dyDescent="0.25">
      <c r="C6716" s="6"/>
      <c r="G6716" s="6"/>
      <c r="K6716" s="6"/>
    </row>
    <row r="6717" spans="3:11" x14ac:dyDescent="0.25">
      <c r="C6717" s="6"/>
      <c r="G6717" s="6"/>
      <c r="K6717" s="6"/>
    </row>
    <row r="6718" spans="3:11" x14ac:dyDescent="0.25">
      <c r="C6718" s="6"/>
      <c r="G6718" s="6"/>
      <c r="K6718" s="6"/>
    </row>
    <row r="6719" spans="3:11" x14ac:dyDescent="0.25">
      <c r="C6719" s="6"/>
      <c r="G6719" s="6"/>
      <c r="K6719" s="6"/>
    </row>
    <row r="6720" spans="3:11" x14ac:dyDescent="0.25">
      <c r="C6720" s="6"/>
      <c r="G6720" s="6"/>
      <c r="K6720" s="6"/>
    </row>
    <row r="6721" spans="3:11" x14ac:dyDescent="0.25">
      <c r="C6721" s="6"/>
      <c r="G6721" s="6"/>
      <c r="K6721" s="6"/>
    </row>
    <row r="6722" spans="3:11" x14ac:dyDescent="0.25">
      <c r="C6722" s="6"/>
      <c r="G6722" s="6"/>
      <c r="K6722" s="6"/>
    </row>
    <row r="6723" spans="3:11" x14ac:dyDescent="0.25">
      <c r="C6723" s="6"/>
      <c r="G6723" s="6"/>
      <c r="K6723" s="6"/>
    </row>
    <row r="6724" spans="3:11" x14ac:dyDescent="0.25">
      <c r="C6724" s="6"/>
      <c r="G6724" s="6"/>
      <c r="K6724" s="6"/>
    </row>
    <row r="6725" spans="3:11" x14ac:dyDescent="0.25">
      <c r="C6725" s="6"/>
      <c r="G6725" s="6"/>
      <c r="K6725" s="6"/>
    </row>
    <row r="6726" spans="3:11" x14ac:dyDescent="0.25">
      <c r="C6726" s="6"/>
      <c r="G6726" s="6"/>
      <c r="K6726" s="6"/>
    </row>
    <row r="6727" spans="3:11" x14ac:dyDescent="0.25">
      <c r="C6727" s="6"/>
      <c r="G6727" s="6"/>
      <c r="K6727" s="6"/>
    </row>
    <row r="6728" spans="3:11" x14ac:dyDescent="0.25">
      <c r="C6728" s="6"/>
      <c r="G6728" s="6"/>
      <c r="K6728" s="6"/>
    </row>
    <row r="6729" spans="3:11" x14ac:dyDescent="0.25">
      <c r="C6729" s="6"/>
      <c r="G6729" s="6"/>
      <c r="K6729" s="6"/>
    </row>
    <row r="6730" spans="3:11" x14ac:dyDescent="0.25">
      <c r="C6730" s="6"/>
      <c r="G6730" s="6"/>
      <c r="K6730" s="6"/>
    </row>
    <row r="6731" spans="3:11" x14ac:dyDescent="0.25">
      <c r="C6731" s="6"/>
      <c r="G6731" s="6"/>
      <c r="K6731" s="6"/>
    </row>
    <row r="6732" spans="3:11" x14ac:dyDescent="0.25">
      <c r="C6732" s="6"/>
      <c r="G6732" s="6"/>
      <c r="K6732" s="6"/>
    </row>
    <row r="6733" spans="3:11" x14ac:dyDescent="0.25">
      <c r="C6733" s="6"/>
      <c r="G6733" s="6"/>
      <c r="K6733" s="6"/>
    </row>
    <row r="6734" spans="3:11" x14ac:dyDescent="0.25">
      <c r="C6734" s="6"/>
      <c r="G6734" s="6"/>
      <c r="K6734" s="6"/>
    </row>
    <row r="6735" spans="3:11" x14ac:dyDescent="0.25">
      <c r="C6735" s="6"/>
      <c r="G6735" s="6"/>
      <c r="K6735" s="6"/>
    </row>
    <row r="6736" spans="3:11" x14ac:dyDescent="0.25">
      <c r="C6736" s="6"/>
      <c r="G6736" s="6"/>
      <c r="K6736" s="6"/>
    </row>
    <row r="6737" spans="3:11" x14ac:dyDescent="0.25">
      <c r="C6737" s="6"/>
      <c r="G6737" s="6"/>
      <c r="K6737" s="6"/>
    </row>
    <row r="6738" spans="3:11" x14ac:dyDescent="0.25">
      <c r="C6738" s="6"/>
      <c r="G6738" s="6"/>
      <c r="K6738" s="6"/>
    </row>
    <row r="6739" spans="3:11" x14ac:dyDescent="0.25">
      <c r="C6739" s="6"/>
      <c r="G6739" s="6"/>
      <c r="K6739" s="6"/>
    </row>
    <row r="6740" spans="3:11" x14ac:dyDescent="0.25">
      <c r="C6740" s="6"/>
      <c r="G6740" s="6"/>
      <c r="K6740" s="6"/>
    </row>
    <row r="6741" spans="3:11" x14ac:dyDescent="0.25">
      <c r="C6741" s="6"/>
      <c r="G6741" s="6"/>
      <c r="K6741" s="6"/>
    </row>
    <row r="6742" spans="3:11" x14ac:dyDescent="0.25">
      <c r="C6742" s="6"/>
      <c r="G6742" s="6"/>
      <c r="K6742" s="6"/>
    </row>
    <row r="6743" spans="3:11" x14ac:dyDescent="0.25">
      <c r="C6743" s="6"/>
      <c r="G6743" s="6"/>
      <c r="K6743" s="6"/>
    </row>
    <row r="6744" spans="3:11" x14ac:dyDescent="0.25">
      <c r="C6744" s="6"/>
      <c r="G6744" s="6"/>
      <c r="K6744" s="6"/>
    </row>
    <row r="6745" spans="3:11" x14ac:dyDescent="0.25">
      <c r="C6745" s="6"/>
      <c r="G6745" s="6"/>
      <c r="K6745" s="6"/>
    </row>
    <row r="6746" spans="3:11" x14ac:dyDescent="0.25">
      <c r="C6746" s="6"/>
      <c r="G6746" s="6"/>
      <c r="K6746" s="6"/>
    </row>
    <row r="6747" spans="3:11" x14ac:dyDescent="0.25">
      <c r="C6747" s="6"/>
      <c r="G6747" s="6"/>
      <c r="K6747" s="6"/>
    </row>
    <row r="6748" spans="3:11" x14ac:dyDescent="0.25">
      <c r="C6748" s="6"/>
      <c r="G6748" s="6"/>
      <c r="K6748" s="6"/>
    </row>
    <row r="6749" spans="3:11" x14ac:dyDescent="0.25">
      <c r="C6749" s="6"/>
      <c r="G6749" s="6"/>
      <c r="K6749" s="6"/>
    </row>
    <row r="6750" spans="3:11" x14ac:dyDescent="0.25">
      <c r="C6750" s="6"/>
      <c r="G6750" s="6"/>
      <c r="K6750" s="6"/>
    </row>
    <row r="6751" spans="3:11" x14ac:dyDescent="0.25">
      <c r="C6751" s="6"/>
      <c r="G6751" s="6"/>
      <c r="K6751" s="6"/>
    </row>
    <row r="6752" spans="3:11" x14ac:dyDescent="0.25">
      <c r="C6752" s="6"/>
      <c r="G6752" s="6"/>
      <c r="K6752" s="6"/>
    </row>
    <row r="6753" spans="3:11" x14ac:dyDescent="0.25">
      <c r="C6753" s="6"/>
      <c r="G6753" s="6"/>
      <c r="K6753" s="6"/>
    </row>
    <row r="6754" spans="3:11" x14ac:dyDescent="0.25">
      <c r="C6754" s="6"/>
      <c r="G6754" s="6"/>
      <c r="K6754" s="6"/>
    </row>
    <row r="6755" spans="3:11" x14ac:dyDescent="0.25">
      <c r="C6755" s="6"/>
      <c r="G6755" s="6"/>
      <c r="K6755" s="6"/>
    </row>
    <row r="6756" spans="3:11" x14ac:dyDescent="0.25">
      <c r="C6756" s="6"/>
      <c r="G6756" s="6"/>
      <c r="K6756" s="6"/>
    </row>
    <row r="6757" spans="3:11" x14ac:dyDescent="0.25">
      <c r="C6757" s="6"/>
      <c r="G6757" s="6"/>
      <c r="K6757" s="6"/>
    </row>
    <row r="6758" spans="3:11" x14ac:dyDescent="0.25">
      <c r="C6758" s="6"/>
      <c r="G6758" s="6"/>
      <c r="K6758" s="6"/>
    </row>
    <row r="6759" spans="3:11" x14ac:dyDescent="0.25">
      <c r="C6759" s="6"/>
      <c r="G6759" s="6"/>
      <c r="K6759" s="6"/>
    </row>
    <row r="6760" spans="3:11" x14ac:dyDescent="0.25">
      <c r="C6760" s="6"/>
      <c r="G6760" s="6"/>
      <c r="K6760" s="6"/>
    </row>
    <row r="6761" spans="3:11" x14ac:dyDescent="0.25">
      <c r="C6761" s="6"/>
      <c r="G6761" s="6"/>
      <c r="K6761" s="6"/>
    </row>
    <row r="6762" spans="3:11" x14ac:dyDescent="0.25">
      <c r="C6762" s="6"/>
      <c r="G6762" s="6"/>
      <c r="K6762" s="6"/>
    </row>
    <row r="6763" spans="3:11" x14ac:dyDescent="0.25">
      <c r="C6763" s="6"/>
      <c r="G6763" s="6"/>
      <c r="K6763" s="6"/>
    </row>
    <row r="6764" spans="3:11" x14ac:dyDescent="0.25">
      <c r="C6764" s="6"/>
      <c r="G6764" s="6"/>
      <c r="K6764" s="6"/>
    </row>
    <row r="6765" spans="3:11" x14ac:dyDescent="0.25">
      <c r="C6765" s="6"/>
      <c r="G6765" s="6"/>
      <c r="K6765" s="6"/>
    </row>
    <row r="6766" spans="3:11" x14ac:dyDescent="0.25">
      <c r="C6766" s="6"/>
      <c r="G6766" s="6"/>
      <c r="K6766" s="6"/>
    </row>
    <row r="6767" spans="3:11" x14ac:dyDescent="0.25">
      <c r="C6767" s="6"/>
      <c r="G6767" s="6"/>
      <c r="K6767" s="6"/>
    </row>
    <row r="6768" spans="3:11" x14ac:dyDescent="0.25">
      <c r="C6768" s="6"/>
      <c r="G6768" s="6"/>
      <c r="K6768" s="6"/>
    </row>
    <row r="6769" spans="3:11" x14ac:dyDescent="0.25">
      <c r="C6769" s="6"/>
      <c r="G6769" s="6"/>
      <c r="K6769" s="6"/>
    </row>
    <row r="6770" spans="3:11" x14ac:dyDescent="0.25">
      <c r="C6770" s="6"/>
      <c r="G6770" s="6"/>
      <c r="K6770" s="6"/>
    </row>
    <row r="6771" spans="3:11" x14ac:dyDescent="0.25">
      <c r="C6771" s="6"/>
      <c r="G6771" s="6"/>
      <c r="K6771" s="6"/>
    </row>
    <row r="6772" spans="3:11" x14ac:dyDescent="0.25">
      <c r="C6772" s="6"/>
      <c r="G6772" s="6"/>
      <c r="K6772" s="6"/>
    </row>
    <row r="6773" spans="3:11" x14ac:dyDescent="0.25">
      <c r="C6773" s="6"/>
      <c r="G6773" s="6"/>
      <c r="K6773" s="6"/>
    </row>
    <row r="6774" spans="3:11" x14ac:dyDescent="0.25">
      <c r="C6774" s="6"/>
      <c r="G6774" s="6"/>
      <c r="K6774" s="6"/>
    </row>
    <row r="6775" spans="3:11" x14ac:dyDescent="0.25">
      <c r="C6775" s="6"/>
      <c r="G6775" s="6"/>
      <c r="K6775" s="6"/>
    </row>
    <row r="6776" spans="3:11" x14ac:dyDescent="0.25">
      <c r="C6776" s="6"/>
      <c r="G6776" s="6"/>
      <c r="K6776" s="6"/>
    </row>
    <row r="6777" spans="3:11" x14ac:dyDescent="0.25">
      <c r="C6777" s="6"/>
      <c r="G6777" s="6"/>
      <c r="K6777" s="6"/>
    </row>
    <row r="6778" spans="3:11" x14ac:dyDescent="0.25">
      <c r="C6778" s="6"/>
      <c r="G6778" s="6"/>
      <c r="K6778" s="6"/>
    </row>
    <row r="6779" spans="3:11" x14ac:dyDescent="0.25">
      <c r="C6779" s="6"/>
      <c r="G6779" s="6"/>
      <c r="K6779" s="6"/>
    </row>
    <row r="6780" spans="3:11" x14ac:dyDescent="0.25">
      <c r="C6780" s="6"/>
      <c r="G6780" s="6"/>
      <c r="K6780" s="6"/>
    </row>
    <row r="6781" spans="3:11" x14ac:dyDescent="0.25">
      <c r="C6781" s="6"/>
      <c r="G6781" s="6"/>
      <c r="K6781" s="6"/>
    </row>
    <row r="6782" spans="3:11" x14ac:dyDescent="0.25">
      <c r="C6782" s="6"/>
      <c r="G6782" s="6"/>
      <c r="K6782" s="6"/>
    </row>
    <row r="6783" spans="3:11" x14ac:dyDescent="0.25">
      <c r="C6783" s="6"/>
      <c r="G6783" s="6"/>
      <c r="K6783" s="6"/>
    </row>
    <row r="6784" spans="3:11" x14ac:dyDescent="0.25">
      <c r="C6784" s="6"/>
      <c r="G6784" s="6"/>
      <c r="K6784" s="6"/>
    </row>
    <row r="6785" spans="3:11" x14ac:dyDescent="0.25">
      <c r="C6785" s="6"/>
      <c r="G6785" s="6"/>
      <c r="K6785" s="6"/>
    </row>
    <row r="6786" spans="3:11" x14ac:dyDescent="0.25">
      <c r="C6786" s="6"/>
      <c r="G6786" s="6"/>
      <c r="K6786" s="6"/>
    </row>
    <row r="6787" spans="3:11" x14ac:dyDescent="0.25">
      <c r="C6787" s="6"/>
      <c r="G6787" s="6"/>
      <c r="K6787" s="6"/>
    </row>
    <row r="6788" spans="3:11" x14ac:dyDescent="0.25">
      <c r="C6788" s="6"/>
      <c r="G6788" s="6"/>
      <c r="K6788" s="6"/>
    </row>
    <row r="6789" spans="3:11" x14ac:dyDescent="0.25">
      <c r="C6789" s="6"/>
      <c r="G6789" s="6"/>
      <c r="K6789" s="6"/>
    </row>
    <row r="6790" spans="3:11" x14ac:dyDescent="0.25">
      <c r="C6790" s="6"/>
      <c r="G6790" s="6"/>
      <c r="K6790" s="6"/>
    </row>
    <row r="6791" spans="3:11" x14ac:dyDescent="0.25">
      <c r="C6791" s="6"/>
      <c r="G6791" s="6"/>
      <c r="K6791" s="6"/>
    </row>
    <row r="6792" spans="3:11" x14ac:dyDescent="0.25">
      <c r="C6792" s="6"/>
      <c r="G6792" s="6"/>
      <c r="K6792" s="6"/>
    </row>
    <row r="6793" spans="3:11" x14ac:dyDescent="0.25">
      <c r="C6793" s="6"/>
      <c r="G6793" s="6"/>
      <c r="K6793" s="6"/>
    </row>
    <row r="6794" spans="3:11" x14ac:dyDescent="0.25">
      <c r="C6794" s="6"/>
      <c r="G6794" s="6"/>
      <c r="K6794" s="6"/>
    </row>
    <row r="6795" spans="3:11" x14ac:dyDescent="0.25">
      <c r="C6795" s="6"/>
      <c r="G6795" s="6"/>
      <c r="K6795" s="6"/>
    </row>
    <row r="6796" spans="3:11" x14ac:dyDescent="0.25">
      <c r="C6796" s="6"/>
      <c r="G6796" s="6"/>
      <c r="K6796" s="6"/>
    </row>
    <row r="6797" spans="3:11" x14ac:dyDescent="0.25">
      <c r="C6797" s="6"/>
      <c r="G6797" s="6"/>
      <c r="K6797" s="6"/>
    </row>
    <row r="6798" spans="3:11" x14ac:dyDescent="0.25">
      <c r="C6798" s="6"/>
      <c r="G6798" s="6"/>
      <c r="K6798" s="6"/>
    </row>
    <row r="6799" spans="3:11" x14ac:dyDescent="0.25">
      <c r="C6799" s="6"/>
      <c r="G6799" s="6"/>
      <c r="K6799" s="6"/>
    </row>
    <row r="6800" spans="3:11" x14ac:dyDescent="0.25">
      <c r="C6800" s="6"/>
      <c r="G6800" s="6"/>
      <c r="K6800" s="6"/>
    </row>
    <row r="6801" spans="3:11" x14ac:dyDescent="0.25">
      <c r="C6801" s="6"/>
      <c r="G6801" s="6"/>
      <c r="K6801" s="6"/>
    </row>
    <row r="6802" spans="3:11" x14ac:dyDescent="0.25">
      <c r="C6802" s="6"/>
      <c r="G6802" s="6"/>
      <c r="K6802" s="6"/>
    </row>
    <row r="6803" spans="3:11" x14ac:dyDescent="0.25">
      <c r="C6803" s="6"/>
      <c r="G6803" s="6"/>
      <c r="K6803" s="6"/>
    </row>
    <row r="6804" spans="3:11" x14ac:dyDescent="0.25">
      <c r="C6804" s="6"/>
      <c r="G6804" s="6"/>
      <c r="K6804" s="6"/>
    </row>
    <row r="6805" spans="3:11" x14ac:dyDescent="0.25">
      <c r="C6805" s="6"/>
      <c r="G6805" s="6"/>
      <c r="K6805" s="6"/>
    </row>
    <row r="6806" spans="3:11" x14ac:dyDescent="0.25">
      <c r="C6806" s="6"/>
      <c r="G6806" s="6"/>
      <c r="K6806" s="6"/>
    </row>
    <row r="6807" spans="3:11" x14ac:dyDescent="0.25">
      <c r="C6807" s="6"/>
      <c r="G6807" s="6"/>
      <c r="K6807" s="6"/>
    </row>
    <row r="6808" spans="3:11" x14ac:dyDescent="0.25">
      <c r="C6808" s="6"/>
      <c r="G6808" s="6"/>
      <c r="K6808" s="6"/>
    </row>
    <row r="6809" spans="3:11" x14ac:dyDescent="0.25">
      <c r="C6809" s="6"/>
      <c r="G6809" s="6"/>
      <c r="K6809" s="6"/>
    </row>
    <row r="6810" spans="3:11" x14ac:dyDescent="0.25">
      <c r="C6810" s="6"/>
      <c r="G6810" s="6"/>
      <c r="K6810" s="6"/>
    </row>
    <row r="6811" spans="3:11" x14ac:dyDescent="0.25">
      <c r="C6811" s="6"/>
      <c r="G6811" s="6"/>
      <c r="K6811" s="6"/>
    </row>
    <row r="6812" spans="3:11" x14ac:dyDescent="0.25">
      <c r="C6812" s="6"/>
      <c r="G6812" s="6"/>
      <c r="K6812" s="6"/>
    </row>
    <row r="6813" spans="3:11" x14ac:dyDescent="0.25">
      <c r="C6813" s="6"/>
      <c r="G6813" s="6"/>
      <c r="K6813" s="6"/>
    </row>
    <row r="6814" spans="3:11" x14ac:dyDescent="0.25">
      <c r="C6814" s="6"/>
      <c r="G6814" s="6"/>
      <c r="K6814" s="6"/>
    </row>
    <row r="6815" spans="3:11" x14ac:dyDescent="0.25">
      <c r="C6815" s="6"/>
      <c r="G6815" s="6"/>
      <c r="K6815" s="6"/>
    </row>
    <row r="6816" spans="3:11" x14ac:dyDescent="0.25">
      <c r="C6816" s="6"/>
      <c r="G6816" s="6"/>
      <c r="K6816" s="6"/>
    </row>
    <row r="6817" spans="3:11" x14ac:dyDescent="0.25">
      <c r="C6817" s="6"/>
      <c r="G6817" s="6"/>
      <c r="K6817" s="6"/>
    </row>
    <row r="6818" spans="3:11" x14ac:dyDescent="0.25">
      <c r="C6818" s="6"/>
      <c r="G6818" s="6"/>
      <c r="K6818" s="6"/>
    </row>
    <row r="6819" spans="3:11" x14ac:dyDescent="0.25">
      <c r="C6819" s="6"/>
      <c r="G6819" s="6"/>
      <c r="K6819" s="6"/>
    </row>
    <row r="6820" spans="3:11" x14ac:dyDescent="0.25">
      <c r="C6820" s="6"/>
      <c r="G6820" s="6"/>
      <c r="K6820" s="6"/>
    </row>
    <row r="6821" spans="3:11" x14ac:dyDescent="0.25">
      <c r="C6821" s="6"/>
      <c r="G6821" s="6"/>
      <c r="K6821" s="6"/>
    </row>
    <row r="6822" spans="3:11" x14ac:dyDescent="0.25">
      <c r="C6822" s="6"/>
      <c r="G6822" s="6"/>
      <c r="K6822" s="6"/>
    </row>
    <row r="6823" spans="3:11" x14ac:dyDescent="0.25">
      <c r="C6823" s="6"/>
      <c r="G6823" s="6"/>
      <c r="K6823" s="6"/>
    </row>
    <row r="6824" spans="3:11" x14ac:dyDescent="0.25">
      <c r="C6824" s="6"/>
      <c r="G6824" s="6"/>
      <c r="K6824" s="6"/>
    </row>
    <row r="6825" spans="3:11" x14ac:dyDescent="0.25">
      <c r="C6825" s="6"/>
      <c r="G6825" s="6"/>
      <c r="K6825" s="6"/>
    </row>
    <row r="6826" spans="3:11" x14ac:dyDescent="0.25">
      <c r="C6826" s="6"/>
      <c r="G6826" s="6"/>
      <c r="K6826" s="6"/>
    </row>
    <row r="6827" spans="3:11" x14ac:dyDescent="0.25">
      <c r="C6827" s="6"/>
      <c r="G6827" s="6"/>
      <c r="K6827" s="6"/>
    </row>
    <row r="6828" spans="3:11" x14ac:dyDescent="0.25">
      <c r="C6828" s="6"/>
      <c r="G6828" s="6"/>
      <c r="K6828" s="6"/>
    </row>
    <row r="6829" spans="3:11" x14ac:dyDescent="0.25">
      <c r="C6829" s="6"/>
      <c r="G6829" s="6"/>
      <c r="K6829" s="6"/>
    </row>
    <row r="6830" spans="3:11" x14ac:dyDescent="0.25">
      <c r="C6830" s="6"/>
      <c r="G6830" s="6"/>
      <c r="K6830" s="6"/>
    </row>
    <row r="6831" spans="3:11" x14ac:dyDescent="0.25">
      <c r="C6831" s="6"/>
      <c r="G6831" s="6"/>
      <c r="K6831" s="6"/>
    </row>
    <row r="6832" spans="3:11" x14ac:dyDescent="0.25">
      <c r="C6832" s="6"/>
      <c r="G6832" s="6"/>
      <c r="K6832" s="6"/>
    </row>
    <row r="6833" spans="3:11" x14ac:dyDescent="0.25">
      <c r="C6833" s="6"/>
      <c r="G6833" s="6"/>
      <c r="K6833" s="6"/>
    </row>
    <row r="6834" spans="3:11" x14ac:dyDescent="0.25">
      <c r="C6834" s="6"/>
      <c r="G6834" s="6"/>
      <c r="K6834" s="6"/>
    </row>
    <row r="6835" spans="3:11" x14ac:dyDescent="0.25">
      <c r="C6835" s="6"/>
      <c r="G6835" s="6"/>
      <c r="K6835" s="6"/>
    </row>
    <row r="6836" spans="3:11" x14ac:dyDescent="0.25">
      <c r="C6836" s="6"/>
      <c r="G6836" s="6"/>
      <c r="K6836" s="6"/>
    </row>
    <row r="6837" spans="3:11" x14ac:dyDescent="0.25">
      <c r="C6837" s="6"/>
      <c r="G6837" s="6"/>
      <c r="K6837" s="6"/>
    </row>
    <row r="6838" spans="3:11" x14ac:dyDescent="0.25">
      <c r="C6838" s="6"/>
      <c r="G6838" s="6"/>
      <c r="K6838" s="6"/>
    </row>
    <row r="6839" spans="3:11" x14ac:dyDescent="0.25">
      <c r="C6839" s="6"/>
      <c r="G6839" s="6"/>
      <c r="K6839" s="6"/>
    </row>
    <row r="6840" spans="3:11" x14ac:dyDescent="0.25">
      <c r="C6840" s="6"/>
      <c r="G6840" s="6"/>
      <c r="K6840" s="6"/>
    </row>
    <row r="6841" spans="3:11" x14ac:dyDescent="0.25">
      <c r="C6841" s="6"/>
      <c r="G6841" s="6"/>
      <c r="K6841" s="6"/>
    </row>
    <row r="6842" spans="3:11" x14ac:dyDescent="0.25">
      <c r="C6842" s="6"/>
      <c r="G6842" s="6"/>
      <c r="K6842" s="6"/>
    </row>
    <row r="6843" spans="3:11" x14ac:dyDescent="0.25">
      <c r="C6843" s="6"/>
      <c r="G6843" s="6"/>
      <c r="K6843" s="6"/>
    </row>
    <row r="6844" spans="3:11" x14ac:dyDescent="0.25">
      <c r="C6844" s="6"/>
      <c r="G6844" s="6"/>
      <c r="K6844" s="6"/>
    </row>
    <row r="6845" spans="3:11" x14ac:dyDescent="0.25">
      <c r="C6845" s="6"/>
      <c r="G6845" s="6"/>
      <c r="K6845" s="6"/>
    </row>
    <row r="6846" spans="3:11" x14ac:dyDescent="0.25">
      <c r="C6846" s="6"/>
      <c r="G6846" s="6"/>
      <c r="K6846" s="6"/>
    </row>
    <row r="6847" spans="3:11" x14ac:dyDescent="0.25">
      <c r="C6847" s="6"/>
      <c r="G6847" s="6"/>
      <c r="K6847" s="6"/>
    </row>
    <row r="6848" spans="3:11" x14ac:dyDescent="0.25">
      <c r="C6848" s="6"/>
      <c r="G6848" s="6"/>
      <c r="K6848" s="6"/>
    </row>
    <row r="6849" spans="3:11" x14ac:dyDescent="0.25">
      <c r="C6849" s="6"/>
      <c r="G6849" s="6"/>
      <c r="K6849" s="6"/>
    </row>
    <row r="6850" spans="3:11" x14ac:dyDescent="0.25">
      <c r="C6850" s="6"/>
      <c r="G6850" s="6"/>
      <c r="K6850" s="6"/>
    </row>
    <row r="6851" spans="3:11" x14ac:dyDescent="0.25">
      <c r="C6851" s="6"/>
      <c r="G6851" s="6"/>
      <c r="K6851" s="6"/>
    </row>
    <row r="6852" spans="3:11" x14ac:dyDescent="0.25">
      <c r="C6852" s="6"/>
      <c r="G6852" s="6"/>
      <c r="K6852" s="6"/>
    </row>
    <row r="6853" spans="3:11" x14ac:dyDescent="0.25">
      <c r="C6853" s="6"/>
      <c r="G6853" s="6"/>
      <c r="K6853" s="6"/>
    </row>
    <row r="6854" spans="3:11" x14ac:dyDescent="0.25">
      <c r="C6854" s="6"/>
      <c r="G6854" s="6"/>
      <c r="K6854" s="6"/>
    </row>
    <row r="6855" spans="3:11" x14ac:dyDescent="0.25">
      <c r="C6855" s="6"/>
      <c r="G6855" s="6"/>
      <c r="K6855" s="6"/>
    </row>
    <row r="6856" spans="3:11" x14ac:dyDescent="0.25">
      <c r="C6856" s="6"/>
      <c r="G6856" s="6"/>
      <c r="K6856" s="6"/>
    </row>
    <row r="6857" spans="3:11" x14ac:dyDescent="0.25">
      <c r="C6857" s="6"/>
      <c r="G6857" s="6"/>
      <c r="K6857" s="6"/>
    </row>
    <row r="6858" spans="3:11" x14ac:dyDescent="0.25">
      <c r="C6858" s="6"/>
      <c r="G6858" s="6"/>
      <c r="K6858" s="6"/>
    </row>
    <row r="6859" spans="3:11" x14ac:dyDescent="0.25">
      <c r="C6859" s="6"/>
      <c r="G6859" s="6"/>
      <c r="K6859" s="6"/>
    </row>
    <row r="6860" spans="3:11" x14ac:dyDescent="0.25">
      <c r="C6860" s="6"/>
      <c r="G6860" s="6"/>
      <c r="K6860" s="6"/>
    </row>
    <row r="6861" spans="3:11" x14ac:dyDescent="0.25">
      <c r="C6861" s="6"/>
      <c r="G6861" s="6"/>
      <c r="K6861" s="6"/>
    </row>
    <row r="6862" spans="3:11" x14ac:dyDescent="0.25">
      <c r="C6862" s="6"/>
      <c r="G6862" s="6"/>
      <c r="K6862" s="6"/>
    </row>
    <row r="6863" spans="3:11" x14ac:dyDescent="0.25">
      <c r="C6863" s="6"/>
      <c r="G6863" s="6"/>
      <c r="K6863" s="6"/>
    </row>
    <row r="6864" spans="3:11" x14ac:dyDescent="0.25">
      <c r="C6864" s="6"/>
      <c r="G6864" s="6"/>
      <c r="K6864" s="6"/>
    </row>
    <row r="6865" spans="3:11" x14ac:dyDescent="0.25">
      <c r="C6865" s="6"/>
      <c r="G6865" s="6"/>
      <c r="K6865" s="6"/>
    </row>
    <row r="6866" spans="3:11" x14ac:dyDescent="0.25">
      <c r="C6866" s="6"/>
      <c r="G6866" s="6"/>
      <c r="K6866" s="6"/>
    </row>
    <row r="6867" spans="3:11" x14ac:dyDescent="0.25">
      <c r="C6867" s="6"/>
      <c r="G6867" s="6"/>
      <c r="K6867" s="6"/>
    </row>
    <row r="6868" spans="3:11" x14ac:dyDescent="0.25">
      <c r="C6868" s="6"/>
      <c r="G6868" s="6"/>
      <c r="K6868" s="6"/>
    </row>
    <row r="6869" spans="3:11" x14ac:dyDescent="0.25">
      <c r="C6869" s="6"/>
      <c r="G6869" s="6"/>
      <c r="K6869" s="6"/>
    </row>
    <row r="6870" spans="3:11" x14ac:dyDescent="0.25">
      <c r="C6870" s="6"/>
      <c r="G6870" s="6"/>
      <c r="K6870" s="6"/>
    </row>
    <row r="6871" spans="3:11" x14ac:dyDescent="0.25">
      <c r="C6871" s="6"/>
      <c r="G6871" s="6"/>
      <c r="K6871" s="6"/>
    </row>
    <row r="6872" spans="3:11" x14ac:dyDescent="0.25">
      <c r="C6872" s="6"/>
      <c r="G6872" s="6"/>
      <c r="K6872" s="6"/>
    </row>
    <row r="6873" spans="3:11" x14ac:dyDescent="0.25">
      <c r="C6873" s="6"/>
      <c r="G6873" s="6"/>
      <c r="K6873" s="6"/>
    </row>
    <row r="6874" spans="3:11" x14ac:dyDescent="0.25">
      <c r="C6874" s="6"/>
      <c r="G6874" s="6"/>
      <c r="K6874" s="6"/>
    </row>
    <row r="6875" spans="3:11" x14ac:dyDescent="0.25">
      <c r="C6875" s="6"/>
      <c r="G6875" s="6"/>
      <c r="K6875" s="6"/>
    </row>
    <row r="6876" spans="3:11" x14ac:dyDescent="0.25">
      <c r="C6876" s="6"/>
      <c r="G6876" s="6"/>
      <c r="K6876" s="6"/>
    </row>
    <row r="6877" spans="3:11" x14ac:dyDescent="0.25">
      <c r="C6877" s="6"/>
      <c r="G6877" s="6"/>
      <c r="K6877" s="6"/>
    </row>
    <row r="6878" spans="3:11" x14ac:dyDescent="0.25">
      <c r="C6878" s="6"/>
      <c r="G6878" s="6"/>
      <c r="K6878" s="6"/>
    </row>
    <row r="6879" spans="3:11" x14ac:dyDescent="0.25">
      <c r="C6879" s="6"/>
      <c r="G6879" s="6"/>
      <c r="K6879" s="6"/>
    </row>
    <row r="6880" spans="3:11" x14ac:dyDescent="0.25">
      <c r="C6880" s="6"/>
      <c r="G6880" s="6"/>
      <c r="K6880" s="6"/>
    </row>
    <row r="6881" spans="3:11" x14ac:dyDescent="0.25">
      <c r="C6881" s="6"/>
      <c r="G6881" s="6"/>
      <c r="K6881" s="6"/>
    </row>
    <row r="6882" spans="3:11" x14ac:dyDescent="0.25">
      <c r="C6882" s="6"/>
      <c r="G6882" s="6"/>
      <c r="K6882" s="6"/>
    </row>
    <row r="6883" spans="3:11" x14ac:dyDescent="0.25">
      <c r="C6883" s="6"/>
      <c r="G6883" s="6"/>
      <c r="K6883" s="6"/>
    </row>
    <row r="6884" spans="3:11" x14ac:dyDescent="0.25">
      <c r="C6884" s="6"/>
      <c r="G6884" s="6"/>
      <c r="K6884" s="6"/>
    </row>
    <row r="6885" spans="3:11" x14ac:dyDescent="0.25">
      <c r="C6885" s="6"/>
      <c r="G6885" s="6"/>
      <c r="K6885" s="6"/>
    </row>
    <row r="6886" spans="3:11" x14ac:dyDescent="0.25">
      <c r="C6886" s="6"/>
      <c r="G6886" s="6"/>
      <c r="K6886" s="6"/>
    </row>
    <row r="6887" spans="3:11" x14ac:dyDescent="0.25">
      <c r="C6887" s="6"/>
      <c r="G6887" s="6"/>
      <c r="K6887" s="6"/>
    </row>
    <row r="6888" spans="3:11" x14ac:dyDescent="0.25">
      <c r="C6888" s="6"/>
      <c r="G6888" s="6"/>
      <c r="K6888" s="6"/>
    </row>
    <row r="6889" spans="3:11" x14ac:dyDescent="0.25">
      <c r="C6889" s="6"/>
      <c r="G6889" s="6"/>
      <c r="K6889" s="6"/>
    </row>
    <row r="6890" spans="3:11" x14ac:dyDescent="0.25">
      <c r="C6890" s="6"/>
      <c r="G6890" s="6"/>
      <c r="K6890" s="6"/>
    </row>
    <row r="6891" spans="3:11" x14ac:dyDescent="0.25">
      <c r="C6891" s="6"/>
      <c r="G6891" s="6"/>
      <c r="K6891" s="6"/>
    </row>
    <row r="6892" spans="3:11" x14ac:dyDescent="0.25">
      <c r="C6892" s="6"/>
      <c r="G6892" s="6"/>
      <c r="K6892" s="6"/>
    </row>
    <row r="6893" spans="3:11" x14ac:dyDescent="0.25">
      <c r="C6893" s="6"/>
      <c r="G6893" s="6"/>
      <c r="K6893" s="6"/>
    </row>
    <row r="6894" spans="3:11" x14ac:dyDescent="0.25">
      <c r="C6894" s="6"/>
      <c r="G6894" s="6"/>
      <c r="K6894" s="6"/>
    </row>
    <row r="6895" spans="3:11" x14ac:dyDescent="0.25">
      <c r="C6895" s="6"/>
      <c r="G6895" s="6"/>
      <c r="K6895" s="6"/>
    </row>
    <row r="6896" spans="3:11" x14ac:dyDescent="0.25">
      <c r="C6896" s="6"/>
      <c r="G6896" s="6"/>
      <c r="K6896" s="6"/>
    </row>
    <row r="6897" spans="3:11" x14ac:dyDescent="0.25">
      <c r="C6897" s="6"/>
      <c r="G6897" s="6"/>
      <c r="K6897" s="6"/>
    </row>
    <row r="6898" spans="3:11" x14ac:dyDescent="0.25">
      <c r="C6898" s="6"/>
      <c r="G6898" s="6"/>
      <c r="K6898" s="6"/>
    </row>
    <row r="6899" spans="3:11" x14ac:dyDescent="0.25">
      <c r="C6899" s="6"/>
      <c r="G6899" s="6"/>
      <c r="K6899" s="6"/>
    </row>
    <row r="6900" spans="3:11" x14ac:dyDescent="0.25">
      <c r="C6900" s="6"/>
      <c r="G6900" s="6"/>
      <c r="K6900" s="6"/>
    </row>
    <row r="6901" spans="3:11" x14ac:dyDescent="0.25">
      <c r="C6901" s="6"/>
      <c r="G6901" s="6"/>
      <c r="K6901" s="6"/>
    </row>
    <row r="6902" spans="3:11" x14ac:dyDescent="0.25">
      <c r="C6902" s="6"/>
      <c r="G6902" s="6"/>
      <c r="K6902" s="6"/>
    </row>
    <row r="6903" spans="3:11" x14ac:dyDescent="0.25">
      <c r="C6903" s="6"/>
      <c r="G6903" s="6"/>
      <c r="K6903" s="6"/>
    </row>
    <row r="6904" spans="3:11" x14ac:dyDescent="0.25">
      <c r="C6904" s="6"/>
      <c r="G6904" s="6"/>
      <c r="K6904" s="6"/>
    </row>
    <row r="6905" spans="3:11" x14ac:dyDescent="0.25">
      <c r="C6905" s="6"/>
      <c r="G6905" s="6"/>
      <c r="K6905" s="6"/>
    </row>
    <row r="6906" spans="3:11" x14ac:dyDescent="0.25">
      <c r="C6906" s="6"/>
      <c r="G6906" s="6"/>
      <c r="K6906" s="6"/>
    </row>
    <row r="6907" spans="3:11" x14ac:dyDescent="0.25">
      <c r="C6907" s="6"/>
      <c r="G6907" s="6"/>
      <c r="K6907" s="6"/>
    </row>
    <row r="6908" spans="3:11" x14ac:dyDescent="0.25">
      <c r="C6908" s="6"/>
      <c r="G6908" s="6"/>
      <c r="K6908" s="6"/>
    </row>
    <row r="6909" spans="3:11" x14ac:dyDescent="0.25">
      <c r="C6909" s="6"/>
      <c r="G6909" s="6"/>
      <c r="K6909" s="6"/>
    </row>
    <row r="6910" spans="3:11" x14ac:dyDescent="0.25">
      <c r="C6910" s="6"/>
      <c r="G6910" s="6"/>
      <c r="K6910" s="6"/>
    </row>
    <row r="6911" spans="3:11" x14ac:dyDescent="0.25">
      <c r="C6911" s="6"/>
      <c r="G6911" s="6"/>
      <c r="K6911" s="6"/>
    </row>
    <row r="6912" spans="3:11" x14ac:dyDescent="0.25">
      <c r="C6912" s="6"/>
      <c r="G6912" s="6"/>
      <c r="K6912" s="6"/>
    </row>
    <row r="6913" spans="3:11" x14ac:dyDescent="0.25">
      <c r="C6913" s="6"/>
      <c r="G6913" s="6"/>
      <c r="K6913" s="6"/>
    </row>
    <row r="6914" spans="3:11" x14ac:dyDescent="0.25">
      <c r="C6914" s="6"/>
      <c r="G6914" s="6"/>
      <c r="K6914" s="6"/>
    </row>
    <row r="6915" spans="3:11" x14ac:dyDescent="0.25">
      <c r="C6915" s="6"/>
      <c r="G6915" s="6"/>
      <c r="K6915" s="6"/>
    </row>
    <row r="6916" spans="3:11" x14ac:dyDescent="0.25">
      <c r="C6916" s="6"/>
      <c r="G6916" s="6"/>
      <c r="K6916" s="6"/>
    </row>
    <row r="6917" spans="3:11" x14ac:dyDescent="0.25">
      <c r="C6917" s="6"/>
      <c r="G6917" s="6"/>
      <c r="K6917" s="6"/>
    </row>
    <row r="6918" spans="3:11" x14ac:dyDescent="0.25">
      <c r="C6918" s="6"/>
      <c r="G6918" s="6"/>
      <c r="K6918" s="6"/>
    </row>
    <row r="6919" spans="3:11" x14ac:dyDescent="0.25">
      <c r="C6919" s="6"/>
      <c r="G6919" s="6"/>
      <c r="K6919" s="6"/>
    </row>
    <row r="6920" spans="3:11" x14ac:dyDescent="0.25">
      <c r="C6920" s="6"/>
      <c r="G6920" s="6"/>
      <c r="K6920" s="6"/>
    </row>
    <row r="6921" spans="3:11" x14ac:dyDescent="0.25">
      <c r="C6921" s="6"/>
      <c r="G6921" s="6"/>
      <c r="K6921" s="6"/>
    </row>
    <row r="6922" spans="3:11" x14ac:dyDescent="0.25">
      <c r="C6922" s="6"/>
      <c r="G6922" s="6"/>
      <c r="K6922" s="6"/>
    </row>
    <row r="6923" spans="3:11" x14ac:dyDescent="0.25">
      <c r="C6923" s="6"/>
      <c r="G6923" s="6"/>
      <c r="K6923" s="6"/>
    </row>
    <row r="6924" spans="3:11" x14ac:dyDescent="0.25">
      <c r="C6924" s="6"/>
      <c r="G6924" s="6"/>
      <c r="K6924" s="6"/>
    </row>
    <row r="6925" spans="3:11" x14ac:dyDescent="0.25">
      <c r="C6925" s="6"/>
      <c r="G6925" s="6"/>
      <c r="K6925" s="6"/>
    </row>
    <row r="6926" spans="3:11" x14ac:dyDescent="0.25">
      <c r="C6926" s="6"/>
      <c r="G6926" s="6"/>
      <c r="K6926" s="6"/>
    </row>
    <row r="6927" spans="3:11" x14ac:dyDescent="0.25">
      <c r="C6927" s="6"/>
      <c r="G6927" s="6"/>
      <c r="K6927" s="6"/>
    </row>
    <row r="6928" spans="3:11" x14ac:dyDescent="0.25">
      <c r="C6928" s="6"/>
      <c r="G6928" s="6"/>
      <c r="K6928" s="6"/>
    </row>
    <row r="6929" spans="3:11" x14ac:dyDescent="0.25">
      <c r="C6929" s="6"/>
      <c r="G6929" s="6"/>
      <c r="K6929" s="6"/>
    </row>
    <row r="6930" spans="3:11" x14ac:dyDescent="0.25">
      <c r="C6930" s="6"/>
      <c r="G6930" s="6"/>
      <c r="K6930" s="6"/>
    </row>
    <row r="6931" spans="3:11" x14ac:dyDescent="0.25">
      <c r="C6931" s="6"/>
      <c r="G6931" s="6"/>
      <c r="K6931" s="6"/>
    </row>
    <row r="6932" spans="3:11" x14ac:dyDescent="0.25">
      <c r="C6932" s="6"/>
      <c r="G6932" s="6"/>
      <c r="K6932" s="6"/>
    </row>
    <row r="6933" spans="3:11" x14ac:dyDescent="0.25">
      <c r="C6933" s="6"/>
      <c r="G6933" s="6"/>
      <c r="K6933" s="6"/>
    </row>
    <row r="6934" spans="3:11" x14ac:dyDescent="0.25">
      <c r="C6934" s="6"/>
      <c r="G6934" s="6"/>
      <c r="K6934" s="6"/>
    </row>
    <row r="6935" spans="3:11" x14ac:dyDescent="0.25">
      <c r="C6935" s="6"/>
      <c r="G6935" s="6"/>
      <c r="K6935" s="6"/>
    </row>
    <row r="6936" spans="3:11" x14ac:dyDescent="0.25">
      <c r="C6936" s="6"/>
      <c r="G6936" s="6"/>
      <c r="K6936" s="6"/>
    </row>
    <row r="6937" spans="3:11" x14ac:dyDescent="0.25">
      <c r="C6937" s="6"/>
      <c r="G6937" s="6"/>
      <c r="K6937" s="6"/>
    </row>
    <row r="6938" spans="3:11" x14ac:dyDescent="0.25">
      <c r="C6938" s="6"/>
      <c r="G6938" s="6"/>
      <c r="K6938" s="6"/>
    </row>
    <row r="6939" spans="3:11" x14ac:dyDescent="0.25">
      <c r="C6939" s="6"/>
      <c r="G6939" s="6"/>
      <c r="K6939" s="6"/>
    </row>
    <row r="6940" spans="3:11" x14ac:dyDescent="0.25">
      <c r="C6940" s="6"/>
      <c r="G6940" s="6"/>
      <c r="K6940" s="6"/>
    </row>
    <row r="6941" spans="3:11" x14ac:dyDescent="0.25">
      <c r="C6941" s="6"/>
      <c r="G6941" s="6"/>
      <c r="K6941" s="6"/>
    </row>
    <row r="6942" spans="3:11" x14ac:dyDescent="0.25">
      <c r="C6942" s="6"/>
      <c r="G6942" s="6"/>
      <c r="K6942" s="6"/>
    </row>
    <row r="6943" spans="3:11" x14ac:dyDescent="0.25">
      <c r="C6943" s="6"/>
      <c r="G6943" s="6"/>
      <c r="K6943" s="6"/>
    </row>
    <row r="6944" spans="3:11" x14ac:dyDescent="0.25">
      <c r="C6944" s="6"/>
      <c r="G6944" s="6"/>
      <c r="K6944" s="6"/>
    </row>
    <row r="6945" spans="3:11" x14ac:dyDescent="0.25">
      <c r="C6945" s="6"/>
      <c r="G6945" s="6"/>
      <c r="K6945" s="6"/>
    </row>
    <row r="6946" spans="3:11" x14ac:dyDescent="0.25">
      <c r="C6946" s="6"/>
      <c r="G6946" s="6"/>
      <c r="K6946" s="6"/>
    </row>
    <row r="6947" spans="3:11" x14ac:dyDescent="0.25">
      <c r="C6947" s="6"/>
      <c r="G6947" s="6"/>
      <c r="K6947" s="6"/>
    </row>
    <row r="6948" spans="3:11" x14ac:dyDescent="0.25">
      <c r="C6948" s="6"/>
      <c r="G6948" s="6"/>
      <c r="K6948" s="6"/>
    </row>
    <row r="6949" spans="3:11" x14ac:dyDescent="0.25">
      <c r="C6949" s="6"/>
      <c r="G6949" s="6"/>
      <c r="K6949" s="6"/>
    </row>
    <row r="6950" spans="3:11" x14ac:dyDescent="0.25">
      <c r="C6950" s="6"/>
      <c r="G6950" s="6"/>
      <c r="K6950" s="6"/>
    </row>
    <row r="6951" spans="3:11" x14ac:dyDescent="0.25">
      <c r="C6951" s="6"/>
      <c r="G6951" s="6"/>
      <c r="K6951" s="6"/>
    </row>
    <row r="6952" spans="3:11" x14ac:dyDescent="0.25">
      <c r="C6952" s="6"/>
      <c r="G6952" s="6"/>
      <c r="K6952" s="6"/>
    </row>
    <row r="6953" spans="3:11" x14ac:dyDescent="0.25">
      <c r="C6953" s="6"/>
      <c r="G6953" s="6"/>
      <c r="K6953" s="6"/>
    </row>
    <row r="6954" spans="3:11" x14ac:dyDescent="0.25">
      <c r="C6954" s="6"/>
      <c r="G6954" s="6"/>
      <c r="K6954" s="6"/>
    </row>
    <row r="6955" spans="3:11" x14ac:dyDescent="0.25">
      <c r="C6955" s="6"/>
      <c r="G6955" s="6"/>
      <c r="K6955" s="6"/>
    </row>
    <row r="6956" spans="3:11" x14ac:dyDescent="0.25">
      <c r="C6956" s="6"/>
      <c r="G6956" s="6"/>
      <c r="K6956" s="6"/>
    </row>
    <row r="6957" spans="3:11" x14ac:dyDescent="0.25">
      <c r="C6957" s="6"/>
      <c r="G6957" s="6"/>
      <c r="K6957" s="6"/>
    </row>
    <row r="6958" spans="3:11" x14ac:dyDescent="0.25">
      <c r="C6958" s="6"/>
      <c r="G6958" s="6"/>
      <c r="K6958" s="6"/>
    </row>
    <row r="6959" spans="3:11" x14ac:dyDescent="0.25">
      <c r="C6959" s="6"/>
      <c r="G6959" s="6"/>
      <c r="K6959" s="6"/>
    </row>
    <row r="6960" spans="3:11" x14ac:dyDescent="0.25">
      <c r="C6960" s="6"/>
      <c r="G6960" s="6"/>
      <c r="K6960" s="6"/>
    </row>
    <row r="6961" spans="3:11" x14ac:dyDescent="0.25">
      <c r="C6961" s="6"/>
      <c r="G6961" s="6"/>
      <c r="K6961" s="6"/>
    </row>
    <row r="6962" spans="3:11" x14ac:dyDescent="0.25">
      <c r="C6962" s="6"/>
      <c r="G6962" s="6"/>
      <c r="K6962" s="6"/>
    </row>
    <row r="6963" spans="3:11" x14ac:dyDescent="0.25">
      <c r="C6963" s="6"/>
      <c r="G6963" s="6"/>
      <c r="K6963" s="6"/>
    </row>
    <row r="6964" spans="3:11" x14ac:dyDescent="0.25">
      <c r="C6964" s="6"/>
      <c r="G6964" s="6"/>
      <c r="K6964" s="6"/>
    </row>
    <row r="6965" spans="3:11" x14ac:dyDescent="0.25">
      <c r="C6965" s="6"/>
      <c r="G6965" s="6"/>
      <c r="K6965" s="6"/>
    </row>
    <row r="6966" spans="3:11" x14ac:dyDescent="0.25">
      <c r="C6966" s="6"/>
      <c r="G6966" s="6"/>
      <c r="K6966" s="6"/>
    </row>
    <row r="6967" spans="3:11" x14ac:dyDescent="0.25">
      <c r="C6967" s="6"/>
      <c r="G6967" s="6"/>
      <c r="K6967" s="6"/>
    </row>
    <row r="6968" spans="3:11" x14ac:dyDescent="0.25">
      <c r="C6968" s="6"/>
      <c r="G6968" s="6"/>
      <c r="K6968" s="6"/>
    </row>
    <row r="6969" spans="3:11" x14ac:dyDescent="0.25">
      <c r="C6969" s="6"/>
      <c r="G6969" s="6"/>
      <c r="K6969" s="6"/>
    </row>
    <row r="6970" spans="3:11" x14ac:dyDescent="0.25">
      <c r="C6970" s="6"/>
      <c r="G6970" s="6"/>
      <c r="K6970" s="6"/>
    </row>
    <row r="6971" spans="3:11" x14ac:dyDescent="0.25">
      <c r="C6971" s="6"/>
      <c r="G6971" s="6"/>
      <c r="K6971" s="6"/>
    </row>
    <row r="6972" spans="3:11" x14ac:dyDescent="0.25">
      <c r="C6972" s="6"/>
      <c r="G6972" s="6"/>
      <c r="K6972" s="6"/>
    </row>
    <row r="6973" spans="3:11" x14ac:dyDescent="0.25">
      <c r="C6973" s="6"/>
      <c r="G6973" s="6"/>
      <c r="K6973" s="6"/>
    </row>
    <row r="6974" spans="3:11" x14ac:dyDescent="0.25">
      <c r="C6974" s="6"/>
      <c r="G6974" s="6"/>
      <c r="K6974" s="6"/>
    </row>
    <row r="6975" spans="3:11" x14ac:dyDescent="0.25">
      <c r="C6975" s="6"/>
      <c r="G6975" s="6"/>
      <c r="K6975" s="6"/>
    </row>
    <row r="6976" spans="3:11" x14ac:dyDescent="0.25">
      <c r="C6976" s="6"/>
      <c r="G6976" s="6"/>
      <c r="K6976" s="6"/>
    </row>
    <row r="6977" spans="3:11" x14ac:dyDescent="0.25">
      <c r="C6977" s="6"/>
      <c r="G6977" s="6"/>
      <c r="K6977" s="6"/>
    </row>
    <row r="6978" spans="3:11" x14ac:dyDescent="0.25">
      <c r="C6978" s="6"/>
      <c r="G6978" s="6"/>
      <c r="K6978" s="6"/>
    </row>
    <row r="6979" spans="3:11" x14ac:dyDescent="0.25">
      <c r="C6979" s="6"/>
      <c r="G6979" s="6"/>
      <c r="K6979" s="6"/>
    </row>
    <row r="6980" spans="3:11" x14ac:dyDescent="0.25">
      <c r="C6980" s="6"/>
      <c r="G6980" s="6"/>
      <c r="K6980" s="6"/>
    </row>
    <row r="6981" spans="3:11" x14ac:dyDescent="0.25">
      <c r="C6981" s="6"/>
      <c r="G6981" s="6"/>
      <c r="K6981" s="6"/>
    </row>
    <row r="6982" spans="3:11" x14ac:dyDescent="0.25">
      <c r="C6982" s="6"/>
      <c r="G6982" s="6"/>
      <c r="K6982" s="6"/>
    </row>
    <row r="6983" spans="3:11" x14ac:dyDescent="0.25">
      <c r="C6983" s="6"/>
      <c r="G6983" s="6"/>
      <c r="K6983" s="6"/>
    </row>
    <row r="6984" spans="3:11" x14ac:dyDescent="0.25">
      <c r="C6984" s="6"/>
      <c r="G6984" s="6"/>
      <c r="K6984" s="6"/>
    </row>
    <row r="6985" spans="3:11" x14ac:dyDescent="0.25">
      <c r="C6985" s="6"/>
      <c r="G6985" s="6"/>
      <c r="K6985" s="6"/>
    </row>
    <row r="6986" spans="3:11" x14ac:dyDescent="0.25">
      <c r="C6986" s="6"/>
      <c r="G6986" s="6"/>
      <c r="K6986" s="6"/>
    </row>
    <row r="6987" spans="3:11" x14ac:dyDescent="0.25">
      <c r="C6987" s="6"/>
      <c r="G6987" s="6"/>
      <c r="K6987" s="6"/>
    </row>
    <row r="6988" spans="3:11" x14ac:dyDescent="0.25">
      <c r="C6988" s="6"/>
      <c r="G6988" s="6"/>
      <c r="K6988" s="6"/>
    </row>
    <row r="6989" spans="3:11" x14ac:dyDescent="0.25">
      <c r="C6989" s="6"/>
      <c r="G6989" s="6"/>
      <c r="K6989" s="6"/>
    </row>
    <row r="6990" spans="3:11" x14ac:dyDescent="0.25">
      <c r="C6990" s="6"/>
      <c r="G6990" s="6"/>
      <c r="K6990" s="6"/>
    </row>
    <row r="6991" spans="3:11" x14ac:dyDescent="0.25">
      <c r="C6991" s="6"/>
      <c r="G6991" s="6"/>
      <c r="K6991" s="6"/>
    </row>
    <row r="6992" spans="3:11" x14ac:dyDescent="0.25">
      <c r="C6992" s="6"/>
      <c r="G6992" s="6"/>
      <c r="K6992" s="6"/>
    </row>
    <row r="6993" spans="3:11" x14ac:dyDescent="0.25">
      <c r="C6993" s="6"/>
      <c r="G6993" s="6"/>
      <c r="K6993" s="6"/>
    </row>
    <row r="6994" spans="3:11" x14ac:dyDescent="0.25">
      <c r="C6994" s="6"/>
      <c r="G6994" s="6"/>
      <c r="K6994" s="6"/>
    </row>
    <row r="6995" spans="3:11" x14ac:dyDescent="0.25">
      <c r="C6995" s="6"/>
      <c r="G6995" s="6"/>
      <c r="K6995" s="6"/>
    </row>
    <row r="6996" spans="3:11" x14ac:dyDescent="0.25">
      <c r="C6996" s="6"/>
      <c r="G6996" s="6"/>
      <c r="K6996" s="6"/>
    </row>
    <row r="6997" spans="3:11" x14ac:dyDescent="0.25">
      <c r="C6997" s="6"/>
      <c r="G6997" s="6"/>
      <c r="K6997" s="6"/>
    </row>
    <row r="6998" spans="3:11" x14ac:dyDescent="0.25">
      <c r="C6998" s="6"/>
      <c r="G6998" s="6"/>
      <c r="K6998" s="6"/>
    </row>
    <row r="6999" spans="3:11" x14ac:dyDescent="0.25">
      <c r="C6999" s="6"/>
      <c r="G6999" s="6"/>
      <c r="K6999" s="6"/>
    </row>
    <row r="7000" spans="3:11" x14ac:dyDescent="0.25">
      <c r="C7000" s="6"/>
      <c r="G7000" s="6"/>
      <c r="K7000" s="6"/>
    </row>
    <row r="7001" spans="3:11" x14ac:dyDescent="0.25">
      <c r="C7001" s="6"/>
      <c r="G7001" s="6"/>
      <c r="K7001" s="6"/>
    </row>
    <row r="7002" spans="3:11" x14ac:dyDescent="0.25">
      <c r="C7002" s="6"/>
      <c r="G7002" s="6"/>
      <c r="K7002" s="6"/>
    </row>
    <row r="7003" spans="3:11" x14ac:dyDescent="0.25">
      <c r="C7003" s="6"/>
      <c r="G7003" s="6"/>
      <c r="K7003" s="6"/>
    </row>
    <row r="7004" spans="3:11" x14ac:dyDescent="0.25">
      <c r="C7004" s="6"/>
      <c r="G7004" s="6"/>
      <c r="K7004" s="6"/>
    </row>
    <row r="7005" spans="3:11" x14ac:dyDescent="0.25">
      <c r="C7005" s="6"/>
      <c r="G7005" s="6"/>
      <c r="K7005" s="6"/>
    </row>
    <row r="7006" spans="3:11" x14ac:dyDescent="0.25">
      <c r="C7006" s="6"/>
      <c r="G7006" s="6"/>
      <c r="K7006" s="6"/>
    </row>
    <row r="7007" spans="3:11" x14ac:dyDescent="0.25">
      <c r="C7007" s="6"/>
      <c r="G7007" s="6"/>
      <c r="K7007" s="6"/>
    </row>
    <row r="7008" spans="3:11" x14ac:dyDescent="0.25">
      <c r="C7008" s="6"/>
      <c r="G7008" s="6"/>
      <c r="K7008" s="6"/>
    </row>
    <row r="7009" spans="3:11" x14ac:dyDescent="0.25">
      <c r="C7009" s="6"/>
      <c r="G7009" s="6"/>
      <c r="K7009" s="6"/>
    </row>
    <row r="7010" spans="3:11" x14ac:dyDescent="0.25">
      <c r="C7010" s="6"/>
      <c r="G7010" s="6"/>
      <c r="K7010" s="6"/>
    </row>
    <row r="7011" spans="3:11" x14ac:dyDescent="0.25">
      <c r="C7011" s="6"/>
      <c r="G7011" s="6"/>
      <c r="K7011" s="6"/>
    </row>
    <row r="7012" spans="3:11" x14ac:dyDescent="0.25">
      <c r="C7012" s="6"/>
      <c r="G7012" s="6"/>
      <c r="K7012" s="6"/>
    </row>
    <row r="7013" spans="3:11" x14ac:dyDescent="0.25">
      <c r="C7013" s="6"/>
      <c r="G7013" s="6"/>
      <c r="K7013" s="6"/>
    </row>
    <row r="7014" spans="3:11" x14ac:dyDescent="0.25">
      <c r="C7014" s="6"/>
      <c r="G7014" s="6"/>
      <c r="K7014" s="6"/>
    </row>
    <row r="7015" spans="3:11" x14ac:dyDescent="0.25">
      <c r="C7015" s="6"/>
      <c r="G7015" s="6"/>
      <c r="K7015" s="6"/>
    </row>
    <row r="7016" spans="3:11" x14ac:dyDescent="0.25">
      <c r="C7016" s="6"/>
      <c r="G7016" s="6"/>
      <c r="K7016" s="6"/>
    </row>
    <row r="7017" spans="3:11" x14ac:dyDescent="0.25">
      <c r="C7017" s="6"/>
      <c r="G7017" s="6"/>
      <c r="K7017" s="6"/>
    </row>
    <row r="7018" spans="3:11" x14ac:dyDescent="0.25">
      <c r="C7018" s="6"/>
      <c r="G7018" s="6"/>
      <c r="K7018" s="6"/>
    </row>
    <row r="7019" spans="3:11" x14ac:dyDescent="0.25">
      <c r="C7019" s="6"/>
      <c r="G7019" s="6"/>
      <c r="K7019" s="6"/>
    </row>
    <row r="7020" spans="3:11" x14ac:dyDescent="0.25">
      <c r="C7020" s="6"/>
      <c r="G7020" s="6"/>
      <c r="K7020" s="6"/>
    </row>
    <row r="7021" spans="3:11" x14ac:dyDescent="0.25">
      <c r="C7021" s="6"/>
      <c r="G7021" s="6"/>
      <c r="K7021" s="6"/>
    </row>
    <row r="7022" spans="3:11" x14ac:dyDescent="0.25">
      <c r="C7022" s="6"/>
      <c r="G7022" s="6"/>
      <c r="K7022" s="6"/>
    </row>
    <row r="7023" spans="3:11" x14ac:dyDescent="0.25">
      <c r="C7023" s="6"/>
      <c r="G7023" s="6"/>
      <c r="K7023" s="6"/>
    </row>
    <row r="7024" spans="3:11" x14ac:dyDescent="0.25">
      <c r="C7024" s="6"/>
      <c r="G7024" s="6"/>
      <c r="K7024" s="6"/>
    </row>
    <row r="7025" spans="3:11" x14ac:dyDescent="0.25">
      <c r="C7025" s="6"/>
      <c r="G7025" s="6"/>
      <c r="K7025" s="6"/>
    </row>
    <row r="7026" spans="3:11" x14ac:dyDescent="0.25">
      <c r="C7026" s="6"/>
      <c r="G7026" s="6"/>
      <c r="K7026" s="6"/>
    </row>
    <row r="7027" spans="3:11" x14ac:dyDescent="0.25">
      <c r="C7027" s="6"/>
      <c r="G7027" s="6"/>
      <c r="K7027" s="6"/>
    </row>
    <row r="7028" spans="3:11" x14ac:dyDescent="0.25">
      <c r="C7028" s="6"/>
      <c r="G7028" s="6"/>
      <c r="K7028" s="6"/>
    </row>
    <row r="7029" spans="3:11" x14ac:dyDescent="0.25">
      <c r="C7029" s="6"/>
      <c r="G7029" s="6"/>
      <c r="K7029" s="6"/>
    </row>
    <row r="7030" spans="3:11" x14ac:dyDescent="0.25">
      <c r="C7030" s="6"/>
      <c r="G7030" s="6"/>
      <c r="K7030" s="6"/>
    </row>
    <row r="7031" spans="3:11" x14ac:dyDescent="0.25">
      <c r="C7031" s="6"/>
      <c r="G7031" s="6"/>
      <c r="K7031" s="6"/>
    </row>
    <row r="7032" spans="3:11" x14ac:dyDescent="0.25">
      <c r="C7032" s="6"/>
      <c r="G7032" s="6"/>
      <c r="K7032" s="6"/>
    </row>
    <row r="7033" spans="3:11" x14ac:dyDescent="0.25">
      <c r="C7033" s="6"/>
      <c r="G7033" s="6"/>
      <c r="K7033" s="6"/>
    </row>
    <row r="7034" spans="3:11" x14ac:dyDescent="0.25">
      <c r="C7034" s="6"/>
      <c r="G7034" s="6"/>
      <c r="K7034" s="6"/>
    </row>
    <row r="7035" spans="3:11" x14ac:dyDescent="0.25">
      <c r="C7035" s="6"/>
      <c r="G7035" s="6"/>
      <c r="K7035" s="6"/>
    </row>
    <row r="7036" spans="3:11" x14ac:dyDescent="0.25">
      <c r="C7036" s="6"/>
      <c r="G7036" s="6"/>
      <c r="K7036" s="6"/>
    </row>
    <row r="7037" spans="3:11" x14ac:dyDescent="0.25">
      <c r="C7037" s="6"/>
      <c r="G7037" s="6"/>
      <c r="K7037" s="6"/>
    </row>
    <row r="7038" spans="3:11" x14ac:dyDescent="0.25">
      <c r="C7038" s="6"/>
      <c r="G7038" s="6"/>
      <c r="K7038" s="6"/>
    </row>
    <row r="7039" spans="3:11" x14ac:dyDescent="0.25">
      <c r="C7039" s="6"/>
      <c r="G7039" s="6"/>
      <c r="K7039" s="6"/>
    </row>
    <row r="7040" spans="3:11" x14ac:dyDescent="0.25">
      <c r="C7040" s="6"/>
      <c r="G7040" s="6"/>
      <c r="K7040" s="6"/>
    </row>
    <row r="7041" spans="3:11" x14ac:dyDescent="0.25">
      <c r="C7041" s="6"/>
      <c r="G7041" s="6"/>
      <c r="K7041" s="6"/>
    </row>
    <row r="7042" spans="3:11" x14ac:dyDescent="0.25">
      <c r="C7042" s="6"/>
      <c r="G7042" s="6"/>
      <c r="K7042" s="6"/>
    </row>
    <row r="7043" spans="3:11" x14ac:dyDescent="0.25">
      <c r="C7043" s="6"/>
      <c r="G7043" s="6"/>
      <c r="K7043" s="6"/>
    </row>
    <row r="7044" spans="3:11" x14ac:dyDescent="0.25">
      <c r="C7044" s="6"/>
      <c r="G7044" s="6"/>
      <c r="K7044" s="6"/>
    </row>
    <row r="7045" spans="3:11" x14ac:dyDescent="0.25">
      <c r="C7045" s="6"/>
      <c r="G7045" s="6"/>
      <c r="K7045" s="6"/>
    </row>
    <row r="7046" spans="3:11" x14ac:dyDescent="0.25">
      <c r="C7046" s="6"/>
      <c r="G7046" s="6"/>
      <c r="K7046" s="6"/>
    </row>
    <row r="7047" spans="3:11" x14ac:dyDescent="0.25">
      <c r="C7047" s="6"/>
      <c r="G7047" s="6"/>
      <c r="K7047" s="6"/>
    </row>
    <row r="7048" spans="3:11" x14ac:dyDescent="0.25">
      <c r="C7048" s="6"/>
      <c r="G7048" s="6"/>
      <c r="K7048" s="6"/>
    </row>
    <row r="7049" spans="3:11" x14ac:dyDescent="0.25">
      <c r="C7049" s="6"/>
      <c r="G7049" s="6"/>
      <c r="K7049" s="6"/>
    </row>
    <row r="7050" spans="3:11" x14ac:dyDescent="0.25">
      <c r="C7050" s="6"/>
      <c r="G7050" s="6"/>
      <c r="K7050" s="6"/>
    </row>
    <row r="7051" spans="3:11" x14ac:dyDescent="0.25">
      <c r="C7051" s="6"/>
      <c r="G7051" s="6"/>
      <c r="K7051" s="6"/>
    </row>
    <row r="7052" spans="3:11" x14ac:dyDescent="0.25">
      <c r="C7052" s="6"/>
      <c r="G7052" s="6"/>
      <c r="K7052" s="6"/>
    </row>
    <row r="7053" spans="3:11" x14ac:dyDescent="0.25">
      <c r="C7053" s="6"/>
      <c r="G7053" s="6"/>
      <c r="K7053" s="6"/>
    </row>
    <row r="7054" spans="3:11" x14ac:dyDescent="0.25">
      <c r="C7054" s="6"/>
      <c r="G7054" s="6"/>
      <c r="K7054" s="6"/>
    </row>
    <row r="7055" spans="3:11" x14ac:dyDescent="0.25">
      <c r="C7055" s="6"/>
      <c r="G7055" s="6"/>
      <c r="K7055" s="6"/>
    </row>
    <row r="7056" spans="3:11" x14ac:dyDescent="0.25">
      <c r="C7056" s="6"/>
      <c r="G7056" s="6"/>
      <c r="K7056" s="6"/>
    </row>
    <row r="7057" spans="3:11" x14ac:dyDescent="0.25">
      <c r="C7057" s="6"/>
      <c r="G7057" s="6"/>
      <c r="K7057" s="6"/>
    </row>
    <row r="7058" spans="3:11" x14ac:dyDescent="0.25">
      <c r="C7058" s="6"/>
      <c r="G7058" s="6"/>
      <c r="K7058" s="6"/>
    </row>
    <row r="7059" spans="3:11" x14ac:dyDescent="0.25">
      <c r="C7059" s="6"/>
      <c r="G7059" s="6"/>
      <c r="K7059" s="6"/>
    </row>
    <row r="7060" spans="3:11" x14ac:dyDescent="0.25">
      <c r="C7060" s="6"/>
      <c r="G7060" s="6"/>
      <c r="K7060" s="6"/>
    </row>
    <row r="7061" spans="3:11" x14ac:dyDescent="0.25">
      <c r="C7061" s="6"/>
      <c r="G7061" s="6"/>
      <c r="K7061" s="6"/>
    </row>
    <row r="7062" spans="3:11" x14ac:dyDescent="0.25">
      <c r="C7062" s="6"/>
      <c r="G7062" s="6"/>
      <c r="K7062" s="6"/>
    </row>
    <row r="7063" spans="3:11" x14ac:dyDescent="0.25">
      <c r="C7063" s="6"/>
      <c r="G7063" s="6"/>
      <c r="K7063" s="6"/>
    </row>
    <row r="7064" spans="3:11" x14ac:dyDescent="0.25">
      <c r="C7064" s="6"/>
      <c r="G7064" s="6"/>
      <c r="K7064" s="6"/>
    </row>
    <row r="7065" spans="3:11" x14ac:dyDescent="0.25">
      <c r="C7065" s="6"/>
      <c r="G7065" s="6"/>
      <c r="K7065" s="6"/>
    </row>
    <row r="7066" spans="3:11" x14ac:dyDescent="0.25">
      <c r="C7066" s="6"/>
      <c r="G7066" s="6"/>
      <c r="K7066" s="6"/>
    </row>
    <row r="7067" spans="3:11" x14ac:dyDescent="0.25">
      <c r="C7067" s="6"/>
      <c r="G7067" s="6"/>
      <c r="K7067" s="6"/>
    </row>
    <row r="7068" spans="3:11" x14ac:dyDescent="0.25">
      <c r="C7068" s="6"/>
      <c r="G7068" s="6"/>
      <c r="K7068" s="6"/>
    </row>
    <row r="7069" spans="3:11" x14ac:dyDescent="0.25">
      <c r="C7069" s="6"/>
      <c r="G7069" s="6"/>
      <c r="K7069" s="6"/>
    </row>
    <row r="7070" spans="3:11" x14ac:dyDescent="0.25">
      <c r="C7070" s="6"/>
      <c r="G7070" s="6"/>
      <c r="K7070" s="6"/>
    </row>
    <row r="7071" spans="3:11" x14ac:dyDescent="0.25">
      <c r="C7071" s="6"/>
      <c r="G7071" s="6"/>
      <c r="K7071" s="6"/>
    </row>
    <row r="7072" spans="3:11" x14ac:dyDescent="0.25">
      <c r="C7072" s="6"/>
      <c r="G7072" s="6"/>
      <c r="K7072" s="6"/>
    </row>
    <row r="7073" spans="3:11" x14ac:dyDescent="0.25">
      <c r="C7073" s="6"/>
      <c r="G7073" s="6"/>
      <c r="K7073" s="6"/>
    </row>
    <row r="7074" spans="3:11" x14ac:dyDescent="0.25">
      <c r="C7074" s="6"/>
      <c r="G7074" s="6"/>
      <c r="K7074" s="6"/>
    </row>
    <row r="7075" spans="3:11" x14ac:dyDescent="0.25">
      <c r="C7075" s="6"/>
      <c r="G7075" s="6"/>
      <c r="K7075" s="6"/>
    </row>
    <row r="7076" spans="3:11" x14ac:dyDescent="0.25">
      <c r="C7076" s="6"/>
      <c r="G7076" s="6"/>
      <c r="K7076" s="6"/>
    </row>
    <row r="7077" spans="3:11" x14ac:dyDescent="0.25">
      <c r="C7077" s="6"/>
      <c r="G7077" s="6"/>
      <c r="K7077" s="6"/>
    </row>
    <row r="7078" spans="3:11" x14ac:dyDescent="0.25">
      <c r="C7078" s="6"/>
      <c r="G7078" s="6"/>
      <c r="K7078" s="6"/>
    </row>
    <row r="7079" spans="3:11" x14ac:dyDescent="0.25">
      <c r="C7079" s="6"/>
      <c r="G7079" s="6"/>
      <c r="K7079" s="6"/>
    </row>
    <row r="7080" spans="3:11" x14ac:dyDescent="0.25">
      <c r="C7080" s="6"/>
      <c r="G7080" s="6"/>
      <c r="K7080" s="6"/>
    </row>
    <row r="7081" spans="3:11" x14ac:dyDescent="0.25">
      <c r="C7081" s="6"/>
      <c r="G7081" s="6"/>
      <c r="K7081" s="6"/>
    </row>
    <row r="7082" spans="3:11" x14ac:dyDescent="0.25">
      <c r="C7082" s="6"/>
      <c r="G7082" s="6"/>
      <c r="K7082" s="6"/>
    </row>
    <row r="7083" spans="3:11" x14ac:dyDescent="0.25">
      <c r="C7083" s="6"/>
      <c r="G7083" s="6"/>
      <c r="K7083" s="6"/>
    </row>
    <row r="7084" spans="3:11" x14ac:dyDescent="0.25">
      <c r="C7084" s="6"/>
      <c r="G7084" s="6"/>
      <c r="K7084" s="6"/>
    </row>
    <row r="7085" spans="3:11" x14ac:dyDescent="0.25">
      <c r="C7085" s="6"/>
      <c r="G7085" s="6"/>
      <c r="K7085" s="6"/>
    </row>
    <row r="7086" spans="3:11" x14ac:dyDescent="0.25">
      <c r="C7086" s="6"/>
      <c r="G7086" s="6"/>
      <c r="K7086" s="6"/>
    </row>
    <row r="7087" spans="3:11" x14ac:dyDescent="0.25">
      <c r="C7087" s="6"/>
      <c r="G7087" s="6"/>
      <c r="K7087" s="6"/>
    </row>
    <row r="7088" spans="3:11" x14ac:dyDescent="0.25">
      <c r="C7088" s="6"/>
      <c r="G7088" s="6"/>
      <c r="K7088" s="6"/>
    </row>
    <row r="7089" spans="3:11" x14ac:dyDescent="0.25">
      <c r="C7089" s="6"/>
      <c r="G7089" s="6"/>
      <c r="K7089" s="6"/>
    </row>
    <row r="7090" spans="3:11" x14ac:dyDescent="0.25">
      <c r="C7090" s="6"/>
      <c r="G7090" s="6"/>
      <c r="K7090" s="6"/>
    </row>
    <row r="7091" spans="3:11" x14ac:dyDescent="0.25">
      <c r="C7091" s="6"/>
      <c r="G7091" s="6"/>
      <c r="K7091" s="6"/>
    </row>
    <row r="7092" spans="3:11" x14ac:dyDescent="0.25">
      <c r="C7092" s="6"/>
      <c r="G7092" s="6"/>
      <c r="K7092" s="6"/>
    </row>
    <row r="7093" spans="3:11" x14ac:dyDescent="0.25">
      <c r="C7093" s="6"/>
      <c r="G7093" s="6"/>
      <c r="K7093" s="6"/>
    </row>
    <row r="7094" spans="3:11" x14ac:dyDescent="0.25">
      <c r="C7094" s="6"/>
      <c r="G7094" s="6"/>
      <c r="K7094" s="6"/>
    </row>
    <row r="7095" spans="3:11" x14ac:dyDescent="0.25">
      <c r="C7095" s="6"/>
      <c r="G7095" s="6"/>
      <c r="K7095" s="6"/>
    </row>
    <row r="7096" spans="3:11" x14ac:dyDescent="0.25">
      <c r="C7096" s="6"/>
      <c r="G7096" s="6"/>
      <c r="K7096" s="6"/>
    </row>
    <row r="7097" spans="3:11" x14ac:dyDescent="0.25">
      <c r="C7097" s="6"/>
      <c r="G7097" s="6"/>
      <c r="K7097" s="6"/>
    </row>
    <row r="7098" spans="3:11" x14ac:dyDescent="0.25">
      <c r="C7098" s="6"/>
      <c r="G7098" s="6"/>
      <c r="K7098" s="6"/>
    </row>
    <row r="7099" spans="3:11" x14ac:dyDescent="0.25">
      <c r="C7099" s="6"/>
      <c r="G7099" s="6"/>
      <c r="K7099" s="6"/>
    </row>
    <row r="7100" spans="3:11" x14ac:dyDescent="0.25">
      <c r="C7100" s="6"/>
      <c r="G7100" s="6"/>
      <c r="K7100" s="6"/>
    </row>
    <row r="7101" spans="3:11" x14ac:dyDescent="0.25">
      <c r="C7101" s="6"/>
      <c r="G7101" s="6"/>
      <c r="K7101" s="6"/>
    </row>
    <row r="7102" spans="3:11" x14ac:dyDescent="0.25">
      <c r="C7102" s="6"/>
      <c r="G7102" s="6"/>
      <c r="K7102" s="6"/>
    </row>
    <row r="7103" spans="3:11" x14ac:dyDescent="0.25">
      <c r="C7103" s="6"/>
      <c r="G7103" s="6"/>
      <c r="K7103" s="6"/>
    </row>
    <row r="7104" spans="3:11" x14ac:dyDescent="0.25">
      <c r="C7104" s="6"/>
      <c r="G7104" s="6"/>
      <c r="K7104" s="6"/>
    </row>
    <row r="7105" spans="3:11" x14ac:dyDescent="0.25">
      <c r="C7105" s="6"/>
      <c r="G7105" s="6"/>
      <c r="K7105" s="6"/>
    </row>
    <row r="7106" spans="3:11" x14ac:dyDescent="0.25">
      <c r="C7106" s="6"/>
      <c r="G7106" s="6"/>
      <c r="K7106" s="6"/>
    </row>
    <row r="7107" spans="3:11" x14ac:dyDescent="0.25">
      <c r="C7107" s="6"/>
      <c r="G7107" s="6"/>
      <c r="K7107" s="6"/>
    </row>
    <row r="7108" spans="3:11" x14ac:dyDescent="0.25">
      <c r="C7108" s="6"/>
      <c r="G7108" s="6"/>
      <c r="K7108" s="6"/>
    </row>
    <row r="7109" spans="3:11" x14ac:dyDescent="0.25">
      <c r="C7109" s="6"/>
      <c r="G7109" s="6"/>
      <c r="K7109" s="6"/>
    </row>
    <row r="7110" spans="3:11" x14ac:dyDescent="0.25">
      <c r="C7110" s="6"/>
      <c r="G7110" s="6"/>
      <c r="K7110" s="6"/>
    </row>
    <row r="7111" spans="3:11" x14ac:dyDescent="0.25">
      <c r="C7111" s="6"/>
      <c r="G7111" s="6"/>
      <c r="K7111" s="6"/>
    </row>
    <row r="7112" spans="3:11" x14ac:dyDescent="0.25">
      <c r="C7112" s="6"/>
      <c r="G7112" s="6"/>
      <c r="K7112" s="6"/>
    </row>
    <row r="7113" spans="3:11" x14ac:dyDescent="0.25">
      <c r="C7113" s="6"/>
      <c r="G7113" s="6"/>
      <c r="K7113" s="6"/>
    </row>
    <row r="7114" spans="3:11" x14ac:dyDescent="0.25">
      <c r="C7114" s="6"/>
      <c r="G7114" s="6"/>
      <c r="K7114" s="6"/>
    </row>
    <row r="7115" spans="3:11" x14ac:dyDescent="0.25">
      <c r="C7115" s="6"/>
      <c r="G7115" s="6"/>
      <c r="K7115" s="6"/>
    </row>
    <row r="7116" spans="3:11" x14ac:dyDescent="0.25">
      <c r="C7116" s="6"/>
      <c r="G7116" s="6"/>
      <c r="K7116" s="6"/>
    </row>
    <row r="7117" spans="3:11" x14ac:dyDescent="0.25">
      <c r="C7117" s="6"/>
      <c r="G7117" s="6"/>
      <c r="K7117" s="6"/>
    </row>
    <row r="7118" spans="3:11" x14ac:dyDescent="0.25">
      <c r="C7118" s="6"/>
      <c r="G7118" s="6"/>
      <c r="K7118" s="6"/>
    </row>
    <row r="7119" spans="3:11" x14ac:dyDescent="0.25">
      <c r="C7119" s="6"/>
      <c r="G7119" s="6"/>
      <c r="K7119" s="6"/>
    </row>
    <row r="7120" spans="3:11" x14ac:dyDescent="0.25">
      <c r="C7120" s="6"/>
      <c r="G7120" s="6"/>
      <c r="K7120" s="6"/>
    </row>
    <row r="7121" spans="3:11" x14ac:dyDescent="0.25">
      <c r="C7121" s="6"/>
      <c r="G7121" s="6"/>
      <c r="K7121" s="6"/>
    </row>
    <row r="7122" spans="3:11" x14ac:dyDescent="0.25">
      <c r="C7122" s="6"/>
      <c r="G7122" s="6"/>
      <c r="K7122" s="6"/>
    </row>
    <row r="7123" spans="3:11" x14ac:dyDescent="0.25">
      <c r="C7123" s="6"/>
      <c r="G7123" s="6"/>
      <c r="K7123" s="6"/>
    </row>
    <row r="7124" spans="3:11" x14ac:dyDescent="0.25">
      <c r="C7124" s="6"/>
      <c r="G7124" s="6"/>
      <c r="K7124" s="6"/>
    </row>
    <row r="7125" spans="3:11" x14ac:dyDescent="0.25">
      <c r="C7125" s="6"/>
      <c r="G7125" s="6"/>
      <c r="K7125" s="6"/>
    </row>
    <row r="7126" spans="3:11" x14ac:dyDescent="0.25">
      <c r="C7126" s="6"/>
      <c r="G7126" s="6"/>
      <c r="K7126" s="6"/>
    </row>
    <row r="7127" spans="3:11" x14ac:dyDescent="0.25">
      <c r="C7127" s="6"/>
      <c r="G7127" s="6"/>
      <c r="K7127" s="6"/>
    </row>
    <row r="7128" spans="3:11" x14ac:dyDescent="0.25">
      <c r="C7128" s="6"/>
      <c r="G7128" s="6"/>
      <c r="K7128" s="6"/>
    </row>
    <row r="7129" spans="3:11" x14ac:dyDescent="0.25">
      <c r="C7129" s="6"/>
      <c r="G7129" s="6"/>
      <c r="K7129" s="6"/>
    </row>
    <row r="7130" spans="3:11" x14ac:dyDescent="0.25">
      <c r="C7130" s="6"/>
      <c r="G7130" s="6"/>
      <c r="K7130" s="6"/>
    </row>
    <row r="7131" spans="3:11" x14ac:dyDescent="0.25">
      <c r="C7131" s="6"/>
      <c r="G7131" s="6"/>
      <c r="K7131" s="6"/>
    </row>
    <row r="7132" spans="3:11" x14ac:dyDescent="0.25">
      <c r="C7132" s="6"/>
      <c r="G7132" s="6"/>
      <c r="K7132" s="6"/>
    </row>
    <row r="7133" spans="3:11" x14ac:dyDescent="0.25">
      <c r="C7133" s="6"/>
      <c r="G7133" s="6"/>
      <c r="K7133" s="6"/>
    </row>
    <row r="7134" spans="3:11" x14ac:dyDescent="0.25">
      <c r="C7134" s="6"/>
      <c r="G7134" s="6"/>
      <c r="K7134" s="6"/>
    </row>
    <row r="7135" spans="3:11" x14ac:dyDescent="0.25">
      <c r="C7135" s="6"/>
      <c r="G7135" s="6"/>
      <c r="K7135" s="6"/>
    </row>
    <row r="7136" spans="3:11" x14ac:dyDescent="0.25">
      <c r="C7136" s="6"/>
      <c r="G7136" s="6"/>
      <c r="K7136" s="6"/>
    </row>
    <row r="7137" spans="3:11" x14ac:dyDescent="0.25">
      <c r="C7137" s="6"/>
      <c r="G7137" s="6"/>
      <c r="K7137" s="6"/>
    </row>
    <row r="7138" spans="3:11" x14ac:dyDescent="0.25">
      <c r="C7138" s="6"/>
      <c r="G7138" s="6"/>
      <c r="K7138" s="6"/>
    </row>
    <row r="7139" spans="3:11" x14ac:dyDescent="0.25">
      <c r="C7139" s="6"/>
      <c r="G7139" s="6"/>
      <c r="K7139" s="6"/>
    </row>
    <row r="7140" spans="3:11" x14ac:dyDescent="0.25">
      <c r="C7140" s="6"/>
      <c r="G7140" s="6"/>
      <c r="K7140" s="6"/>
    </row>
    <row r="7141" spans="3:11" x14ac:dyDescent="0.25">
      <c r="C7141" s="6"/>
      <c r="G7141" s="6"/>
      <c r="K7141" s="6"/>
    </row>
    <row r="7142" spans="3:11" x14ac:dyDescent="0.25">
      <c r="C7142" s="6"/>
      <c r="G7142" s="6"/>
      <c r="K7142" s="6"/>
    </row>
    <row r="7143" spans="3:11" x14ac:dyDescent="0.25">
      <c r="C7143" s="6"/>
      <c r="G7143" s="6"/>
      <c r="K7143" s="6"/>
    </row>
    <row r="7144" spans="3:11" x14ac:dyDescent="0.25">
      <c r="C7144" s="6"/>
      <c r="G7144" s="6"/>
      <c r="K7144" s="6"/>
    </row>
    <row r="7145" spans="3:11" x14ac:dyDescent="0.25">
      <c r="C7145" s="6"/>
      <c r="G7145" s="6"/>
      <c r="K7145" s="6"/>
    </row>
    <row r="7146" spans="3:11" x14ac:dyDescent="0.25">
      <c r="C7146" s="6"/>
      <c r="G7146" s="6"/>
      <c r="K7146" s="6"/>
    </row>
    <row r="7147" spans="3:11" x14ac:dyDescent="0.25">
      <c r="C7147" s="6"/>
      <c r="G7147" s="6"/>
      <c r="K7147" s="6"/>
    </row>
    <row r="7148" spans="3:11" x14ac:dyDescent="0.25">
      <c r="C7148" s="6"/>
      <c r="G7148" s="6"/>
      <c r="K7148" s="6"/>
    </row>
    <row r="7149" spans="3:11" x14ac:dyDescent="0.25">
      <c r="C7149" s="6"/>
      <c r="G7149" s="6"/>
      <c r="K7149" s="6"/>
    </row>
    <row r="7150" spans="3:11" x14ac:dyDescent="0.25">
      <c r="C7150" s="6"/>
      <c r="G7150" s="6"/>
      <c r="K7150" s="6"/>
    </row>
    <row r="7151" spans="3:11" x14ac:dyDescent="0.25">
      <c r="C7151" s="6"/>
      <c r="G7151" s="6"/>
      <c r="K7151" s="6"/>
    </row>
    <row r="7152" spans="3:11" x14ac:dyDescent="0.25">
      <c r="C7152" s="6"/>
      <c r="G7152" s="6"/>
      <c r="K7152" s="6"/>
    </row>
    <row r="7153" spans="3:11" x14ac:dyDescent="0.25">
      <c r="C7153" s="6"/>
      <c r="G7153" s="6"/>
      <c r="K7153" s="6"/>
    </row>
    <row r="7154" spans="3:11" x14ac:dyDescent="0.25">
      <c r="C7154" s="6"/>
      <c r="G7154" s="6"/>
      <c r="K7154" s="6"/>
    </row>
    <row r="7155" spans="3:11" x14ac:dyDescent="0.25">
      <c r="C7155" s="6"/>
      <c r="G7155" s="6"/>
      <c r="K7155" s="6"/>
    </row>
    <row r="7156" spans="3:11" x14ac:dyDescent="0.25">
      <c r="C7156" s="6"/>
      <c r="G7156" s="6"/>
      <c r="K7156" s="6"/>
    </row>
    <row r="7157" spans="3:11" x14ac:dyDescent="0.25">
      <c r="C7157" s="6"/>
      <c r="G7157" s="6"/>
      <c r="K7157" s="6"/>
    </row>
    <row r="7158" spans="3:11" x14ac:dyDescent="0.25">
      <c r="C7158" s="6"/>
      <c r="G7158" s="6"/>
      <c r="K7158" s="6"/>
    </row>
    <row r="7159" spans="3:11" x14ac:dyDescent="0.25">
      <c r="C7159" s="6"/>
      <c r="G7159" s="6"/>
      <c r="K7159" s="6"/>
    </row>
    <row r="7160" spans="3:11" x14ac:dyDescent="0.25">
      <c r="C7160" s="6"/>
      <c r="G7160" s="6"/>
      <c r="K7160" s="6"/>
    </row>
    <row r="7161" spans="3:11" x14ac:dyDescent="0.25">
      <c r="C7161" s="6"/>
      <c r="G7161" s="6"/>
      <c r="K7161" s="6"/>
    </row>
    <row r="7162" spans="3:11" x14ac:dyDescent="0.25">
      <c r="C7162" s="6"/>
      <c r="G7162" s="6"/>
      <c r="K7162" s="6"/>
    </row>
    <row r="7163" spans="3:11" x14ac:dyDescent="0.25">
      <c r="C7163" s="6"/>
      <c r="G7163" s="6"/>
      <c r="K7163" s="6"/>
    </row>
    <row r="7164" spans="3:11" x14ac:dyDescent="0.25">
      <c r="C7164" s="6"/>
      <c r="G7164" s="6"/>
      <c r="K7164" s="6"/>
    </row>
    <row r="7165" spans="3:11" x14ac:dyDescent="0.25">
      <c r="C7165" s="6"/>
      <c r="G7165" s="6"/>
      <c r="K7165" s="6"/>
    </row>
    <row r="7166" spans="3:11" x14ac:dyDescent="0.25">
      <c r="C7166" s="6"/>
      <c r="G7166" s="6"/>
      <c r="K7166" s="6"/>
    </row>
    <row r="7167" spans="3:11" x14ac:dyDescent="0.25">
      <c r="C7167" s="6"/>
      <c r="G7167" s="6"/>
      <c r="K7167" s="6"/>
    </row>
    <row r="7168" spans="3:11" x14ac:dyDescent="0.25">
      <c r="C7168" s="6"/>
      <c r="G7168" s="6"/>
      <c r="K7168" s="6"/>
    </row>
    <row r="7169" spans="3:11" x14ac:dyDescent="0.25">
      <c r="C7169" s="6"/>
      <c r="G7169" s="6"/>
      <c r="K7169" s="6"/>
    </row>
    <row r="7170" spans="3:11" x14ac:dyDescent="0.25">
      <c r="C7170" s="6"/>
      <c r="G7170" s="6"/>
      <c r="K7170" s="6"/>
    </row>
    <row r="7171" spans="3:11" x14ac:dyDescent="0.25">
      <c r="C7171" s="6"/>
      <c r="G7171" s="6"/>
      <c r="K7171" s="6"/>
    </row>
    <row r="7172" spans="3:11" x14ac:dyDescent="0.25">
      <c r="C7172" s="6"/>
      <c r="G7172" s="6"/>
      <c r="K7172" s="6"/>
    </row>
    <row r="7173" spans="3:11" x14ac:dyDescent="0.25">
      <c r="C7173" s="6"/>
      <c r="G7173" s="6"/>
      <c r="K7173" s="6"/>
    </row>
    <row r="7174" spans="3:11" x14ac:dyDescent="0.25">
      <c r="C7174" s="6"/>
      <c r="G7174" s="6"/>
      <c r="K7174" s="6"/>
    </row>
    <row r="7175" spans="3:11" x14ac:dyDescent="0.25">
      <c r="C7175" s="6"/>
      <c r="G7175" s="6"/>
      <c r="K7175" s="6"/>
    </row>
    <row r="7176" spans="3:11" x14ac:dyDescent="0.25">
      <c r="C7176" s="6"/>
      <c r="G7176" s="6"/>
      <c r="K7176" s="6"/>
    </row>
    <row r="7177" spans="3:11" x14ac:dyDescent="0.25">
      <c r="C7177" s="6"/>
      <c r="G7177" s="6"/>
      <c r="K7177" s="6"/>
    </row>
    <row r="7178" spans="3:11" x14ac:dyDescent="0.25">
      <c r="C7178" s="6"/>
      <c r="G7178" s="6"/>
      <c r="K7178" s="6"/>
    </row>
    <row r="7179" spans="3:11" x14ac:dyDescent="0.25">
      <c r="C7179" s="6"/>
      <c r="G7179" s="6"/>
      <c r="K7179" s="6"/>
    </row>
    <row r="7180" spans="3:11" x14ac:dyDescent="0.25">
      <c r="C7180" s="6"/>
      <c r="G7180" s="6"/>
      <c r="K7180" s="6"/>
    </row>
    <row r="7181" spans="3:11" x14ac:dyDescent="0.25">
      <c r="C7181" s="6"/>
      <c r="G7181" s="6"/>
      <c r="K7181" s="6"/>
    </row>
    <row r="7182" spans="3:11" x14ac:dyDescent="0.25">
      <c r="C7182" s="6"/>
      <c r="G7182" s="6"/>
      <c r="K7182" s="6"/>
    </row>
    <row r="7183" spans="3:11" x14ac:dyDescent="0.25">
      <c r="C7183" s="6"/>
      <c r="G7183" s="6"/>
      <c r="K7183" s="6"/>
    </row>
    <row r="7184" spans="3:11" x14ac:dyDescent="0.25">
      <c r="C7184" s="6"/>
      <c r="G7184" s="6"/>
      <c r="K7184" s="6"/>
    </row>
    <row r="7185" spans="3:11" x14ac:dyDescent="0.25">
      <c r="C7185" s="6"/>
      <c r="G7185" s="6"/>
      <c r="K7185" s="6"/>
    </row>
    <row r="7186" spans="3:11" x14ac:dyDescent="0.25">
      <c r="C7186" s="6"/>
      <c r="G7186" s="6"/>
      <c r="K7186" s="6"/>
    </row>
    <row r="7187" spans="3:11" x14ac:dyDescent="0.25">
      <c r="C7187" s="6"/>
      <c r="G7187" s="6"/>
      <c r="K7187" s="6"/>
    </row>
    <row r="7188" spans="3:11" x14ac:dyDescent="0.25">
      <c r="C7188" s="6"/>
      <c r="G7188" s="6"/>
      <c r="K7188" s="6"/>
    </row>
    <row r="7189" spans="3:11" x14ac:dyDescent="0.25">
      <c r="C7189" s="6"/>
      <c r="G7189" s="6"/>
      <c r="K7189" s="6"/>
    </row>
    <row r="7190" spans="3:11" x14ac:dyDescent="0.25">
      <c r="C7190" s="6"/>
      <c r="G7190" s="6"/>
      <c r="K7190" s="6"/>
    </row>
    <row r="7191" spans="3:11" x14ac:dyDescent="0.25">
      <c r="C7191" s="6"/>
      <c r="G7191" s="6"/>
      <c r="K7191" s="6"/>
    </row>
    <row r="7192" spans="3:11" x14ac:dyDescent="0.25">
      <c r="C7192" s="6"/>
      <c r="G7192" s="6"/>
      <c r="K7192" s="6"/>
    </row>
    <row r="7193" spans="3:11" x14ac:dyDescent="0.25">
      <c r="C7193" s="6"/>
      <c r="G7193" s="6"/>
      <c r="K7193" s="6"/>
    </row>
    <row r="7194" spans="3:11" x14ac:dyDescent="0.25">
      <c r="C7194" s="6"/>
      <c r="G7194" s="6"/>
      <c r="K7194" s="6"/>
    </row>
    <row r="7195" spans="3:11" x14ac:dyDescent="0.25">
      <c r="C7195" s="6"/>
      <c r="G7195" s="6"/>
      <c r="K7195" s="6"/>
    </row>
    <row r="7196" spans="3:11" x14ac:dyDescent="0.25">
      <c r="C7196" s="6"/>
      <c r="G7196" s="6"/>
      <c r="K7196" s="6"/>
    </row>
    <row r="7197" spans="3:11" x14ac:dyDescent="0.25">
      <c r="C7197" s="6"/>
      <c r="G7197" s="6"/>
      <c r="K7197" s="6"/>
    </row>
    <row r="7198" spans="3:11" x14ac:dyDescent="0.25">
      <c r="C7198" s="6"/>
      <c r="G7198" s="6"/>
      <c r="K7198" s="6"/>
    </row>
    <row r="7199" spans="3:11" x14ac:dyDescent="0.25">
      <c r="C7199" s="6"/>
      <c r="G7199" s="6"/>
      <c r="K7199" s="6"/>
    </row>
    <row r="7200" spans="3:11" x14ac:dyDescent="0.25">
      <c r="C7200" s="6"/>
      <c r="G7200" s="6"/>
      <c r="K7200" s="6"/>
    </row>
    <row r="7201" spans="3:11" x14ac:dyDescent="0.25">
      <c r="C7201" s="6"/>
      <c r="G7201" s="6"/>
      <c r="K7201" s="6"/>
    </row>
    <row r="7202" spans="3:11" x14ac:dyDescent="0.25">
      <c r="C7202" s="6"/>
      <c r="G7202" s="6"/>
      <c r="K7202" s="6"/>
    </row>
    <row r="7203" spans="3:11" x14ac:dyDescent="0.25">
      <c r="C7203" s="6"/>
      <c r="G7203" s="6"/>
      <c r="K7203" s="6"/>
    </row>
    <row r="7204" spans="3:11" x14ac:dyDescent="0.25">
      <c r="C7204" s="6"/>
      <c r="G7204" s="6"/>
      <c r="K7204" s="6"/>
    </row>
    <row r="7205" spans="3:11" x14ac:dyDescent="0.25">
      <c r="C7205" s="6"/>
      <c r="G7205" s="6"/>
      <c r="K7205" s="6"/>
    </row>
    <row r="7206" spans="3:11" x14ac:dyDescent="0.25">
      <c r="C7206" s="6"/>
      <c r="G7206" s="6"/>
      <c r="K7206" s="6"/>
    </row>
    <row r="7207" spans="3:11" x14ac:dyDescent="0.25">
      <c r="C7207" s="6"/>
      <c r="G7207" s="6"/>
      <c r="K7207" s="6"/>
    </row>
    <row r="7208" spans="3:11" x14ac:dyDescent="0.25">
      <c r="C7208" s="6"/>
      <c r="G7208" s="6"/>
      <c r="K7208" s="6"/>
    </row>
    <row r="7209" spans="3:11" x14ac:dyDescent="0.25">
      <c r="C7209" s="6"/>
      <c r="G7209" s="6"/>
      <c r="K7209" s="6"/>
    </row>
    <row r="7210" spans="3:11" x14ac:dyDescent="0.25">
      <c r="C7210" s="6"/>
      <c r="G7210" s="6"/>
      <c r="K7210" s="6"/>
    </row>
    <row r="7211" spans="3:11" x14ac:dyDescent="0.25">
      <c r="C7211" s="6"/>
      <c r="G7211" s="6"/>
      <c r="K7211" s="6"/>
    </row>
    <row r="7212" spans="3:11" x14ac:dyDescent="0.25">
      <c r="C7212" s="6"/>
      <c r="G7212" s="6"/>
      <c r="K7212" s="6"/>
    </row>
    <row r="7213" spans="3:11" x14ac:dyDescent="0.25">
      <c r="C7213" s="6"/>
      <c r="G7213" s="6"/>
      <c r="K7213" s="6"/>
    </row>
    <row r="7214" spans="3:11" x14ac:dyDescent="0.25">
      <c r="C7214" s="6"/>
      <c r="G7214" s="6"/>
      <c r="K7214" s="6"/>
    </row>
    <row r="7215" spans="3:11" x14ac:dyDescent="0.25">
      <c r="C7215" s="6"/>
      <c r="G7215" s="6"/>
      <c r="K7215" s="6"/>
    </row>
    <row r="7216" spans="3:11" x14ac:dyDescent="0.25">
      <c r="C7216" s="6"/>
      <c r="G7216" s="6"/>
      <c r="K7216" s="6"/>
    </row>
    <row r="7217" spans="3:11" x14ac:dyDescent="0.25">
      <c r="C7217" s="6"/>
      <c r="G7217" s="6"/>
      <c r="K7217" s="6"/>
    </row>
    <row r="7218" spans="3:11" x14ac:dyDescent="0.25">
      <c r="C7218" s="6"/>
      <c r="G7218" s="6"/>
      <c r="K7218" s="6"/>
    </row>
    <row r="7219" spans="3:11" x14ac:dyDescent="0.25">
      <c r="C7219" s="6"/>
      <c r="G7219" s="6"/>
      <c r="K7219" s="6"/>
    </row>
    <row r="7220" spans="3:11" x14ac:dyDescent="0.25">
      <c r="C7220" s="6"/>
      <c r="G7220" s="6"/>
      <c r="K7220" s="6"/>
    </row>
    <row r="7221" spans="3:11" x14ac:dyDescent="0.25">
      <c r="C7221" s="6"/>
      <c r="G7221" s="6"/>
      <c r="K7221" s="6"/>
    </row>
    <row r="7222" spans="3:11" x14ac:dyDescent="0.25">
      <c r="C7222" s="6"/>
      <c r="G7222" s="6"/>
      <c r="K7222" s="6"/>
    </row>
    <row r="7223" spans="3:11" x14ac:dyDescent="0.25">
      <c r="C7223" s="6"/>
      <c r="G7223" s="6"/>
      <c r="K7223" s="6"/>
    </row>
    <row r="7224" spans="3:11" x14ac:dyDescent="0.25">
      <c r="C7224" s="6"/>
      <c r="G7224" s="6"/>
      <c r="K7224" s="6"/>
    </row>
    <row r="7225" spans="3:11" x14ac:dyDescent="0.25">
      <c r="C7225" s="6"/>
      <c r="G7225" s="6"/>
      <c r="K7225" s="6"/>
    </row>
    <row r="7226" spans="3:11" x14ac:dyDescent="0.25">
      <c r="C7226" s="6"/>
      <c r="G7226" s="6"/>
      <c r="K7226" s="6"/>
    </row>
    <row r="7227" spans="3:11" x14ac:dyDescent="0.25">
      <c r="C7227" s="6"/>
      <c r="G7227" s="6"/>
      <c r="K7227" s="6"/>
    </row>
    <row r="7228" spans="3:11" x14ac:dyDescent="0.25">
      <c r="C7228" s="6"/>
      <c r="G7228" s="6"/>
      <c r="K7228" s="6"/>
    </row>
    <row r="7229" spans="3:11" x14ac:dyDescent="0.25">
      <c r="C7229" s="6"/>
      <c r="G7229" s="6"/>
      <c r="K7229" s="6"/>
    </row>
    <row r="7230" spans="3:11" x14ac:dyDescent="0.25">
      <c r="C7230" s="6"/>
      <c r="G7230" s="6"/>
      <c r="K7230" s="6"/>
    </row>
    <row r="7231" spans="3:11" x14ac:dyDescent="0.25">
      <c r="C7231" s="6"/>
      <c r="G7231" s="6"/>
      <c r="K7231" s="6"/>
    </row>
    <row r="7232" spans="3:11" x14ac:dyDescent="0.25">
      <c r="C7232" s="6"/>
      <c r="G7232" s="6"/>
      <c r="K7232" s="6"/>
    </row>
    <row r="7233" spans="3:11" x14ac:dyDescent="0.25">
      <c r="C7233" s="6"/>
      <c r="G7233" s="6"/>
      <c r="K7233" s="6"/>
    </row>
    <row r="7234" spans="3:11" x14ac:dyDescent="0.25">
      <c r="C7234" s="6"/>
      <c r="G7234" s="6"/>
      <c r="K7234" s="6"/>
    </row>
    <row r="7235" spans="3:11" x14ac:dyDescent="0.25">
      <c r="C7235" s="6"/>
      <c r="G7235" s="6"/>
      <c r="K7235" s="6"/>
    </row>
    <row r="7236" spans="3:11" x14ac:dyDescent="0.25">
      <c r="C7236" s="6"/>
      <c r="G7236" s="6"/>
      <c r="K7236" s="6"/>
    </row>
    <row r="7237" spans="3:11" x14ac:dyDescent="0.25">
      <c r="C7237" s="6"/>
      <c r="G7237" s="6"/>
      <c r="K7237" s="6"/>
    </row>
    <row r="7238" spans="3:11" x14ac:dyDescent="0.25">
      <c r="C7238" s="6"/>
      <c r="G7238" s="6"/>
      <c r="K7238" s="6"/>
    </row>
    <row r="7239" spans="3:11" x14ac:dyDescent="0.25">
      <c r="C7239" s="6"/>
      <c r="G7239" s="6"/>
      <c r="K7239" s="6"/>
    </row>
    <row r="7240" spans="3:11" x14ac:dyDescent="0.25">
      <c r="C7240" s="6"/>
      <c r="G7240" s="6"/>
      <c r="K7240" s="6"/>
    </row>
    <row r="7241" spans="3:11" x14ac:dyDescent="0.25">
      <c r="C7241" s="6"/>
      <c r="G7241" s="6"/>
      <c r="K7241" s="6"/>
    </row>
    <row r="7242" spans="3:11" x14ac:dyDescent="0.25">
      <c r="C7242" s="6"/>
      <c r="G7242" s="6"/>
      <c r="K7242" s="6"/>
    </row>
    <row r="7243" spans="3:11" x14ac:dyDescent="0.25">
      <c r="C7243" s="6"/>
      <c r="G7243" s="6"/>
      <c r="K7243" s="6"/>
    </row>
    <row r="7244" spans="3:11" x14ac:dyDescent="0.25">
      <c r="C7244" s="6"/>
      <c r="G7244" s="6"/>
      <c r="K7244" s="6"/>
    </row>
    <row r="7245" spans="3:11" x14ac:dyDescent="0.25">
      <c r="C7245" s="6"/>
      <c r="G7245" s="6"/>
      <c r="K7245" s="6"/>
    </row>
    <row r="7246" spans="3:11" x14ac:dyDescent="0.25">
      <c r="C7246" s="6"/>
      <c r="G7246" s="6"/>
      <c r="K7246" s="6"/>
    </row>
    <row r="7247" spans="3:11" x14ac:dyDescent="0.25">
      <c r="C7247" s="6"/>
      <c r="G7247" s="6"/>
      <c r="K7247" s="6"/>
    </row>
    <row r="7248" spans="3:11" x14ac:dyDescent="0.25">
      <c r="C7248" s="6"/>
      <c r="G7248" s="6"/>
      <c r="K7248" s="6"/>
    </row>
    <row r="7249" spans="3:11" x14ac:dyDescent="0.25">
      <c r="C7249" s="6"/>
      <c r="G7249" s="6"/>
      <c r="K7249" s="6"/>
    </row>
    <row r="7250" spans="3:11" x14ac:dyDescent="0.25">
      <c r="C7250" s="6"/>
      <c r="G7250" s="6"/>
      <c r="K7250" s="6"/>
    </row>
    <row r="7251" spans="3:11" x14ac:dyDescent="0.25">
      <c r="C7251" s="6"/>
      <c r="G7251" s="6"/>
      <c r="K7251" s="6"/>
    </row>
    <row r="7252" spans="3:11" x14ac:dyDescent="0.25">
      <c r="C7252" s="6"/>
      <c r="G7252" s="6"/>
      <c r="K7252" s="6"/>
    </row>
    <row r="7253" spans="3:11" x14ac:dyDescent="0.25">
      <c r="C7253" s="6"/>
      <c r="G7253" s="6"/>
      <c r="K7253" s="6"/>
    </row>
    <row r="7254" spans="3:11" x14ac:dyDescent="0.25">
      <c r="C7254" s="6"/>
      <c r="G7254" s="6"/>
      <c r="K7254" s="6"/>
    </row>
    <row r="7255" spans="3:11" x14ac:dyDescent="0.25">
      <c r="C7255" s="6"/>
      <c r="G7255" s="6"/>
      <c r="K7255" s="6"/>
    </row>
    <row r="7256" spans="3:11" x14ac:dyDescent="0.25">
      <c r="C7256" s="6"/>
      <c r="G7256" s="6"/>
      <c r="K7256" s="6"/>
    </row>
    <row r="7257" spans="3:11" x14ac:dyDescent="0.25">
      <c r="C7257" s="6"/>
      <c r="G7257" s="6"/>
      <c r="K7257" s="6"/>
    </row>
    <row r="7258" spans="3:11" x14ac:dyDescent="0.25">
      <c r="C7258" s="6"/>
      <c r="G7258" s="6"/>
      <c r="K7258" s="6"/>
    </row>
    <row r="7259" spans="3:11" x14ac:dyDescent="0.25">
      <c r="C7259" s="6"/>
      <c r="G7259" s="6"/>
      <c r="K7259" s="6"/>
    </row>
    <row r="7260" spans="3:11" x14ac:dyDescent="0.25">
      <c r="C7260" s="6"/>
      <c r="G7260" s="6"/>
      <c r="K7260" s="6"/>
    </row>
    <row r="7261" spans="3:11" x14ac:dyDescent="0.25">
      <c r="C7261" s="6"/>
      <c r="G7261" s="6"/>
      <c r="K7261" s="6"/>
    </row>
    <row r="7262" spans="3:11" x14ac:dyDescent="0.25">
      <c r="C7262" s="6"/>
      <c r="G7262" s="6"/>
      <c r="K7262" s="6"/>
    </row>
    <row r="7263" spans="3:11" x14ac:dyDescent="0.25">
      <c r="C7263" s="6"/>
      <c r="G7263" s="6"/>
      <c r="K7263" s="6"/>
    </row>
    <row r="7264" spans="3:11" x14ac:dyDescent="0.25">
      <c r="C7264" s="6"/>
      <c r="G7264" s="6"/>
      <c r="K7264" s="6"/>
    </row>
    <row r="7265" spans="3:11" x14ac:dyDescent="0.25">
      <c r="C7265" s="6"/>
      <c r="G7265" s="6"/>
      <c r="K7265" s="6"/>
    </row>
    <row r="7266" spans="3:11" x14ac:dyDescent="0.25">
      <c r="C7266" s="6"/>
      <c r="G7266" s="6"/>
      <c r="K7266" s="6"/>
    </row>
    <row r="7267" spans="3:11" x14ac:dyDescent="0.25">
      <c r="C7267" s="6"/>
      <c r="G7267" s="6"/>
      <c r="K7267" s="6"/>
    </row>
    <row r="7268" spans="3:11" x14ac:dyDescent="0.25">
      <c r="C7268" s="6"/>
      <c r="G7268" s="6"/>
      <c r="K7268" s="6"/>
    </row>
    <row r="7269" spans="3:11" x14ac:dyDescent="0.25">
      <c r="C7269" s="6"/>
      <c r="G7269" s="6"/>
      <c r="K7269" s="6"/>
    </row>
    <row r="7270" spans="3:11" x14ac:dyDescent="0.25">
      <c r="C7270" s="6"/>
      <c r="G7270" s="6"/>
      <c r="K7270" s="6"/>
    </row>
    <row r="7271" spans="3:11" x14ac:dyDescent="0.25">
      <c r="C7271" s="6"/>
      <c r="G7271" s="6"/>
      <c r="K7271" s="6"/>
    </row>
    <row r="7272" spans="3:11" x14ac:dyDescent="0.25">
      <c r="C7272" s="6"/>
      <c r="G7272" s="6"/>
      <c r="K7272" s="6"/>
    </row>
    <row r="7273" spans="3:11" x14ac:dyDescent="0.25">
      <c r="C7273" s="6"/>
      <c r="G7273" s="6"/>
      <c r="K7273" s="6"/>
    </row>
    <row r="7274" spans="3:11" x14ac:dyDescent="0.25">
      <c r="C7274" s="6"/>
      <c r="G7274" s="6"/>
      <c r="K7274" s="6"/>
    </row>
    <row r="7275" spans="3:11" x14ac:dyDescent="0.25">
      <c r="C7275" s="6"/>
      <c r="G7275" s="6"/>
      <c r="K7275" s="6"/>
    </row>
    <row r="7276" spans="3:11" x14ac:dyDescent="0.25">
      <c r="C7276" s="6"/>
      <c r="G7276" s="6"/>
      <c r="K7276" s="6"/>
    </row>
    <row r="7277" spans="3:11" x14ac:dyDescent="0.25">
      <c r="C7277" s="6"/>
      <c r="G7277" s="6"/>
      <c r="K7277" s="6"/>
    </row>
    <row r="7278" spans="3:11" x14ac:dyDescent="0.25">
      <c r="C7278" s="6"/>
      <c r="G7278" s="6"/>
      <c r="K7278" s="6"/>
    </row>
    <row r="7279" spans="3:11" x14ac:dyDescent="0.25">
      <c r="C7279" s="6"/>
      <c r="G7279" s="6"/>
      <c r="K7279" s="6"/>
    </row>
    <row r="7280" spans="3:11" x14ac:dyDescent="0.25">
      <c r="C7280" s="6"/>
      <c r="G7280" s="6"/>
      <c r="K7280" s="6"/>
    </row>
    <row r="7281" spans="3:11" x14ac:dyDescent="0.25">
      <c r="C7281" s="6"/>
      <c r="G7281" s="6"/>
      <c r="K7281" s="6"/>
    </row>
    <row r="7282" spans="3:11" x14ac:dyDescent="0.25">
      <c r="C7282" s="6"/>
      <c r="G7282" s="6"/>
      <c r="K7282" s="6"/>
    </row>
    <row r="7283" spans="3:11" x14ac:dyDescent="0.25">
      <c r="C7283" s="6"/>
      <c r="G7283" s="6"/>
      <c r="K7283" s="6"/>
    </row>
    <row r="7284" spans="3:11" x14ac:dyDescent="0.25">
      <c r="C7284" s="6"/>
      <c r="G7284" s="6"/>
      <c r="K7284" s="6"/>
    </row>
    <row r="7285" spans="3:11" x14ac:dyDescent="0.25">
      <c r="C7285" s="6"/>
      <c r="G7285" s="6"/>
      <c r="K7285" s="6"/>
    </row>
    <row r="7286" spans="3:11" x14ac:dyDescent="0.25">
      <c r="C7286" s="6"/>
      <c r="G7286" s="6"/>
      <c r="K7286" s="6"/>
    </row>
    <row r="7287" spans="3:11" x14ac:dyDescent="0.25">
      <c r="C7287" s="6"/>
      <c r="G7287" s="6"/>
      <c r="K7287" s="6"/>
    </row>
    <row r="7288" spans="3:11" x14ac:dyDescent="0.25">
      <c r="C7288" s="6"/>
      <c r="G7288" s="6"/>
      <c r="K7288" s="6"/>
    </row>
    <row r="7289" spans="3:11" x14ac:dyDescent="0.25">
      <c r="C7289" s="6"/>
      <c r="G7289" s="6"/>
      <c r="K7289" s="6"/>
    </row>
    <row r="7290" spans="3:11" x14ac:dyDescent="0.25">
      <c r="C7290" s="6"/>
      <c r="G7290" s="6"/>
      <c r="K7290" s="6"/>
    </row>
    <row r="7291" spans="3:11" x14ac:dyDescent="0.25">
      <c r="C7291" s="6"/>
      <c r="G7291" s="6"/>
      <c r="K7291" s="6"/>
    </row>
    <row r="7292" spans="3:11" x14ac:dyDescent="0.25">
      <c r="C7292" s="6"/>
      <c r="G7292" s="6"/>
      <c r="K7292" s="6"/>
    </row>
    <row r="7293" spans="3:11" x14ac:dyDescent="0.25">
      <c r="C7293" s="6"/>
      <c r="G7293" s="6"/>
      <c r="K7293" s="6"/>
    </row>
    <row r="7294" spans="3:11" x14ac:dyDescent="0.25">
      <c r="C7294" s="6"/>
      <c r="G7294" s="6"/>
      <c r="K7294" s="6"/>
    </row>
    <row r="7295" spans="3:11" x14ac:dyDescent="0.25">
      <c r="C7295" s="6"/>
      <c r="G7295" s="6"/>
      <c r="K7295" s="6"/>
    </row>
    <row r="7296" spans="3:11" x14ac:dyDescent="0.25">
      <c r="C7296" s="6"/>
      <c r="G7296" s="6"/>
      <c r="K7296" s="6"/>
    </row>
    <row r="7297" spans="3:11" x14ac:dyDescent="0.25">
      <c r="C7297" s="6"/>
      <c r="G7297" s="6"/>
      <c r="K7297" s="6"/>
    </row>
    <row r="7298" spans="3:11" x14ac:dyDescent="0.25">
      <c r="C7298" s="6"/>
      <c r="G7298" s="6"/>
      <c r="K7298" s="6"/>
    </row>
    <row r="7299" spans="3:11" x14ac:dyDescent="0.25">
      <c r="C7299" s="6"/>
      <c r="G7299" s="6"/>
      <c r="K7299" s="6"/>
    </row>
    <row r="7300" spans="3:11" x14ac:dyDescent="0.25">
      <c r="C7300" s="6"/>
      <c r="G7300" s="6"/>
      <c r="K7300" s="6"/>
    </row>
    <row r="7301" spans="3:11" x14ac:dyDescent="0.25">
      <c r="C7301" s="6"/>
      <c r="G7301" s="6"/>
      <c r="K7301" s="6"/>
    </row>
    <row r="7302" spans="3:11" x14ac:dyDescent="0.25">
      <c r="C7302" s="6"/>
      <c r="G7302" s="6"/>
      <c r="K7302" s="6"/>
    </row>
    <row r="7303" spans="3:11" x14ac:dyDescent="0.25">
      <c r="C7303" s="6"/>
      <c r="G7303" s="6"/>
      <c r="K7303" s="6"/>
    </row>
    <row r="7304" spans="3:11" x14ac:dyDescent="0.25">
      <c r="C7304" s="6"/>
      <c r="G7304" s="6"/>
      <c r="K7304" s="6"/>
    </row>
    <row r="7305" spans="3:11" x14ac:dyDescent="0.25">
      <c r="C7305" s="6"/>
      <c r="G7305" s="6"/>
      <c r="K7305" s="6"/>
    </row>
    <row r="7306" spans="3:11" x14ac:dyDescent="0.25">
      <c r="C7306" s="6"/>
      <c r="G7306" s="6"/>
      <c r="K7306" s="6"/>
    </row>
    <row r="7307" spans="3:11" x14ac:dyDescent="0.25">
      <c r="C7307" s="6"/>
      <c r="G7307" s="6"/>
      <c r="K7307" s="6"/>
    </row>
    <row r="7308" spans="3:11" x14ac:dyDescent="0.25">
      <c r="C7308" s="6"/>
      <c r="G7308" s="6"/>
      <c r="K7308" s="6"/>
    </row>
    <row r="7309" spans="3:11" x14ac:dyDescent="0.25">
      <c r="C7309" s="6"/>
      <c r="G7309" s="6"/>
      <c r="K7309" s="6"/>
    </row>
    <row r="7310" spans="3:11" x14ac:dyDescent="0.25">
      <c r="C7310" s="6"/>
      <c r="G7310" s="6"/>
      <c r="K7310" s="6"/>
    </row>
    <row r="7311" spans="3:11" x14ac:dyDescent="0.25">
      <c r="C7311" s="6"/>
      <c r="G7311" s="6"/>
      <c r="K7311" s="6"/>
    </row>
    <row r="7312" spans="3:11" x14ac:dyDescent="0.25">
      <c r="C7312" s="6"/>
      <c r="G7312" s="6"/>
      <c r="K7312" s="6"/>
    </row>
    <row r="7313" spans="3:11" x14ac:dyDescent="0.25">
      <c r="C7313" s="6"/>
      <c r="G7313" s="6"/>
      <c r="K7313" s="6"/>
    </row>
    <row r="7314" spans="3:11" x14ac:dyDescent="0.25">
      <c r="C7314" s="6"/>
      <c r="G7314" s="6"/>
      <c r="K7314" s="6"/>
    </row>
    <row r="7315" spans="3:11" x14ac:dyDescent="0.25">
      <c r="C7315" s="6"/>
      <c r="G7315" s="6"/>
      <c r="K7315" s="6"/>
    </row>
    <row r="7316" spans="3:11" x14ac:dyDescent="0.25">
      <c r="C7316" s="6"/>
      <c r="G7316" s="6"/>
      <c r="K7316" s="6"/>
    </row>
    <row r="7317" spans="3:11" x14ac:dyDescent="0.25">
      <c r="C7317" s="6"/>
      <c r="G7317" s="6"/>
      <c r="K7317" s="6"/>
    </row>
    <row r="7318" spans="3:11" x14ac:dyDescent="0.25">
      <c r="C7318" s="6"/>
      <c r="G7318" s="6"/>
      <c r="K7318" s="6"/>
    </row>
    <row r="7319" spans="3:11" x14ac:dyDescent="0.25">
      <c r="C7319" s="6"/>
      <c r="G7319" s="6"/>
      <c r="K7319" s="6"/>
    </row>
    <row r="7320" spans="3:11" x14ac:dyDescent="0.25">
      <c r="C7320" s="6"/>
      <c r="G7320" s="6"/>
      <c r="K7320" s="6"/>
    </row>
    <row r="7321" spans="3:11" x14ac:dyDescent="0.25">
      <c r="C7321" s="6"/>
      <c r="G7321" s="6"/>
      <c r="K7321" s="6"/>
    </row>
    <row r="7322" spans="3:11" x14ac:dyDescent="0.25">
      <c r="C7322" s="6"/>
      <c r="G7322" s="6"/>
      <c r="K7322" s="6"/>
    </row>
    <row r="7323" spans="3:11" x14ac:dyDescent="0.25">
      <c r="C7323" s="6"/>
      <c r="G7323" s="6"/>
      <c r="K7323" s="6"/>
    </row>
    <row r="7324" spans="3:11" x14ac:dyDescent="0.25">
      <c r="C7324" s="6"/>
      <c r="G7324" s="6"/>
      <c r="K7324" s="6"/>
    </row>
    <row r="7325" spans="3:11" x14ac:dyDescent="0.25">
      <c r="C7325" s="6"/>
      <c r="G7325" s="6"/>
      <c r="K7325" s="6"/>
    </row>
    <row r="7326" spans="3:11" x14ac:dyDescent="0.25">
      <c r="C7326" s="6"/>
      <c r="G7326" s="6"/>
      <c r="K7326" s="6"/>
    </row>
    <row r="7327" spans="3:11" x14ac:dyDescent="0.25">
      <c r="C7327" s="6"/>
      <c r="G7327" s="6"/>
      <c r="K7327" s="6"/>
    </row>
    <row r="7328" spans="3:11" x14ac:dyDescent="0.25">
      <c r="C7328" s="6"/>
      <c r="G7328" s="6"/>
      <c r="K7328" s="6"/>
    </row>
    <row r="7329" spans="3:11" x14ac:dyDescent="0.25">
      <c r="C7329" s="6"/>
      <c r="G7329" s="6"/>
      <c r="K7329" s="6"/>
    </row>
    <row r="7330" spans="3:11" x14ac:dyDescent="0.25">
      <c r="C7330" s="6"/>
      <c r="G7330" s="6"/>
      <c r="K7330" s="6"/>
    </row>
    <row r="7331" spans="3:11" x14ac:dyDescent="0.25">
      <c r="C7331" s="6"/>
      <c r="G7331" s="6"/>
      <c r="K7331" s="6"/>
    </row>
    <row r="7332" spans="3:11" x14ac:dyDescent="0.25">
      <c r="C7332" s="6"/>
      <c r="G7332" s="6"/>
      <c r="K7332" s="6"/>
    </row>
    <row r="7333" spans="3:11" x14ac:dyDescent="0.25">
      <c r="C7333" s="6"/>
      <c r="G7333" s="6"/>
      <c r="K7333" s="6"/>
    </row>
    <row r="7334" spans="3:11" x14ac:dyDescent="0.25">
      <c r="C7334" s="6"/>
      <c r="G7334" s="6"/>
      <c r="K7334" s="6"/>
    </row>
    <row r="7335" spans="3:11" x14ac:dyDescent="0.25">
      <c r="C7335" s="6"/>
      <c r="G7335" s="6"/>
      <c r="K7335" s="6"/>
    </row>
    <row r="7336" spans="3:11" x14ac:dyDescent="0.25">
      <c r="C7336" s="6"/>
      <c r="G7336" s="6"/>
      <c r="K7336" s="6"/>
    </row>
    <row r="7337" spans="3:11" x14ac:dyDescent="0.25">
      <c r="C7337" s="6"/>
      <c r="G7337" s="6"/>
      <c r="K7337" s="6"/>
    </row>
    <row r="7338" spans="3:11" x14ac:dyDescent="0.25">
      <c r="C7338" s="6"/>
      <c r="G7338" s="6"/>
      <c r="K7338" s="6"/>
    </row>
    <row r="7339" spans="3:11" x14ac:dyDescent="0.25">
      <c r="C7339" s="6"/>
      <c r="G7339" s="6"/>
      <c r="K7339" s="6"/>
    </row>
    <row r="7340" spans="3:11" x14ac:dyDescent="0.25">
      <c r="C7340" s="6"/>
      <c r="G7340" s="6"/>
      <c r="K7340" s="6"/>
    </row>
    <row r="7341" spans="3:11" x14ac:dyDescent="0.25">
      <c r="C7341" s="6"/>
      <c r="G7341" s="6"/>
      <c r="K7341" s="6"/>
    </row>
    <row r="7342" spans="3:11" x14ac:dyDescent="0.25">
      <c r="C7342" s="6"/>
      <c r="G7342" s="6"/>
      <c r="K7342" s="6"/>
    </row>
    <row r="7343" spans="3:11" x14ac:dyDescent="0.25">
      <c r="C7343" s="6"/>
      <c r="G7343" s="6"/>
      <c r="K7343" s="6"/>
    </row>
    <row r="7344" spans="3:11" x14ac:dyDescent="0.25">
      <c r="C7344" s="6"/>
      <c r="G7344" s="6"/>
      <c r="K7344" s="6"/>
    </row>
    <row r="7345" spans="3:11" x14ac:dyDescent="0.25">
      <c r="C7345" s="6"/>
      <c r="G7345" s="6"/>
      <c r="K7345" s="6"/>
    </row>
    <row r="7346" spans="3:11" x14ac:dyDescent="0.25">
      <c r="C7346" s="6"/>
      <c r="G7346" s="6"/>
      <c r="K7346" s="6"/>
    </row>
    <row r="7347" spans="3:11" x14ac:dyDescent="0.25">
      <c r="C7347" s="6"/>
      <c r="G7347" s="6"/>
      <c r="K7347" s="6"/>
    </row>
    <row r="7348" spans="3:11" x14ac:dyDescent="0.25">
      <c r="C7348" s="6"/>
      <c r="G7348" s="6"/>
      <c r="K7348" s="6"/>
    </row>
    <row r="7349" spans="3:11" x14ac:dyDescent="0.25">
      <c r="C7349" s="6"/>
      <c r="G7349" s="6"/>
      <c r="K7349" s="6"/>
    </row>
    <row r="7350" spans="3:11" x14ac:dyDescent="0.25">
      <c r="C7350" s="6"/>
      <c r="G7350" s="6"/>
      <c r="K7350" s="6"/>
    </row>
    <row r="7351" spans="3:11" x14ac:dyDescent="0.25">
      <c r="C7351" s="6"/>
      <c r="G7351" s="6"/>
      <c r="K7351" s="6"/>
    </row>
    <row r="7352" spans="3:11" x14ac:dyDescent="0.25">
      <c r="C7352" s="6"/>
      <c r="G7352" s="6"/>
      <c r="K7352" s="6"/>
    </row>
    <row r="7353" spans="3:11" x14ac:dyDescent="0.25">
      <c r="C7353" s="6"/>
      <c r="G7353" s="6"/>
      <c r="K7353" s="6"/>
    </row>
    <row r="7354" spans="3:11" x14ac:dyDescent="0.25">
      <c r="C7354" s="6"/>
      <c r="G7354" s="6"/>
      <c r="K7354" s="6"/>
    </row>
    <row r="7355" spans="3:11" x14ac:dyDescent="0.25">
      <c r="C7355" s="6"/>
      <c r="G7355" s="6"/>
      <c r="K7355" s="6"/>
    </row>
    <row r="7356" spans="3:11" x14ac:dyDescent="0.25">
      <c r="C7356" s="6"/>
      <c r="G7356" s="6"/>
      <c r="K7356" s="6"/>
    </row>
    <row r="7357" spans="3:11" x14ac:dyDescent="0.25">
      <c r="C7357" s="6"/>
      <c r="G7357" s="6"/>
      <c r="K7357" s="6"/>
    </row>
    <row r="7358" spans="3:11" x14ac:dyDescent="0.25">
      <c r="C7358" s="6"/>
      <c r="G7358" s="6"/>
      <c r="K7358" s="6"/>
    </row>
    <row r="7359" spans="3:11" x14ac:dyDescent="0.25">
      <c r="C7359" s="6"/>
      <c r="G7359" s="6"/>
      <c r="K7359" s="6"/>
    </row>
    <row r="7360" spans="3:11" x14ac:dyDescent="0.25">
      <c r="C7360" s="6"/>
      <c r="G7360" s="6"/>
      <c r="K7360" s="6"/>
    </row>
    <row r="7361" spans="3:11" x14ac:dyDescent="0.25">
      <c r="C7361" s="6"/>
      <c r="G7361" s="6"/>
      <c r="K7361" s="6"/>
    </row>
    <row r="7362" spans="3:11" x14ac:dyDescent="0.25">
      <c r="C7362" s="6"/>
      <c r="G7362" s="6"/>
      <c r="K7362" s="6"/>
    </row>
    <row r="7363" spans="3:11" x14ac:dyDescent="0.25">
      <c r="C7363" s="6"/>
      <c r="G7363" s="6"/>
      <c r="K7363" s="6"/>
    </row>
    <row r="7364" spans="3:11" x14ac:dyDescent="0.25">
      <c r="C7364" s="6"/>
      <c r="G7364" s="6"/>
      <c r="K7364" s="6"/>
    </row>
    <row r="7365" spans="3:11" x14ac:dyDescent="0.25">
      <c r="C7365" s="6"/>
      <c r="G7365" s="6"/>
      <c r="K7365" s="6"/>
    </row>
    <row r="7366" spans="3:11" x14ac:dyDescent="0.25">
      <c r="C7366" s="6"/>
      <c r="G7366" s="6"/>
      <c r="K7366" s="6"/>
    </row>
    <row r="7367" spans="3:11" x14ac:dyDescent="0.25">
      <c r="C7367" s="6"/>
      <c r="G7367" s="6"/>
      <c r="K7367" s="6"/>
    </row>
    <row r="7368" spans="3:11" x14ac:dyDescent="0.25">
      <c r="C7368" s="6"/>
      <c r="G7368" s="6"/>
      <c r="K7368" s="6"/>
    </row>
    <row r="7369" spans="3:11" x14ac:dyDescent="0.25">
      <c r="C7369" s="6"/>
      <c r="G7369" s="6"/>
      <c r="K7369" s="6"/>
    </row>
    <row r="7370" spans="3:11" x14ac:dyDescent="0.25">
      <c r="C7370" s="6"/>
      <c r="G7370" s="6"/>
      <c r="K7370" s="6"/>
    </row>
    <row r="7371" spans="3:11" x14ac:dyDescent="0.25">
      <c r="C7371" s="6"/>
      <c r="G7371" s="6"/>
      <c r="K7371" s="6"/>
    </row>
    <row r="7372" spans="3:11" x14ac:dyDescent="0.25">
      <c r="C7372" s="6"/>
      <c r="G7372" s="6"/>
      <c r="K7372" s="6"/>
    </row>
    <row r="7373" spans="3:11" x14ac:dyDescent="0.25">
      <c r="C7373" s="6"/>
      <c r="G7373" s="6"/>
      <c r="K7373" s="6"/>
    </row>
    <row r="7374" spans="3:11" x14ac:dyDescent="0.25">
      <c r="C7374" s="6"/>
      <c r="G7374" s="6"/>
      <c r="K7374" s="6"/>
    </row>
    <row r="7375" spans="3:11" x14ac:dyDescent="0.25">
      <c r="C7375" s="6"/>
      <c r="G7375" s="6"/>
      <c r="K7375" s="6"/>
    </row>
    <row r="7376" spans="3:11" x14ac:dyDescent="0.25">
      <c r="C7376" s="6"/>
      <c r="G7376" s="6"/>
      <c r="K7376" s="6"/>
    </row>
    <row r="7377" spans="3:11" x14ac:dyDescent="0.25">
      <c r="C7377" s="6"/>
      <c r="G7377" s="6"/>
      <c r="K7377" s="6"/>
    </row>
    <row r="7378" spans="3:11" x14ac:dyDescent="0.25">
      <c r="C7378" s="6"/>
      <c r="G7378" s="6"/>
      <c r="K7378" s="6"/>
    </row>
    <row r="7379" spans="3:11" x14ac:dyDescent="0.25">
      <c r="C7379" s="6"/>
      <c r="G7379" s="6"/>
      <c r="K7379" s="6"/>
    </row>
    <row r="7380" spans="3:11" x14ac:dyDescent="0.25">
      <c r="C7380" s="6"/>
      <c r="G7380" s="6"/>
      <c r="K7380" s="6"/>
    </row>
    <row r="7381" spans="3:11" x14ac:dyDescent="0.25">
      <c r="C7381" s="6"/>
      <c r="G7381" s="6"/>
      <c r="K7381" s="6"/>
    </row>
    <row r="7382" spans="3:11" x14ac:dyDescent="0.25">
      <c r="C7382" s="6"/>
      <c r="G7382" s="6"/>
      <c r="K7382" s="6"/>
    </row>
    <row r="7383" spans="3:11" x14ac:dyDescent="0.25">
      <c r="C7383" s="6"/>
      <c r="G7383" s="6"/>
      <c r="K7383" s="6"/>
    </row>
    <row r="7384" spans="3:11" x14ac:dyDescent="0.25">
      <c r="C7384" s="6"/>
      <c r="G7384" s="6"/>
      <c r="K7384" s="6"/>
    </row>
    <row r="7385" spans="3:11" x14ac:dyDescent="0.25">
      <c r="C7385" s="6"/>
      <c r="G7385" s="6"/>
      <c r="K7385" s="6"/>
    </row>
    <row r="7386" spans="3:11" x14ac:dyDescent="0.25">
      <c r="C7386" s="6"/>
      <c r="G7386" s="6"/>
      <c r="K7386" s="6"/>
    </row>
    <row r="7387" spans="3:11" x14ac:dyDescent="0.25">
      <c r="C7387" s="6"/>
      <c r="G7387" s="6"/>
      <c r="K7387" s="6"/>
    </row>
    <row r="7388" spans="3:11" x14ac:dyDescent="0.25">
      <c r="C7388" s="6"/>
      <c r="G7388" s="6"/>
      <c r="K7388" s="6"/>
    </row>
    <row r="7389" spans="3:11" x14ac:dyDescent="0.25">
      <c r="C7389" s="6"/>
      <c r="G7389" s="6"/>
      <c r="K7389" s="6"/>
    </row>
    <row r="7390" spans="3:11" x14ac:dyDescent="0.25">
      <c r="C7390" s="6"/>
      <c r="G7390" s="6"/>
      <c r="K7390" s="6"/>
    </row>
    <row r="7391" spans="3:11" x14ac:dyDescent="0.25">
      <c r="C7391" s="6"/>
      <c r="G7391" s="6"/>
      <c r="K7391" s="6"/>
    </row>
    <row r="7392" spans="3:11" x14ac:dyDescent="0.25">
      <c r="C7392" s="6"/>
      <c r="G7392" s="6"/>
      <c r="K7392" s="6"/>
    </row>
    <row r="7393" spans="3:11" x14ac:dyDescent="0.25">
      <c r="C7393" s="6"/>
      <c r="G7393" s="6"/>
      <c r="K7393" s="6"/>
    </row>
    <row r="7394" spans="3:11" x14ac:dyDescent="0.25">
      <c r="C7394" s="6"/>
      <c r="G7394" s="6"/>
      <c r="K7394" s="6"/>
    </row>
    <row r="7395" spans="3:11" x14ac:dyDescent="0.25">
      <c r="C7395" s="6"/>
      <c r="G7395" s="6"/>
      <c r="K7395" s="6"/>
    </row>
    <row r="7396" spans="3:11" x14ac:dyDescent="0.25">
      <c r="C7396" s="6"/>
      <c r="G7396" s="6"/>
      <c r="K7396" s="6"/>
    </row>
    <row r="7397" spans="3:11" x14ac:dyDescent="0.25">
      <c r="C7397" s="6"/>
      <c r="G7397" s="6"/>
      <c r="K7397" s="6"/>
    </row>
    <row r="7398" spans="3:11" x14ac:dyDescent="0.25">
      <c r="C7398" s="6"/>
      <c r="G7398" s="6"/>
      <c r="K7398" s="6"/>
    </row>
    <row r="7399" spans="3:11" x14ac:dyDescent="0.25">
      <c r="C7399" s="6"/>
      <c r="G7399" s="6"/>
      <c r="K7399" s="6"/>
    </row>
    <row r="7400" spans="3:11" x14ac:dyDescent="0.25">
      <c r="C7400" s="6"/>
      <c r="G7400" s="6"/>
      <c r="K7400" s="6"/>
    </row>
    <row r="7401" spans="3:11" x14ac:dyDescent="0.25">
      <c r="C7401" s="6"/>
      <c r="G7401" s="6"/>
      <c r="K7401" s="6"/>
    </row>
    <row r="7402" spans="3:11" x14ac:dyDescent="0.25">
      <c r="C7402" s="6"/>
      <c r="G7402" s="6"/>
      <c r="K7402" s="6"/>
    </row>
    <row r="7403" spans="3:11" x14ac:dyDescent="0.25">
      <c r="C7403" s="6"/>
      <c r="G7403" s="6"/>
      <c r="K7403" s="6"/>
    </row>
    <row r="7404" spans="3:11" x14ac:dyDescent="0.25">
      <c r="C7404" s="6"/>
      <c r="G7404" s="6"/>
      <c r="K7404" s="6"/>
    </row>
    <row r="7405" spans="3:11" x14ac:dyDescent="0.25">
      <c r="C7405" s="6"/>
      <c r="G7405" s="6"/>
      <c r="K7405" s="6"/>
    </row>
    <row r="7406" spans="3:11" x14ac:dyDescent="0.25">
      <c r="C7406" s="6"/>
      <c r="G7406" s="6"/>
      <c r="K7406" s="6"/>
    </row>
    <row r="7407" spans="3:11" x14ac:dyDescent="0.25">
      <c r="C7407" s="6"/>
      <c r="G7407" s="6"/>
      <c r="K7407" s="6"/>
    </row>
    <row r="7408" spans="3:11" x14ac:dyDescent="0.25">
      <c r="C7408" s="6"/>
      <c r="G7408" s="6"/>
      <c r="K7408" s="6"/>
    </row>
    <row r="7409" spans="3:11" x14ac:dyDescent="0.25">
      <c r="C7409" s="6"/>
      <c r="G7409" s="6"/>
      <c r="K7409" s="6"/>
    </row>
    <row r="7410" spans="3:11" x14ac:dyDescent="0.25">
      <c r="C7410" s="6"/>
      <c r="G7410" s="6"/>
      <c r="K7410" s="6"/>
    </row>
    <row r="7411" spans="3:11" x14ac:dyDescent="0.25">
      <c r="C7411" s="6"/>
      <c r="G7411" s="6"/>
      <c r="K7411" s="6"/>
    </row>
    <row r="7412" spans="3:11" x14ac:dyDescent="0.25">
      <c r="C7412" s="6"/>
      <c r="G7412" s="6"/>
      <c r="K7412" s="6"/>
    </row>
    <row r="7413" spans="3:11" x14ac:dyDescent="0.25">
      <c r="C7413" s="6"/>
      <c r="G7413" s="6"/>
      <c r="K7413" s="6"/>
    </row>
    <row r="7414" spans="3:11" x14ac:dyDescent="0.25">
      <c r="C7414" s="6"/>
      <c r="G7414" s="6"/>
      <c r="K7414" s="6"/>
    </row>
    <row r="7415" spans="3:11" x14ac:dyDescent="0.25">
      <c r="C7415" s="6"/>
      <c r="G7415" s="6"/>
      <c r="K7415" s="6"/>
    </row>
    <row r="7416" spans="3:11" x14ac:dyDescent="0.25">
      <c r="C7416" s="6"/>
      <c r="G7416" s="6"/>
      <c r="K7416" s="6"/>
    </row>
    <row r="7417" spans="3:11" x14ac:dyDescent="0.25">
      <c r="C7417" s="6"/>
      <c r="G7417" s="6"/>
      <c r="K7417" s="6"/>
    </row>
    <row r="7418" spans="3:11" x14ac:dyDescent="0.25">
      <c r="C7418" s="6"/>
      <c r="G7418" s="6"/>
      <c r="K7418" s="6"/>
    </row>
    <row r="7419" spans="3:11" x14ac:dyDescent="0.25">
      <c r="C7419" s="6"/>
      <c r="G7419" s="6"/>
      <c r="K7419" s="6"/>
    </row>
    <row r="7420" spans="3:11" x14ac:dyDescent="0.25">
      <c r="C7420" s="6"/>
      <c r="G7420" s="6"/>
      <c r="K7420" s="6"/>
    </row>
    <row r="7421" spans="3:11" x14ac:dyDescent="0.25">
      <c r="C7421" s="6"/>
      <c r="G7421" s="6"/>
      <c r="K7421" s="6"/>
    </row>
    <row r="7422" spans="3:11" x14ac:dyDescent="0.25">
      <c r="C7422" s="6"/>
      <c r="G7422" s="6"/>
      <c r="K7422" s="6"/>
    </row>
    <row r="7423" spans="3:11" x14ac:dyDescent="0.25">
      <c r="C7423" s="6"/>
      <c r="G7423" s="6"/>
      <c r="K7423" s="6"/>
    </row>
    <row r="7424" spans="3:11" x14ac:dyDescent="0.25">
      <c r="C7424" s="6"/>
      <c r="G7424" s="6"/>
      <c r="K7424" s="6"/>
    </row>
    <row r="7425" spans="3:11" x14ac:dyDescent="0.25">
      <c r="C7425" s="6"/>
      <c r="G7425" s="6"/>
      <c r="K7425" s="6"/>
    </row>
    <row r="7426" spans="3:11" x14ac:dyDescent="0.25">
      <c r="C7426" s="6"/>
      <c r="G7426" s="6"/>
      <c r="K7426" s="6"/>
    </row>
    <row r="7427" spans="3:11" x14ac:dyDescent="0.25">
      <c r="C7427" s="6"/>
      <c r="G7427" s="6"/>
      <c r="K7427" s="6"/>
    </row>
    <row r="7428" spans="3:11" x14ac:dyDescent="0.25">
      <c r="C7428" s="6"/>
      <c r="G7428" s="6"/>
      <c r="K7428" s="6"/>
    </row>
    <row r="7429" spans="3:11" x14ac:dyDescent="0.25">
      <c r="C7429" s="6"/>
      <c r="G7429" s="6"/>
      <c r="K7429" s="6"/>
    </row>
    <row r="7430" spans="3:11" x14ac:dyDescent="0.25">
      <c r="C7430" s="6"/>
      <c r="G7430" s="6"/>
      <c r="K7430" s="6"/>
    </row>
    <row r="7431" spans="3:11" x14ac:dyDescent="0.25">
      <c r="C7431" s="6"/>
      <c r="G7431" s="6"/>
      <c r="K7431" s="6"/>
    </row>
    <row r="7432" spans="3:11" x14ac:dyDescent="0.25">
      <c r="C7432" s="6"/>
      <c r="G7432" s="6"/>
      <c r="K7432" s="6"/>
    </row>
    <row r="7433" spans="3:11" x14ac:dyDescent="0.25">
      <c r="C7433" s="6"/>
      <c r="G7433" s="6"/>
      <c r="K7433" s="6"/>
    </row>
    <row r="7434" spans="3:11" x14ac:dyDescent="0.25">
      <c r="C7434" s="6"/>
      <c r="G7434" s="6"/>
      <c r="K7434" s="6"/>
    </row>
    <row r="7435" spans="3:11" x14ac:dyDescent="0.25">
      <c r="C7435" s="6"/>
      <c r="G7435" s="6"/>
      <c r="K7435" s="6"/>
    </row>
    <row r="7436" spans="3:11" x14ac:dyDescent="0.25">
      <c r="C7436" s="6"/>
      <c r="G7436" s="6"/>
      <c r="K7436" s="6"/>
    </row>
    <row r="7437" spans="3:11" x14ac:dyDescent="0.25">
      <c r="C7437" s="6"/>
      <c r="G7437" s="6"/>
      <c r="K7437" s="6"/>
    </row>
    <row r="7438" spans="3:11" x14ac:dyDescent="0.25">
      <c r="C7438" s="6"/>
      <c r="G7438" s="6"/>
      <c r="K7438" s="6"/>
    </row>
    <row r="7439" spans="3:11" x14ac:dyDescent="0.25">
      <c r="C7439" s="6"/>
      <c r="G7439" s="6"/>
      <c r="K7439" s="6"/>
    </row>
    <row r="7440" spans="3:11" x14ac:dyDescent="0.25">
      <c r="C7440" s="6"/>
      <c r="G7440" s="6"/>
      <c r="K7440" s="6"/>
    </row>
    <row r="7441" spans="3:11" x14ac:dyDescent="0.25">
      <c r="C7441" s="6"/>
      <c r="G7441" s="6"/>
      <c r="K7441" s="6"/>
    </row>
    <row r="7442" spans="3:11" x14ac:dyDescent="0.25">
      <c r="C7442" s="6"/>
      <c r="G7442" s="6"/>
      <c r="K7442" s="6"/>
    </row>
    <row r="7443" spans="3:11" x14ac:dyDescent="0.25">
      <c r="C7443" s="6"/>
      <c r="G7443" s="6"/>
      <c r="K7443" s="6"/>
    </row>
    <row r="7444" spans="3:11" x14ac:dyDescent="0.25">
      <c r="C7444" s="6"/>
      <c r="G7444" s="6"/>
      <c r="K7444" s="6"/>
    </row>
    <row r="7445" spans="3:11" x14ac:dyDescent="0.25">
      <c r="C7445" s="6"/>
      <c r="G7445" s="6"/>
      <c r="K7445" s="6"/>
    </row>
    <row r="7446" spans="3:11" x14ac:dyDescent="0.25">
      <c r="C7446" s="6"/>
      <c r="G7446" s="6"/>
      <c r="K7446" s="6"/>
    </row>
    <row r="7447" spans="3:11" x14ac:dyDescent="0.25">
      <c r="C7447" s="6"/>
      <c r="G7447" s="6"/>
      <c r="K7447" s="6"/>
    </row>
    <row r="7448" spans="3:11" x14ac:dyDescent="0.25">
      <c r="C7448" s="6"/>
      <c r="G7448" s="6"/>
      <c r="K7448" s="6"/>
    </row>
    <row r="7449" spans="3:11" x14ac:dyDescent="0.25">
      <c r="C7449" s="6"/>
      <c r="G7449" s="6"/>
      <c r="K7449" s="6"/>
    </row>
    <row r="7450" spans="3:11" x14ac:dyDescent="0.25">
      <c r="C7450" s="6"/>
      <c r="G7450" s="6"/>
      <c r="K7450" s="6"/>
    </row>
    <row r="7451" spans="3:11" x14ac:dyDescent="0.25">
      <c r="C7451" s="6"/>
      <c r="G7451" s="6"/>
      <c r="K7451" s="6"/>
    </row>
    <row r="7452" spans="3:11" x14ac:dyDescent="0.25">
      <c r="C7452" s="6"/>
      <c r="G7452" s="6"/>
      <c r="K7452" s="6"/>
    </row>
    <row r="7453" spans="3:11" x14ac:dyDescent="0.25">
      <c r="C7453" s="6"/>
      <c r="G7453" s="6"/>
      <c r="K7453" s="6"/>
    </row>
    <row r="7454" spans="3:11" x14ac:dyDescent="0.25">
      <c r="C7454" s="6"/>
      <c r="G7454" s="6"/>
      <c r="K7454" s="6"/>
    </row>
    <row r="7455" spans="3:11" x14ac:dyDescent="0.25">
      <c r="C7455" s="6"/>
      <c r="G7455" s="6"/>
      <c r="K7455" s="6"/>
    </row>
    <row r="7456" spans="3:11" x14ac:dyDescent="0.25">
      <c r="C7456" s="6"/>
      <c r="G7456" s="6"/>
      <c r="K7456" s="6"/>
    </row>
    <row r="7457" spans="3:11" x14ac:dyDescent="0.25">
      <c r="C7457" s="6"/>
      <c r="G7457" s="6"/>
      <c r="K7457" s="6"/>
    </row>
    <row r="7458" spans="3:11" x14ac:dyDescent="0.25">
      <c r="C7458" s="6"/>
      <c r="G7458" s="6"/>
      <c r="K7458" s="6"/>
    </row>
    <row r="7459" spans="3:11" x14ac:dyDescent="0.25">
      <c r="C7459" s="6"/>
      <c r="G7459" s="6"/>
      <c r="K7459" s="6"/>
    </row>
    <row r="7460" spans="3:11" x14ac:dyDescent="0.25">
      <c r="C7460" s="6"/>
      <c r="G7460" s="6"/>
      <c r="K7460" s="6"/>
    </row>
    <row r="7461" spans="3:11" x14ac:dyDescent="0.25">
      <c r="C7461" s="6"/>
      <c r="G7461" s="6"/>
      <c r="K7461" s="6"/>
    </row>
    <row r="7462" spans="3:11" x14ac:dyDescent="0.25">
      <c r="C7462" s="6"/>
      <c r="G7462" s="6"/>
      <c r="K7462" s="6"/>
    </row>
    <row r="7463" spans="3:11" x14ac:dyDescent="0.25">
      <c r="C7463" s="6"/>
      <c r="G7463" s="6"/>
      <c r="K7463" s="6"/>
    </row>
    <row r="7464" spans="3:11" x14ac:dyDescent="0.25">
      <c r="C7464" s="6"/>
      <c r="G7464" s="6"/>
      <c r="K7464" s="6"/>
    </row>
    <row r="7465" spans="3:11" x14ac:dyDescent="0.25">
      <c r="C7465" s="6"/>
      <c r="G7465" s="6"/>
      <c r="K7465" s="6"/>
    </row>
    <row r="7466" spans="3:11" x14ac:dyDescent="0.25">
      <c r="C7466" s="6"/>
      <c r="G7466" s="6"/>
      <c r="K7466" s="6"/>
    </row>
    <row r="7467" spans="3:11" x14ac:dyDescent="0.25">
      <c r="C7467" s="6"/>
      <c r="G7467" s="6"/>
      <c r="K7467" s="6"/>
    </row>
    <row r="7468" spans="3:11" x14ac:dyDescent="0.25">
      <c r="C7468" s="6"/>
      <c r="G7468" s="6"/>
      <c r="K7468" s="6"/>
    </row>
    <row r="7469" spans="3:11" x14ac:dyDescent="0.25">
      <c r="C7469" s="6"/>
      <c r="G7469" s="6"/>
      <c r="K7469" s="6"/>
    </row>
    <row r="7470" spans="3:11" x14ac:dyDescent="0.25">
      <c r="C7470" s="6"/>
      <c r="G7470" s="6"/>
      <c r="K7470" s="6"/>
    </row>
    <row r="7471" spans="3:11" x14ac:dyDescent="0.25">
      <c r="C7471" s="6"/>
      <c r="G7471" s="6"/>
      <c r="K7471" s="6"/>
    </row>
    <row r="7472" spans="3:11" x14ac:dyDescent="0.25">
      <c r="C7472" s="6"/>
      <c r="G7472" s="6"/>
      <c r="K7472" s="6"/>
    </row>
    <row r="7473" spans="3:11" x14ac:dyDescent="0.25">
      <c r="C7473" s="6"/>
      <c r="G7473" s="6"/>
      <c r="K7473" s="6"/>
    </row>
    <row r="7474" spans="3:11" x14ac:dyDescent="0.25">
      <c r="C7474" s="6"/>
      <c r="G7474" s="6"/>
      <c r="K7474" s="6"/>
    </row>
    <row r="7475" spans="3:11" x14ac:dyDescent="0.25">
      <c r="C7475" s="6"/>
      <c r="G7475" s="6"/>
      <c r="K7475" s="6"/>
    </row>
    <row r="7476" spans="3:11" x14ac:dyDescent="0.25">
      <c r="C7476" s="6"/>
      <c r="G7476" s="6"/>
      <c r="K7476" s="6"/>
    </row>
    <row r="7477" spans="3:11" x14ac:dyDescent="0.25">
      <c r="C7477" s="6"/>
      <c r="G7477" s="6"/>
      <c r="K7477" s="6"/>
    </row>
    <row r="7478" spans="3:11" x14ac:dyDescent="0.25">
      <c r="C7478" s="6"/>
      <c r="G7478" s="6"/>
      <c r="K7478" s="6"/>
    </row>
    <row r="7479" spans="3:11" x14ac:dyDescent="0.25">
      <c r="C7479" s="6"/>
      <c r="G7479" s="6"/>
      <c r="K7479" s="6"/>
    </row>
    <row r="7480" spans="3:11" x14ac:dyDescent="0.25">
      <c r="C7480" s="6"/>
      <c r="G7480" s="6"/>
      <c r="K7480" s="6"/>
    </row>
    <row r="7481" spans="3:11" x14ac:dyDescent="0.25">
      <c r="C7481" s="6"/>
      <c r="G7481" s="6"/>
      <c r="K7481" s="6"/>
    </row>
    <row r="7482" spans="3:11" x14ac:dyDescent="0.25">
      <c r="C7482" s="6"/>
      <c r="G7482" s="6"/>
      <c r="K7482" s="6"/>
    </row>
    <row r="7483" spans="3:11" x14ac:dyDescent="0.25">
      <c r="C7483" s="6"/>
      <c r="G7483" s="6"/>
      <c r="K7483" s="6"/>
    </row>
    <row r="7484" spans="3:11" x14ac:dyDescent="0.25">
      <c r="C7484" s="6"/>
      <c r="G7484" s="6"/>
      <c r="K7484" s="6"/>
    </row>
    <row r="7485" spans="3:11" x14ac:dyDescent="0.25">
      <c r="C7485" s="6"/>
      <c r="G7485" s="6"/>
      <c r="K7485" s="6"/>
    </row>
    <row r="7486" spans="3:11" x14ac:dyDescent="0.25">
      <c r="C7486" s="6"/>
      <c r="G7486" s="6"/>
      <c r="K7486" s="6"/>
    </row>
    <row r="7487" spans="3:11" x14ac:dyDescent="0.25">
      <c r="C7487" s="6"/>
      <c r="G7487" s="6"/>
      <c r="K7487" s="6"/>
    </row>
    <row r="7488" spans="3:11" x14ac:dyDescent="0.25">
      <c r="C7488" s="6"/>
      <c r="G7488" s="6"/>
      <c r="K7488" s="6"/>
    </row>
    <row r="7489" spans="3:11" x14ac:dyDescent="0.25">
      <c r="C7489" s="6"/>
      <c r="G7489" s="6"/>
      <c r="K7489" s="6"/>
    </row>
    <row r="7490" spans="3:11" x14ac:dyDescent="0.25">
      <c r="C7490" s="6"/>
      <c r="G7490" s="6"/>
      <c r="K7490" s="6"/>
    </row>
    <row r="7491" spans="3:11" x14ac:dyDescent="0.25">
      <c r="C7491" s="6"/>
      <c r="G7491" s="6"/>
      <c r="K7491" s="6"/>
    </row>
    <row r="7492" spans="3:11" x14ac:dyDescent="0.25">
      <c r="C7492" s="6"/>
      <c r="G7492" s="6"/>
      <c r="K7492" s="6"/>
    </row>
    <row r="7493" spans="3:11" x14ac:dyDescent="0.25">
      <c r="C7493" s="6"/>
      <c r="G7493" s="6"/>
      <c r="K7493" s="6"/>
    </row>
    <row r="7494" spans="3:11" x14ac:dyDescent="0.25">
      <c r="C7494" s="6"/>
      <c r="G7494" s="6"/>
      <c r="K7494" s="6"/>
    </row>
    <row r="7495" spans="3:11" x14ac:dyDescent="0.25">
      <c r="C7495" s="6"/>
      <c r="G7495" s="6"/>
      <c r="K7495" s="6"/>
    </row>
    <row r="7496" spans="3:11" x14ac:dyDescent="0.25">
      <c r="C7496" s="6"/>
      <c r="G7496" s="6"/>
      <c r="K7496" s="6"/>
    </row>
    <row r="7497" spans="3:11" x14ac:dyDescent="0.25">
      <c r="C7497" s="6"/>
      <c r="G7497" s="6"/>
      <c r="K7497" s="6"/>
    </row>
    <row r="7498" spans="3:11" x14ac:dyDescent="0.25">
      <c r="C7498" s="6"/>
      <c r="G7498" s="6"/>
      <c r="K7498" s="6"/>
    </row>
    <row r="7499" spans="3:11" x14ac:dyDescent="0.25">
      <c r="C7499" s="6"/>
      <c r="G7499" s="6"/>
      <c r="K7499" s="6"/>
    </row>
    <row r="7500" spans="3:11" x14ac:dyDescent="0.25">
      <c r="C7500" s="6"/>
      <c r="G7500" s="6"/>
      <c r="K7500" s="6"/>
    </row>
    <row r="7501" spans="3:11" x14ac:dyDescent="0.25">
      <c r="C7501" s="6"/>
      <c r="G7501" s="6"/>
      <c r="K7501" s="6"/>
    </row>
    <row r="7502" spans="3:11" x14ac:dyDescent="0.25">
      <c r="C7502" s="6"/>
      <c r="G7502" s="6"/>
      <c r="K7502" s="6"/>
    </row>
    <row r="7503" spans="3:11" x14ac:dyDescent="0.25">
      <c r="C7503" s="6"/>
      <c r="G7503" s="6"/>
      <c r="K7503" s="6"/>
    </row>
    <row r="7504" spans="3:11" x14ac:dyDescent="0.25">
      <c r="C7504" s="6"/>
      <c r="G7504" s="6"/>
      <c r="K7504" s="6"/>
    </row>
    <row r="7505" spans="3:11" x14ac:dyDescent="0.25">
      <c r="C7505" s="6"/>
      <c r="G7505" s="6"/>
      <c r="K7505" s="6"/>
    </row>
    <row r="7506" spans="3:11" x14ac:dyDescent="0.25">
      <c r="C7506" s="6"/>
      <c r="G7506" s="6"/>
      <c r="K7506" s="6"/>
    </row>
    <row r="7507" spans="3:11" x14ac:dyDescent="0.25">
      <c r="C7507" s="6"/>
      <c r="G7507" s="6"/>
      <c r="K7507" s="6"/>
    </row>
    <row r="7508" spans="3:11" x14ac:dyDescent="0.25">
      <c r="C7508" s="6"/>
      <c r="G7508" s="6"/>
      <c r="K7508" s="6"/>
    </row>
    <row r="7509" spans="3:11" x14ac:dyDescent="0.25">
      <c r="C7509" s="6"/>
      <c r="G7509" s="6"/>
      <c r="K7509" s="6"/>
    </row>
    <row r="7510" spans="3:11" x14ac:dyDescent="0.25">
      <c r="C7510" s="6"/>
      <c r="G7510" s="6"/>
      <c r="K7510" s="6"/>
    </row>
    <row r="7511" spans="3:11" x14ac:dyDescent="0.25">
      <c r="C7511" s="6"/>
      <c r="G7511" s="6"/>
      <c r="K7511" s="6"/>
    </row>
    <row r="7512" spans="3:11" x14ac:dyDescent="0.25">
      <c r="C7512" s="6"/>
      <c r="G7512" s="6"/>
      <c r="K7512" s="6"/>
    </row>
    <row r="7513" spans="3:11" x14ac:dyDescent="0.25">
      <c r="C7513" s="6"/>
      <c r="G7513" s="6"/>
      <c r="K7513" s="6"/>
    </row>
    <row r="7514" spans="3:11" x14ac:dyDescent="0.25">
      <c r="C7514" s="6"/>
      <c r="G7514" s="6"/>
      <c r="K7514" s="6"/>
    </row>
    <row r="7515" spans="3:11" x14ac:dyDescent="0.25">
      <c r="C7515" s="6"/>
      <c r="G7515" s="6"/>
      <c r="K7515" s="6"/>
    </row>
    <row r="7516" spans="3:11" x14ac:dyDescent="0.25">
      <c r="C7516" s="6"/>
      <c r="G7516" s="6"/>
      <c r="K7516" s="6"/>
    </row>
    <row r="7517" spans="3:11" x14ac:dyDescent="0.25">
      <c r="C7517" s="6"/>
      <c r="G7517" s="6"/>
      <c r="K7517" s="6"/>
    </row>
    <row r="7518" spans="3:11" x14ac:dyDescent="0.25">
      <c r="C7518" s="6"/>
      <c r="G7518" s="6"/>
      <c r="K7518" s="6"/>
    </row>
    <row r="7519" spans="3:11" x14ac:dyDescent="0.25">
      <c r="C7519" s="6"/>
      <c r="G7519" s="6"/>
      <c r="K7519" s="6"/>
    </row>
    <row r="7520" spans="3:11" x14ac:dyDescent="0.25">
      <c r="C7520" s="6"/>
      <c r="G7520" s="6"/>
      <c r="K7520" s="6"/>
    </row>
    <row r="7521" spans="3:11" x14ac:dyDescent="0.25">
      <c r="C7521" s="6"/>
      <c r="G7521" s="6"/>
      <c r="K7521" s="6"/>
    </row>
    <row r="7522" spans="3:11" x14ac:dyDescent="0.25">
      <c r="C7522" s="6"/>
      <c r="G7522" s="6"/>
      <c r="K7522" s="6"/>
    </row>
    <row r="7523" spans="3:11" x14ac:dyDescent="0.25">
      <c r="C7523" s="6"/>
      <c r="G7523" s="6"/>
      <c r="K7523" s="6"/>
    </row>
    <row r="7524" spans="3:11" x14ac:dyDescent="0.25">
      <c r="C7524" s="6"/>
      <c r="G7524" s="6"/>
      <c r="K7524" s="6"/>
    </row>
    <row r="7525" spans="3:11" x14ac:dyDescent="0.25">
      <c r="C7525" s="6"/>
      <c r="G7525" s="6"/>
      <c r="K7525" s="6"/>
    </row>
    <row r="7526" spans="3:11" x14ac:dyDescent="0.25">
      <c r="C7526" s="6"/>
      <c r="G7526" s="6"/>
      <c r="K7526" s="6"/>
    </row>
    <row r="7527" spans="3:11" x14ac:dyDescent="0.25">
      <c r="C7527" s="6"/>
      <c r="G7527" s="6"/>
      <c r="K7527" s="6"/>
    </row>
    <row r="7528" spans="3:11" x14ac:dyDescent="0.25">
      <c r="C7528" s="6"/>
      <c r="G7528" s="6"/>
      <c r="K7528" s="6"/>
    </row>
    <row r="7529" spans="3:11" x14ac:dyDescent="0.25">
      <c r="C7529" s="6"/>
      <c r="G7529" s="6"/>
      <c r="K7529" s="6"/>
    </row>
    <row r="7530" spans="3:11" x14ac:dyDescent="0.25">
      <c r="C7530" s="6"/>
      <c r="G7530" s="6"/>
      <c r="K7530" s="6"/>
    </row>
    <row r="7531" spans="3:11" x14ac:dyDescent="0.25">
      <c r="C7531" s="6"/>
      <c r="G7531" s="6"/>
      <c r="K7531" s="6"/>
    </row>
    <row r="7532" spans="3:11" x14ac:dyDescent="0.25">
      <c r="C7532" s="6"/>
      <c r="G7532" s="6"/>
      <c r="K7532" s="6"/>
    </row>
    <row r="7533" spans="3:11" x14ac:dyDescent="0.25">
      <c r="C7533" s="6"/>
      <c r="G7533" s="6"/>
      <c r="K7533" s="6"/>
    </row>
    <row r="7534" spans="3:11" x14ac:dyDescent="0.25">
      <c r="C7534" s="6"/>
      <c r="G7534" s="6"/>
      <c r="K7534" s="6"/>
    </row>
    <row r="7535" spans="3:11" x14ac:dyDescent="0.25">
      <c r="C7535" s="6"/>
      <c r="G7535" s="6"/>
      <c r="K7535" s="6"/>
    </row>
    <row r="7536" spans="3:11" x14ac:dyDescent="0.25">
      <c r="C7536" s="6"/>
      <c r="G7536" s="6"/>
      <c r="K7536" s="6"/>
    </row>
    <row r="7537" spans="3:11" x14ac:dyDescent="0.25">
      <c r="C7537" s="6"/>
      <c r="G7537" s="6"/>
      <c r="K7537" s="6"/>
    </row>
    <row r="7538" spans="3:11" x14ac:dyDescent="0.25">
      <c r="C7538" s="6"/>
      <c r="G7538" s="6"/>
      <c r="K7538" s="6"/>
    </row>
    <row r="7539" spans="3:11" x14ac:dyDescent="0.25">
      <c r="C7539" s="6"/>
      <c r="G7539" s="6"/>
      <c r="K7539" s="6"/>
    </row>
    <row r="7540" spans="3:11" x14ac:dyDescent="0.25">
      <c r="C7540" s="6"/>
      <c r="G7540" s="6"/>
      <c r="K7540" s="6"/>
    </row>
    <row r="7541" spans="3:11" x14ac:dyDescent="0.25">
      <c r="C7541" s="6"/>
      <c r="G7541" s="6"/>
      <c r="K7541" s="6"/>
    </row>
    <row r="7542" spans="3:11" x14ac:dyDescent="0.25">
      <c r="C7542" s="6"/>
      <c r="G7542" s="6"/>
      <c r="K7542" s="6"/>
    </row>
    <row r="7543" spans="3:11" x14ac:dyDescent="0.25">
      <c r="C7543" s="6"/>
      <c r="G7543" s="6"/>
      <c r="K7543" s="6"/>
    </row>
    <row r="7544" spans="3:11" x14ac:dyDescent="0.25">
      <c r="C7544" s="6"/>
      <c r="G7544" s="6"/>
      <c r="K7544" s="6"/>
    </row>
    <row r="7545" spans="3:11" x14ac:dyDescent="0.25">
      <c r="C7545" s="6"/>
      <c r="G7545" s="6"/>
      <c r="K7545" s="6"/>
    </row>
    <row r="7546" spans="3:11" x14ac:dyDescent="0.25">
      <c r="C7546" s="6"/>
      <c r="G7546" s="6"/>
      <c r="K7546" s="6"/>
    </row>
    <row r="7547" spans="3:11" x14ac:dyDescent="0.25">
      <c r="C7547" s="6"/>
      <c r="G7547" s="6"/>
      <c r="K7547" s="6"/>
    </row>
    <row r="7548" spans="3:11" x14ac:dyDescent="0.25">
      <c r="C7548" s="6"/>
      <c r="G7548" s="6"/>
      <c r="K7548" s="6"/>
    </row>
    <row r="7549" spans="3:11" x14ac:dyDescent="0.25">
      <c r="C7549" s="6"/>
      <c r="G7549" s="6"/>
      <c r="K7549" s="6"/>
    </row>
    <row r="7550" spans="3:11" x14ac:dyDescent="0.25">
      <c r="C7550" s="6"/>
      <c r="G7550" s="6"/>
      <c r="K7550" s="6"/>
    </row>
    <row r="7551" spans="3:11" x14ac:dyDescent="0.25">
      <c r="C7551" s="6"/>
      <c r="G7551" s="6"/>
      <c r="K7551" s="6"/>
    </row>
    <row r="7552" spans="3:11" x14ac:dyDescent="0.25">
      <c r="C7552" s="6"/>
      <c r="G7552" s="6"/>
      <c r="K7552" s="6"/>
    </row>
    <row r="7553" spans="3:11" x14ac:dyDescent="0.25">
      <c r="C7553" s="6"/>
      <c r="G7553" s="6"/>
      <c r="K7553" s="6"/>
    </row>
    <row r="7554" spans="3:11" x14ac:dyDescent="0.25">
      <c r="C7554" s="6"/>
      <c r="G7554" s="6"/>
      <c r="K7554" s="6"/>
    </row>
    <row r="7555" spans="3:11" x14ac:dyDescent="0.25">
      <c r="C7555" s="6"/>
      <c r="G7555" s="6"/>
      <c r="K7555" s="6"/>
    </row>
    <row r="7556" spans="3:11" x14ac:dyDescent="0.25">
      <c r="C7556" s="6"/>
      <c r="G7556" s="6"/>
      <c r="K7556" s="6"/>
    </row>
    <row r="7557" spans="3:11" x14ac:dyDescent="0.25">
      <c r="C7557" s="6"/>
      <c r="G7557" s="6"/>
      <c r="K7557" s="6"/>
    </row>
    <row r="7558" spans="3:11" x14ac:dyDescent="0.25">
      <c r="C7558" s="6"/>
      <c r="G7558" s="6"/>
      <c r="K7558" s="6"/>
    </row>
    <row r="7559" spans="3:11" x14ac:dyDescent="0.25">
      <c r="C7559" s="6"/>
      <c r="G7559" s="6"/>
      <c r="K7559" s="6"/>
    </row>
    <row r="7560" spans="3:11" x14ac:dyDescent="0.25">
      <c r="C7560" s="6"/>
      <c r="G7560" s="6"/>
      <c r="K7560" s="6"/>
    </row>
    <row r="7561" spans="3:11" x14ac:dyDescent="0.25">
      <c r="C7561" s="6"/>
      <c r="G7561" s="6"/>
      <c r="K7561" s="6"/>
    </row>
    <row r="7562" spans="3:11" x14ac:dyDescent="0.25">
      <c r="C7562" s="6"/>
      <c r="G7562" s="6"/>
      <c r="K7562" s="6"/>
    </row>
    <row r="7563" spans="3:11" x14ac:dyDescent="0.25">
      <c r="C7563" s="6"/>
      <c r="G7563" s="6"/>
      <c r="K7563" s="6"/>
    </row>
    <row r="7564" spans="3:11" x14ac:dyDescent="0.25">
      <c r="C7564" s="6"/>
      <c r="G7564" s="6"/>
      <c r="K7564" s="6"/>
    </row>
    <row r="7565" spans="3:11" x14ac:dyDescent="0.25">
      <c r="C7565" s="6"/>
      <c r="G7565" s="6"/>
      <c r="K7565" s="6"/>
    </row>
    <row r="7566" spans="3:11" x14ac:dyDescent="0.25">
      <c r="C7566" s="6"/>
      <c r="G7566" s="6"/>
      <c r="K7566" s="6"/>
    </row>
    <row r="7567" spans="3:11" x14ac:dyDescent="0.25">
      <c r="C7567" s="6"/>
      <c r="G7567" s="6"/>
      <c r="K7567" s="6"/>
    </row>
    <row r="7568" spans="3:11" x14ac:dyDescent="0.25">
      <c r="C7568" s="6"/>
      <c r="G7568" s="6"/>
      <c r="K7568" s="6"/>
    </row>
    <row r="7569" spans="3:11" x14ac:dyDescent="0.25">
      <c r="C7569" s="6"/>
      <c r="G7569" s="6"/>
      <c r="K7569" s="6"/>
    </row>
    <row r="7570" spans="3:11" x14ac:dyDescent="0.25">
      <c r="C7570" s="6"/>
      <c r="G7570" s="6"/>
      <c r="K7570" s="6"/>
    </row>
    <row r="7571" spans="3:11" x14ac:dyDescent="0.25">
      <c r="C7571" s="6"/>
      <c r="G7571" s="6"/>
      <c r="K7571" s="6"/>
    </row>
    <row r="7572" spans="3:11" x14ac:dyDescent="0.25">
      <c r="C7572" s="6"/>
      <c r="G7572" s="6"/>
      <c r="K7572" s="6"/>
    </row>
    <row r="7573" spans="3:11" x14ac:dyDescent="0.25">
      <c r="C7573" s="6"/>
      <c r="G7573" s="6"/>
      <c r="K7573" s="6"/>
    </row>
    <row r="7574" spans="3:11" x14ac:dyDescent="0.25">
      <c r="C7574" s="6"/>
      <c r="G7574" s="6"/>
      <c r="K7574" s="6"/>
    </row>
    <row r="7575" spans="3:11" x14ac:dyDescent="0.25">
      <c r="C7575" s="6"/>
      <c r="G7575" s="6"/>
      <c r="K7575" s="6"/>
    </row>
    <row r="7576" spans="3:11" x14ac:dyDescent="0.25">
      <c r="C7576" s="6"/>
      <c r="G7576" s="6"/>
      <c r="K7576" s="6"/>
    </row>
    <row r="7577" spans="3:11" x14ac:dyDescent="0.25">
      <c r="C7577" s="6"/>
      <c r="G7577" s="6"/>
      <c r="K7577" s="6"/>
    </row>
    <row r="7578" spans="3:11" x14ac:dyDescent="0.25">
      <c r="C7578" s="6"/>
      <c r="G7578" s="6"/>
      <c r="K7578" s="6"/>
    </row>
    <row r="7579" spans="3:11" x14ac:dyDescent="0.25">
      <c r="C7579" s="6"/>
      <c r="G7579" s="6"/>
      <c r="K7579" s="6"/>
    </row>
    <row r="7580" spans="3:11" x14ac:dyDescent="0.25">
      <c r="C7580" s="6"/>
      <c r="G7580" s="6"/>
      <c r="K7580" s="6"/>
    </row>
    <row r="7581" spans="3:11" x14ac:dyDescent="0.25">
      <c r="C7581" s="6"/>
      <c r="G7581" s="6"/>
      <c r="K7581" s="6"/>
    </row>
    <row r="7582" spans="3:11" x14ac:dyDescent="0.25">
      <c r="C7582" s="6"/>
      <c r="G7582" s="6"/>
      <c r="K7582" s="6"/>
    </row>
    <row r="7583" spans="3:11" x14ac:dyDescent="0.25">
      <c r="C7583" s="6"/>
      <c r="G7583" s="6"/>
      <c r="K7583" s="6"/>
    </row>
    <row r="7584" spans="3:11" x14ac:dyDescent="0.25">
      <c r="C7584" s="6"/>
      <c r="G7584" s="6"/>
      <c r="K7584" s="6"/>
    </row>
    <row r="7585" spans="3:11" x14ac:dyDescent="0.25">
      <c r="C7585" s="6"/>
      <c r="G7585" s="6"/>
      <c r="K7585" s="6"/>
    </row>
    <row r="7586" spans="3:11" x14ac:dyDescent="0.25">
      <c r="C7586" s="6"/>
      <c r="G7586" s="6"/>
      <c r="K7586" s="6"/>
    </row>
    <row r="7587" spans="3:11" x14ac:dyDescent="0.25">
      <c r="C7587" s="6"/>
      <c r="G7587" s="6"/>
      <c r="K7587" s="6"/>
    </row>
    <row r="7588" spans="3:11" x14ac:dyDescent="0.25">
      <c r="C7588" s="6"/>
      <c r="G7588" s="6"/>
      <c r="K7588" s="6"/>
    </row>
    <row r="7589" spans="3:11" x14ac:dyDescent="0.25">
      <c r="C7589" s="6"/>
      <c r="G7589" s="6"/>
      <c r="K7589" s="6"/>
    </row>
    <row r="7590" spans="3:11" x14ac:dyDescent="0.25">
      <c r="C7590" s="6"/>
      <c r="G7590" s="6"/>
      <c r="K7590" s="6"/>
    </row>
    <row r="7591" spans="3:11" x14ac:dyDescent="0.25">
      <c r="C7591" s="6"/>
      <c r="G7591" s="6"/>
      <c r="K7591" s="6"/>
    </row>
    <row r="7592" spans="3:11" x14ac:dyDescent="0.25">
      <c r="C7592" s="6"/>
      <c r="G7592" s="6"/>
      <c r="K7592" s="6"/>
    </row>
    <row r="7593" spans="3:11" x14ac:dyDescent="0.25">
      <c r="C7593" s="6"/>
      <c r="G7593" s="6"/>
      <c r="K7593" s="6"/>
    </row>
    <row r="7594" spans="3:11" x14ac:dyDescent="0.25">
      <c r="C7594" s="6"/>
      <c r="G7594" s="6"/>
      <c r="K7594" s="6"/>
    </row>
    <row r="7595" spans="3:11" x14ac:dyDescent="0.25">
      <c r="C7595" s="6"/>
      <c r="G7595" s="6"/>
      <c r="K7595" s="6"/>
    </row>
    <row r="7596" spans="3:11" x14ac:dyDescent="0.25">
      <c r="C7596" s="6"/>
      <c r="G7596" s="6"/>
      <c r="K7596" s="6"/>
    </row>
    <row r="7597" spans="3:11" x14ac:dyDescent="0.25">
      <c r="C7597" s="6"/>
      <c r="G7597" s="6"/>
      <c r="K7597" s="6"/>
    </row>
    <row r="7598" spans="3:11" x14ac:dyDescent="0.25">
      <c r="C7598" s="6"/>
      <c r="G7598" s="6"/>
      <c r="K7598" s="6"/>
    </row>
    <row r="7599" spans="3:11" x14ac:dyDescent="0.25">
      <c r="C7599" s="6"/>
      <c r="G7599" s="6"/>
      <c r="K7599" s="6"/>
    </row>
    <row r="7600" spans="3:11" x14ac:dyDescent="0.25">
      <c r="C7600" s="6"/>
      <c r="G7600" s="6"/>
      <c r="K7600" s="6"/>
    </row>
    <row r="7601" spans="3:11" x14ac:dyDescent="0.25">
      <c r="C7601" s="6"/>
      <c r="G7601" s="6"/>
      <c r="K7601" s="6"/>
    </row>
    <row r="7602" spans="3:11" x14ac:dyDescent="0.25">
      <c r="C7602" s="6"/>
      <c r="G7602" s="6"/>
      <c r="K7602" s="6"/>
    </row>
    <row r="7603" spans="3:11" x14ac:dyDescent="0.25">
      <c r="C7603" s="6"/>
      <c r="G7603" s="6"/>
      <c r="K7603" s="6"/>
    </row>
    <row r="7604" spans="3:11" x14ac:dyDescent="0.25">
      <c r="C7604" s="6"/>
      <c r="G7604" s="6"/>
      <c r="K7604" s="6"/>
    </row>
    <row r="7605" spans="3:11" x14ac:dyDescent="0.25">
      <c r="C7605" s="6"/>
      <c r="G7605" s="6"/>
      <c r="K7605" s="6"/>
    </row>
    <row r="7606" spans="3:11" x14ac:dyDescent="0.25">
      <c r="C7606" s="6"/>
      <c r="G7606" s="6"/>
      <c r="K7606" s="6"/>
    </row>
    <row r="7607" spans="3:11" x14ac:dyDescent="0.25">
      <c r="C7607" s="6"/>
      <c r="G7607" s="6"/>
      <c r="K7607" s="6"/>
    </row>
    <row r="7608" spans="3:11" x14ac:dyDescent="0.25">
      <c r="C7608" s="6"/>
      <c r="G7608" s="6"/>
      <c r="K7608" s="6"/>
    </row>
    <row r="7609" spans="3:11" x14ac:dyDescent="0.25">
      <c r="C7609" s="6"/>
      <c r="G7609" s="6"/>
      <c r="K7609" s="6"/>
    </row>
    <row r="7610" spans="3:11" x14ac:dyDescent="0.25">
      <c r="C7610" s="6"/>
      <c r="G7610" s="6"/>
      <c r="K7610" s="6"/>
    </row>
    <row r="7611" spans="3:11" x14ac:dyDescent="0.25">
      <c r="C7611" s="6"/>
      <c r="G7611" s="6"/>
      <c r="K7611" s="6"/>
    </row>
    <row r="7612" spans="3:11" x14ac:dyDescent="0.25">
      <c r="C7612" s="6"/>
      <c r="G7612" s="6"/>
      <c r="K7612" s="6"/>
    </row>
    <row r="7613" spans="3:11" x14ac:dyDescent="0.25">
      <c r="C7613" s="6"/>
      <c r="G7613" s="6"/>
      <c r="K7613" s="6"/>
    </row>
    <row r="7614" spans="3:11" x14ac:dyDescent="0.25">
      <c r="C7614" s="6"/>
      <c r="G7614" s="6"/>
      <c r="K7614" s="6"/>
    </row>
    <row r="7615" spans="3:11" x14ac:dyDescent="0.25">
      <c r="C7615" s="6"/>
      <c r="G7615" s="6"/>
      <c r="K7615" s="6"/>
    </row>
    <row r="7616" spans="3:11" x14ac:dyDescent="0.25">
      <c r="C7616" s="6"/>
      <c r="G7616" s="6"/>
      <c r="K7616" s="6"/>
    </row>
    <row r="7617" spans="3:11" x14ac:dyDescent="0.25">
      <c r="C7617" s="6"/>
      <c r="G7617" s="6"/>
      <c r="K7617" s="6"/>
    </row>
    <row r="7618" spans="3:11" x14ac:dyDescent="0.25">
      <c r="C7618" s="6"/>
      <c r="G7618" s="6"/>
      <c r="K7618" s="6"/>
    </row>
    <row r="7619" spans="3:11" x14ac:dyDescent="0.25">
      <c r="C7619" s="6"/>
      <c r="G7619" s="6"/>
      <c r="K7619" s="6"/>
    </row>
    <row r="7620" spans="3:11" x14ac:dyDescent="0.25">
      <c r="C7620" s="6"/>
      <c r="G7620" s="6"/>
      <c r="K7620" s="6"/>
    </row>
    <row r="7621" spans="3:11" x14ac:dyDescent="0.25">
      <c r="C7621" s="6"/>
      <c r="G7621" s="6"/>
      <c r="K7621" s="6"/>
    </row>
    <row r="7622" spans="3:11" x14ac:dyDescent="0.25">
      <c r="C7622" s="6"/>
      <c r="G7622" s="6"/>
      <c r="K7622" s="6"/>
    </row>
    <row r="7623" spans="3:11" x14ac:dyDescent="0.25">
      <c r="C7623" s="6"/>
      <c r="G7623" s="6"/>
      <c r="K7623" s="6"/>
    </row>
    <row r="7624" spans="3:11" x14ac:dyDescent="0.25">
      <c r="C7624" s="6"/>
      <c r="G7624" s="6"/>
      <c r="K7624" s="6"/>
    </row>
    <row r="7625" spans="3:11" x14ac:dyDescent="0.25">
      <c r="C7625" s="6"/>
      <c r="G7625" s="6"/>
      <c r="K7625" s="6"/>
    </row>
    <row r="7626" spans="3:11" x14ac:dyDescent="0.25">
      <c r="C7626" s="6"/>
      <c r="G7626" s="6"/>
      <c r="K7626" s="6"/>
    </row>
    <row r="7627" spans="3:11" x14ac:dyDescent="0.25">
      <c r="C7627" s="6"/>
      <c r="G7627" s="6"/>
      <c r="K7627" s="6"/>
    </row>
    <row r="7628" spans="3:11" x14ac:dyDescent="0.25">
      <c r="C7628" s="6"/>
      <c r="G7628" s="6"/>
      <c r="K7628" s="6"/>
    </row>
    <row r="7629" spans="3:11" x14ac:dyDescent="0.25">
      <c r="C7629" s="6"/>
      <c r="G7629" s="6"/>
      <c r="K7629" s="6"/>
    </row>
    <row r="7630" spans="3:11" x14ac:dyDescent="0.25">
      <c r="C7630" s="6"/>
      <c r="G7630" s="6"/>
      <c r="K7630" s="6"/>
    </row>
    <row r="7631" spans="3:11" x14ac:dyDescent="0.25">
      <c r="C7631" s="6"/>
      <c r="G7631" s="6"/>
      <c r="K7631" s="6"/>
    </row>
    <row r="7632" spans="3:11" x14ac:dyDescent="0.25">
      <c r="C7632" s="6"/>
      <c r="G7632" s="6"/>
      <c r="K7632" s="6"/>
    </row>
    <row r="7633" spans="3:11" x14ac:dyDescent="0.25">
      <c r="C7633" s="6"/>
      <c r="G7633" s="6"/>
      <c r="K7633" s="6"/>
    </row>
    <row r="7634" spans="3:11" x14ac:dyDescent="0.25">
      <c r="C7634" s="6"/>
      <c r="G7634" s="6"/>
      <c r="K7634" s="6"/>
    </row>
    <row r="7635" spans="3:11" x14ac:dyDescent="0.25">
      <c r="C7635" s="6"/>
      <c r="G7635" s="6"/>
      <c r="K7635" s="6"/>
    </row>
    <row r="7636" spans="3:11" x14ac:dyDescent="0.25">
      <c r="C7636" s="6"/>
      <c r="G7636" s="6"/>
      <c r="K7636" s="6"/>
    </row>
    <row r="7637" spans="3:11" x14ac:dyDescent="0.25">
      <c r="C7637" s="6"/>
      <c r="G7637" s="6"/>
      <c r="K7637" s="6"/>
    </row>
    <row r="7638" spans="3:11" x14ac:dyDescent="0.25">
      <c r="C7638" s="6"/>
      <c r="G7638" s="6"/>
      <c r="K7638" s="6"/>
    </row>
    <row r="7639" spans="3:11" x14ac:dyDescent="0.25">
      <c r="C7639" s="6"/>
      <c r="G7639" s="6"/>
      <c r="K7639" s="6"/>
    </row>
    <row r="7640" spans="3:11" x14ac:dyDescent="0.25">
      <c r="C7640" s="6"/>
      <c r="G7640" s="6"/>
      <c r="K7640" s="6"/>
    </row>
    <row r="7641" spans="3:11" x14ac:dyDescent="0.25">
      <c r="C7641" s="6"/>
      <c r="G7641" s="6"/>
      <c r="K7641" s="6"/>
    </row>
    <row r="7642" spans="3:11" x14ac:dyDescent="0.25">
      <c r="C7642" s="6"/>
      <c r="G7642" s="6"/>
      <c r="K7642" s="6"/>
    </row>
    <row r="7643" spans="3:11" x14ac:dyDescent="0.25">
      <c r="C7643" s="6"/>
      <c r="G7643" s="6"/>
      <c r="K7643" s="6"/>
    </row>
    <row r="7644" spans="3:11" x14ac:dyDescent="0.25">
      <c r="C7644" s="6"/>
      <c r="G7644" s="6"/>
      <c r="K7644" s="6"/>
    </row>
    <row r="7645" spans="3:11" x14ac:dyDescent="0.25">
      <c r="C7645" s="6"/>
      <c r="G7645" s="6"/>
      <c r="K7645" s="6"/>
    </row>
    <row r="7646" spans="3:11" x14ac:dyDescent="0.25">
      <c r="C7646" s="6"/>
      <c r="G7646" s="6"/>
      <c r="K7646" s="6"/>
    </row>
    <row r="7647" spans="3:11" x14ac:dyDescent="0.25">
      <c r="C7647" s="6"/>
      <c r="G7647" s="6"/>
      <c r="K7647" s="6"/>
    </row>
    <row r="7648" spans="3:11" x14ac:dyDescent="0.25">
      <c r="C7648" s="6"/>
      <c r="G7648" s="6"/>
      <c r="K7648" s="6"/>
    </row>
    <row r="7649" spans="3:11" x14ac:dyDescent="0.25">
      <c r="C7649" s="6"/>
      <c r="G7649" s="6"/>
      <c r="K7649" s="6"/>
    </row>
    <row r="7650" spans="3:11" x14ac:dyDescent="0.25">
      <c r="C7650" s="6"/>
      <c r="G7650" s="6"/>
      <c r="K7650" s="6"/>
    </row>
    <row r="7651" spans="3:11" x14ac:dyDescent="0.25">
      <c r="C7651" s="6"/>
      <c r="G7651" s="6"/>
      <c r="K7651" s="6"/>
    </row>
    <row r="7652" spans="3:11" x14ac:dyDescent="0.25">
      <c r="C7652" s="6"/>
      <c r="G7652" s="6"/>
      <c r="K7652" s="6"/>
    </row>
    <row r="7653" spans="3:11" x14ac:dyDescent="0.25">
      <c r="C7653" s="6"/>
      <c r="G7653" s="6"/>
      <c r="K7653" s="6"/>
    </row>
    <row r="7654" spans="3:11" x14ac:dyDescent="0.25">
      <c r="C7654" s="6"/>
      <c r="G7654" s="6"/>
      <c r="K7654" s="6"/>
    </row>
    <row r="7655" spans="3:11" x14ac:dyDescent="0.25">
      <c r="C7655" s="6"/>
      <c r="G7655" s="6"/>
      <c r="K7655" s="6"/>
    </row>
    <row r="7656" spans="3:11" x14ac:dyDescent="0.25">
      <c r="C7656" s="6"/>
      <c r="G7656" s="6"/>
      <c r="K7656" s="6"/>
    </row>
    <row r="7657" spans="3:11" x14ac:dyDescent="0.25">
      <c r="C7657" s="6"/>
      <c r="G7657" s="6"/>
      <c r="K7657" s="6"/>
    </row>
    <row r="7658" spans="3:11" x14ac:dyDescent="0.25">
      <c r="C7658" s="6"/>
      <c r="G7658" s="6"/>
      <c r="K7658" s="6"/>
    </row>
    <row r="7659" spans="3:11" x14ac:dyDescent="0.25">
      <c r="C7659" s="6"/>
      <c r="G7659" s="6"/>
      <c r="K7659" s="6"/>
    </row>
    <row r="7660" spans="3:11" x14ac:dyDescent="0.25">
      <c r="C7660" s="6"/>
      <c r="G7660" s="6"/>
      <c r="K7660" s="6"/>
    </row>
    <row r="7661" spans="3:11" x14ac:dyDescent="0.25">
      <c r="C7661" s="6"/>
      <c r="G7661" s="6"/>
      <c r="K7661" s="6"/>
    </row>
    <row r="7662" spans="3:11" x14ac:dyDescent="0.25">
      <c r="C7662" s="6"/>
      <c r="G7662" s="6"/>
      <c r="K7662" s="6"/>
    </row>
    <row r="7663" spans="3:11" x14ac:dyDescent="0.25">
      <c r="C7663" s="6"/>
      <c r="G7663" s="6"/>
      <c r="K7663" s="6"/>
    </row>
    <row r="7664" spans="3:11" x14ac:dyDescent="0.25">
      <c r="C7664" s="6"/>
      <c r="G7664" s="6"/>
      <c r="K7664" s="6"/>
    </row>
    <row r="7665" spans="3:11" x14ac:dyDescent="0.25">
      <c r="C7665" s="6"/>
      <c r="G7665" s="6"/>
      <c r="K7665" s="6"/>
    </row>
    <row r="7666" spans="3:11" x14ac:dyDescent="0.25">
      <c r="C7666" s="6"/>
      <c r="G7666" s="6"/>
      <c r="K7666" s="6"/>
    </row>
    <row r="7667" spans="3:11" x14ac:dyDescent="0.25">
      <c r="C7667" s="6"/>
      <c r="G7667" s="6"/>
      <c r="K7667" s="6"/>
    </row>
    <row r="7668" spans="3:11" x14ac:dyDescent="0.25">
      <c r="C7668" s="6"/>
      <c r="G7668" s="6"/>
      <c r="K7668" s="6"/>
    </row>
    <row r="7669" spans="3:11" x14ac:dyDescent="0.25">
      <c r="C7669" s="6"/>
      <c r="G7669" s="6"/>
      <c r="K7669" s="6"/>
    </row>
    <row r="7670" spans="3:11" x14ac:dyDescent="0.25">
      <c r="C7670" s="6"/>
      <c r="G7670" s="6"/>
      <c r="K7670" s="6"/>
    </row>
    <row r="7671" spans="3:11" x14ac:dyDescent="0.25">
      <c r="C7671" s="6"/>
      <c r="G7671" s="6"/>
      <c r="K7671" s="6"/>
    </row>
    <row r="7672" spans="3:11" x14ac:dyDescent="0.25">
      <c r="C7672" s="6"/>
      <c r="G7672" s="6"/>
      <c r="K7672" s="6"/>
    </row>
    <row r="7673" spans="3:11" x14ac:dyDescent="0.25">
      <c r="C7673" s="6"/>
      <c r="G7673" s="6"/>
      <c r="K7673" s="6"/>
    </row>
    <row r="7674" spans="3:11" x14ac:dyDescent="0.25">
      <c r="C7674" s="6"/>
      <c r="G7674" s="6"/>
      <c r="K7674" s="6"/>
    </row>
    <row r="7675" spans="3:11" x14ac:dyDescent="0.25">
      <c r="C7675" s="6"/>
      <c r="G7675" s="6"/>
      <c r="K7675" s="6"/>
    </row>
    <row r="7676" spans="3:11" x14ac:dyDescent="0.25">
      <c r="C7676" s="6"/>
      <c r="G7676" s="6"/>
      <c r="K7676" s="6"/>
    </row>
    <row r="7677" spans="3:11" x14ac:dyDescent="0.25">
      <c r="C7677" s="6"/>
      <c r="G7677" s="6"/>
      <c r="K7677" s="6"/>
    </row>
    <row r="7678" spans="3:11" x14ac:dyDescent="0.25">
      <c r="C7678" s="6"/>
      <c r="G7678" s="6"/>
      <c r="K7678" s="6"/>
    </row>
    <row r="7679" spans="3:11" x14ac:dyDescent="0.25">
      <c r="C7679" s="6"/>
      <c r="G7679" s="6"/>
      <c r="K7679" s="6"/>
    </row>
    <row r="7680" spans="3:11" x14ac:dyDescent="0.25">
      <c r="C7680" s="6"/>
      <c r="G7680" s="6"/>
      <c r="K7680" s="6"/>
    </row>
    <row r="7681" spans="3:11" x14ac:dyDescent="0.25">
      <c r="C7681" s="6"/>
      <c r="G7681" s="6"/>
      <c r="K7681" s="6"/>
    </row>
    <row r="7682" spans="3:11" x14ac:dyDescent="0.25">
      <c r="C7682" s="6"/>
      <c r="G7682" s="6"/>
      <c r="K7682" s="6"/>
    </row>
    <row r="7683" spans="3:11" x14ac:dyDescent="0.25">
      <c r="C7683" s="6"/>
      <c r="G7683" s="6"/>
      <c r="K7683" s="6"/>
    </row>
    <row r="7684" spans="3:11" x14ac:dyDescent="0.25">
      <c r="C7684" s="6"/>
      <c r="G7684" s="6"/>
      <c r="K7684" s="6"/>
    </row>
    <row r="7685" spans="3:11" x14ac:dyDescent="0.25">
      <c r="C7685" s="6"/>
      <c r="G7685" s="6"/>
      <c r="K7685" s="6"/>
    </row>
    <row r="7686" spans="3:11" x14ac:dyDescent="0.25">
      <c r="C7686" s="6"/>
      <c r="G7686" s="6"/>
      <c r="K7686" s="6"/>
    </row>
    <row r="7687" spans="3:11" x14ac:dyDescent="0.25">
      <c r="C7687" s="6"/>
      <c r="G7687" s="6"/>
      <c r="K7687" s="6"/>
    </row>
    <row r="7688" spans="3:11" x14ac:dyDescent="0.25">
      <c r="C7688" s="6"/>
      <c r="G7688" s="6"/>
      <c r="K7688" s="6"/>
    </row>
    <row r="7689" spans="3:11" x14ac:dyDescent="0.25">
      <c r="C7689" s="6"/>
      <c r="G7689" s="6"/>
      <c r="K7689" s="6"/>
    </row>
    <row r="7690" spans="3:11" x14ac:dyDescent="0.25">
      <c r="C7690" s="6"/>
      <c r="G7690" s="6"/>
      <c r="K7690" s="6"/>
    </row>
    <row r="7691" spans="3:11" x14ac:dyDescent="0.25">
      <c r="C7691" s="6"/>
      <c r="G7691" s="6"/>
      <c r="K7691" s="6"/>
    </row>
    <row r="7692" spans="3:11" x14ac:dyDescent="0.25">
      <c r="C7692" s="6"/>
      <c r="G7692" s="6"/>
      <c r="K7692" s="6"/>
    </row>
    <row r="7693" spans="3:11" x14ac:dyDescent="0.25">
      <c r="C7693" s="6"/>
      <c r="G7693" s="6"/>
      <c r="K7693" s="6"/>
    </row>
    <row r="7694" spans="3:11" x14ac:dyDescent="0.25">
      <c r="C7694" s="6"/>
      <c r="G7694" s="6"/>
      <c r="K7694" s="6"/>
    </row>
    <row r="7695" spans="3:11" x14ac:dyDescent="0.25">
      <c r="C7695" s="6"/>
      <c r="G7695" s="6"/>
      <c r="K7695" s="6"/>
    </row>
    <row r="7696" spans="3:11" x14ac:dyDescent="0.25">
      <c r="C7696" s="6"/>
      <c r="G7696" s="6"/>
      <c r="K7696" s="6"/>
    </row>
    <row r="7697" spans="3:11" x14ac:dyDescent="0.25">
      <c r="C7697" s="6"/>
      <c r="G7697" s="6"/>
      <c r="K7697" s="6"/>
    </row>
    <row r="7698" spans="3:11" x14ac:dyDescent="0.25">
      <c r="C7698" s="6"/>
      <c r="G7698" s="6"/>
      <c r="K7698" s="6"/>
    </row>
    <row r="7699" spans="3:11" x14ac:dyDescent="0.25">
      <c r="C7699" s="6"/>
      <c r="G7699" s="6"/>
      <c r="K7699" s="6"/>
    </row>
    <row r="7700" spans="3:11" x14ac:dyDescent="0.25">
      <c r="C7700" s="6"/>
      <c r="G7700" s="6"/>
      <c r="K7700" s="6"/>
    </row>
    <row r="7701" spans="3:11" x14ac:dyDescent="0.25">
      <c r="C7701" s="6"/>
      <c r="G7701" s="6"/>
      <c r="K7701" s="6"/>
    </row>
    <row r="7702" spans="3:11" x14ac:dyDescent="0.25">
      <c r="C7702" s="6"/>
      <c r="G7702" s="6"/>
      <c r="K7702" s="6"/>
    </row>
    <row r="7703" spans="3:11" x14ac:dyDescent="0.25">
      <c r="C7703" s="6"/>
      <c r="G7703" s="6"/>
      <c r="K7703" s="6"/>
    </row>
    <row r="7704" spans="3:11" x14ac:dyDescent="0.25">
      <c r="C7704" s="6"/>
      <c r="G7704" s="6"/>
      <c r="K7704" s="6"/>
    </row>
    <row r="7705" spans="3:11" x14ac:dyDescent="0.25">
      <c r="C7705" s="6"/>
      <c r="G7705" s="6"/>
      <c r="K7705" s="6"/>
    </row>
    <row r="7706" spans="3:11" x14ac:dyDescent="0.25">
      <c r="C7706" s="6"/>
      <c r="G7706" s="6"/>
      <c r="K7706" s="6"/>
    </row>
    <row r="7707" spans="3:11" x14ac:dyDescent="0.25">
      <c r="C7707" s="6"/>
      <c r="G7707" s="6"/>
      <c r="K7707" s="6"/>
    </row>
    <row r="7708" spans="3:11" x14ac:dyDescent="0.25">
      <c r="C7708" s="6"/>
      <c r="G7708" s="6"/>
      <c r="K7708" s="6"/>
    </row>
    <row r="7709" spans="3:11" x14ac:dyDescent="0.25">
      <c r="C7709" s="6"/>
      <c r="G7709" s="6"/>
      <c r="K7709" s="6"/>
    </row>
    <row r="7710" spans="3:11" x14ac:dyDescent="0.25">
      <c r="C7710" s="6"/>
      <c r="G7710" s="6"/>
      <c r="K7710" s="6"/>
    </row>
    <row r="7711" spans="3:11" x14ac:dyDescent="0.25">
      <c r="C7711" s="6"/>
      <c r="G7711" s="6"/>
      <c r="K7711" s="6"/>
    </row>
    <row r="7712" spans="3:11" x14ac:dyDescent="0.25">
      <c r="C7712" s="6"/>
      <c r="G7712" s="6"/>
      <c r="K7712" s="6"/>
    </row>
    <row r="7713" spans="3:11" x14ac:dyDescent="0.25">
      <c r="C7713" s="6"/>
      <c r="G7713" s="6"/>
      <c r="K7713" s="6"/>
    </row>
    <row r="7714" spans="3:11" x14ac:dyDescent="0.25">
      <c r="C7714" s="6"/>
      <c r="G7714" s="6"/>
      <c r="K7714" s="6"/>
    </row>
    <row r="7715" spans="3:11" x14ac:dyDescent="0.25">
      <c r="C7715" s="6"/>
      <c r="G7715" s="6"/>
      <c r="K7715" s="6"/>
    </row>
    <row r="7716" spans="3:11" x14ac:dyDescent="0.25">
      <c r="C7716" s="6"/>
      <c r="G7716" s="6"/>
      <c r="K7716" s="6"/>
    </row>
    <row r="7717" spans="3:11" x14ac:dyDescent="0.25">
      <c r="C7717" s="6"/>
      <c r="G7717" s="6"/>
      <c r="K7717" s="6"/>
    </row>
    <row r="7718" spans="3:11" x14ac:dyDescent="0.25">
      <c r="C7718" s="6"/>
      <c r="G7718" s="6"/>
      <c r="K7718" s="6"/>
    </row>
    <row r="7719" spans="3:11" x14ac:dyDescent="0.25">
      <c r="C7719" s="6"/>
      <c r="G7719" s="6"/>
      <c r="K7719" s="6"/>
    </row>
    <row r="7720" spans="3:11" x14ac:dyDescent="0.25">
      <c r="C7720" s="6"/>
      <c r="G7720" s="6"/>
      <c r="K7720" s="6"/>
    </row>
    <row r="7721" spans="3:11" x14ac:dyDescent="0.25">
      <c r="C7721" s="6"/>
      <c r="G7721" s="6"/>
      <c r="K7721" s="6"/>
    </row>
    <row r="7722" spans="3:11" x14ac:dyDescent="0.25">
      <c r="C7722" s="6"/>
      <c r="G7722" s="6"/>
      <c r="K7722" s="6"/>
    </row>
    <row r="7723" spans="3:11" x14ac:dyDescent="0.25">
      <c r="C7723" s="6"/>
      <c r="G7723" s="6"/>
      <c r="K7723" s="6"/>
    </row>
    <row r="7724" spans="3:11" x14ac:dyDescent="0.25">
      <c r="C7724" s="6"/>
      <c r="G7724" s="6"/>
      <c r="K7724" s="6"/>
    </row>
    <row r="7725" spans="3:11" x14ac:dyDescent="0.25">
      <c r="C7725" s="6"/>
      <c r="G7725" s="6"/>
      <c r="K7725" s="6"/>
    </row>
    <row r="7726" spans="3:11" x14ac:dyDescent="0.25">
      <c r="C7726" s="6"/>
      <c r="G7726" s="6"/>
      <c r="K7726" s="6"/>
    </row>
    <row r="7727" spans="3:11" x14ac:dyDescent="0.25">
      <c r="C7727" s="6"/>
      <c r="G7727" s="6"/>
      <c r="K7727" s="6"/>
    </row>
    <row r="7728" spans="3:11" x14ac:dyDescent="0.25">
      <c r="C7728" s="6"/>
      <c r="G7728" s="6"/>
      <c r="K7728" s="6"/>
    </row>
    <row r="7729" spans="3:11" x14ac:dyDescent="0.25">
      <c r="C7729" s="6"/>
      <c r="G7729" s="6"/>
      <c r="K7729" s="6"/>
    </row>
    <row r="7730" spans="3:11" x14ac:dyDescent="0.25">
      <c r="C7730" s="6"/>
      <c r="G7730" s="6"/>
      <c r="K7730" s="6"/>
    </row>
    <row r="7731" spans="3:11" x14ac:dyDescent="0.25">
      <c r="C7731" s="6"/>
      <c r="G7731" s="6"/>
      <c r="K7731" s="6"/>
    </row>
    <row r="7732" spans="3:11" x14ac:dyDescent="0.25">
      <c r="C7732" s="6"/>
      <c r="G7732" s="6"/>
      <c r="K7732" s="6"/>
    </row>
    <row r="7733" spans="3:11" x14ac:dyDescent="0.25">
      <c r="C7733" s="6"/>
      <c r="G7733" s="6"/>
      <c r="K7733" s="6"/>
    </row>
    <row r="7734" spans="3:11" x14ac:dyDescent="0.25">
      <c r="C7734" s="6"/>
      <c r="G7734" s="6"/>
      <c r="K7734" s="6"/>
    </row>
    <row r="7735" spans="3:11" x14ac:dyDescent="0.25">
      <c r="C7735" s="6"/>
      <c r="G7735" s="6"/>
      <c r="K7735" s="6"/>
    </row>
    <row r="7736" spans="3:11" x14ac:dyDescent="0.25">
      <c r="C7736" s="6"/>
      <c r="G7736" s="6"/>
      <c r="K7736" s="6"/>
    </row>
    <row r="7737" spans="3:11" x14ac:dyDescent="0.25">
      <c r="C7737" s="6"/>
      <c r="G7737" s="6"/>
      <c r="K7737" s="6"/>
    </row>
    <row r="7738" spans="3:11" x14ac:dyDescent="0.25">
      <c r="C7738" s="6"/>
      <c r="G7738" s="6"/>
      <c r="K7738" s="6"/>
    </row>
    <row r="7739" spans="3:11" x14ac:dyDescent="0.25">
      <c r="C7739" s="6"/>
      <c r="G7739" s="6"/>
      <c r="K7739" s="6"/>
    </row>
    <row r="7740" spans="3:11" x14ac:dyDescent="0.25">
      <c r="C7740" s="6"/>
      <c r="G7740" s="6"/>
      <c r="K7740" s="6"/>
    </row>
    <row r="7741" spans="3:11" x14ac:dyDescent="0.25">
      <c r="C7741" s="6"/>
      <c r="G7741" s="6"/>
      <c r="K7741" s="6"/>
    </row>
    <row r="7742" spans="3:11" x14ac:dyDescent="0.25">
      <c r="C7742" s="6"/>
      <c r="G7742" s="6"/>
      <c r="K7742" s="6"/>
    </row>
    <row r="7743" spans="3:11" x14ac:dyDescent="0.25">
      <c r="C7743" s="6"/>
      <c r="G7743" s="6"/>
      <c r="K7743" s="6"/>
    </row>
    <row r="7744" spans="3:11" x14ac:dyDescent="0.25">
      <c r="C7744" s="6"/>
      <c r="G7744" s="6"/>
      <c r="K7744" s="6"/>
    </row>
    <row r="7745" spans="3:11" x14ac:dyDescent="0.25">
      <c r="C7745" s="6"/>
      <c r="G7745" s="6"/>
      <c r="K7745" s="6"/>
    </row>
    <row r="7746" spans="3:11" x14ac:dyDescent="0.25">
      <c r="C7746" s="6"/>
      <c r="G7746" s="6"/>
      <c r="K7746" s="6"/>
    </row>
    <row r="7747" spans="3:11" x14ac:dyDescent="0.25">
      <c r="C7747" s="6"/>
      <c r="G7747" s="6"/>
      <c r="K7747" s="6"/>
    </row>
    <row r="7748" spans="3:11" x14ac:dyDescent="0.25">
      <c r="C7748" s="6"/>
      <c r="G7748" s="6"/>
      <c r="K7748" s="6"/>
    </row>
    <row r="7749" spans="3:11" x14ac:dyDescent="0.25">
      <c r="C7749" s="6"/>
      <c r="G7749" s="6"/>
      <c r="K7749" s="6"/>
    </row>
    <row r="7750" spans="3:11" x14ac:dyDescent="0.25">
      <c r="C7750" s="6"/>
      <c r="G7750" s="6"/>
      <c r="K7750" s="6"/>
    </row>
    <row r="7751" spans="3:11" x14ac:dyDescent="0.25">
      <c r="C7751" s="6"/>
      <c r="G7751" s="6"/>
      <c r="K7751" s="6"/>
    </row>
    <row r="7752" spans="3:11" x14ac:dyDescent="0.25">
      <c r="C7752" s="6"/>
      <c r="G7752" s="6"/>
      <c r="K7752" s="6"/>
    </row>
    <row r="7753" spans="3:11" x14ac:dyDescent="0.25">
      <c r="C7753" s="6"/>
      <c r="G7753" s="6"/>
      <c r="K7753" s="6"/>
    </row>
    <row r="7754" spans="3:11" x14ac:dyDescent="0.25">
      <c r="C7754" s="6"/>
      <c r="G7754" s="6"/>
      <c r="K7754" s="6"/>
    </row>
    <row r="7755" spans="3:11" x14ac:dyDescent="0.25">
      <c r="C7755" s="6"/>
      <c r="G7755" s="6"/>
      <c r="K7755" s="6"/>
    </row>
    <row r="7756" spans="3:11" x14ac:dyDescent="0.25">
      <c r="C7756" s="6"/>
      <c r="G7756" s="6"/>
      <c r="K7756" s="6"/>
    </row>
    <row r="7757" spans="3:11" x14ac:dyDescent="0.25">
      <c r="C7757" s="6"/>
      <c r="G7757" s="6"/>
      <c r="K7757" s="6"/>
    </row>
    <row r="7758" spans="3:11" x14ac:dyDescent="0.25">
      <c r="C7758" s="6"/>
      <c r="G7758" s="6"/>
      <c r="K7758" s="6"/>
    </row>
    <row r="7759" spans="3:11" x14ac:dyDescent="0.25">
      <c r="C7759" s="6"/>
      <c r="G7759" s="6"/>
      <c r="K7759" s="6"/>
    </row>
    <row r="7760" spans="3:11" x14ac:dyDescent="0.25">
      <c r="C7760" s="6"/>
      <c r="G7760" s="6"/>
      <c r="K7760" s="6"/>
    </row>
    <row r="7761" spans="3:11" x14ac:dyDescent="0.25">
      <c r="C7761" s="6"/>
      <c r="G7761" s="6"/>
      <c r="K7761" s="6"/>
    </row>
    <row r="7762" spans="3:11" x14ac:dyDescent="0.25">
      <c r="C7762" s="6"/>
      <c r="G7762" s="6"/>
      <c r="K7762" s="6"/>
    </row>
    <row r="7763" spans="3:11" x14ac:dyDescent="0.25">
      <c r="C7763" s="6"/>
      <c r="G7763" s="6"/>
      <c r="K7763" s="6"/>
    </row>
    <row r="7764" spans="3:11" x14ac:dyDescent="0.25">
      <c r="C7764" s="6"/>
      <c r="G7764" s="6"/>
      <c r="K7764" s="6"/>
    </row>
    <row r="7765" spans="3:11" x14ac:dyDescent="0.25">
      <c r="C7765" s="6"/>
      <c r="G7765" s="6"/>
      <c r="K7765" s="6"/>
    </row>
    <row r="7766" spans="3:11" x14ac:dyDescent="0.25">
      <c r="C7766" s="6"/>
      <c r="G7766" s="6"/>
      <c r="K7766" s="6"/>
    </row>
    <row r="7767" spans="3:11" x14ac:dyDescent="0.25">
      <c r="C7767" s="6"/>
      <c r="G7767" s="6"/>
      <c r="K7767" s="6"/>
    </row>
    <row r="7768" spans="3:11" x14ac:dyDescent="0.25">
      <c r="C7768" s="6"/>
      <c r="G7768" s="6"/>
      <c r="K7768" s="6"/>
    </row>
    <row r="7769" spans="3:11" x14ac:dyDescent="0.25">
      <c r="C7769" s="6"/>
      <c r="G7769" s="6"/>
      <c r="K7769" s="6"/>
    </row>
    <row r="7770" spans="3:11" x14ac:dyDescent="0.25">
      <c r="C7770" s="6"/>
      <c r="G7770" s="6"/>
      <c r="K7770" s="6"/>
    </row>
    <row r="7771" spans="3:11" x14ac:dyDescent="0.25">
      <c r="C7771" s="6"/>
      <c r="G7771" s="6"/>
      <c r="K7771" s="6"/>
    </row>
    <row r="7772" spans="3:11" x14ac:dyDescent="0.25">
      <c r="C7772" s="6"/>
      <c r="G7772" s="6"/>
      <c r="K7772" s="6"/>
    </row>
    <row r="7773" spans="3:11" x14ac:dyDescent="0.25">
      <c r="C7773" s="6"/>
      <c r="G7773" s="6"/>
      <c r="K7773" s="6"/>
    </row>
    <row r="7774" spans="3:11" x14ac:dyDescent="0.25">
      <c r="C7774" s="6"/>
      <c r="G7774" s="6"/>
      <c r="K7774" s="6"/>
    </row>
    <row r="7775" spans="3:11" x14ac:dyDescent="0.25">
      <c r="C7775" s="6"/>
      <c r="G7775" s="6"/>
      <c r="K7775" s="6"/>
    </row>
    <row r="7776" spans="3:11" x14ac:dyDescent="0.25">
      <c r="C7776" s="6"/>
      <c r="G7776" s="6"/>
      <c r="K7776" s="6"/>
    </row>
    <row r="7777" spans="3:11" x14ac:dyDescent="0.25">
      <c r="C7777" s="6"/>
      <c r="G7777" s="6"/>
      <c r="K7777" s="6"/>
    </row>
    <row r="7778" spans="3:11" x14ac:dyDescent="0.25">
      <c r="C7778" s="6"/>
      <c r="G7778" s="6"/>
      <c r="K7778" s="6"/>
    </row>
    <row r="7779" spans="3:11" x14ac:dyDescent="0.25">
      <c r="C7779" s="6"/>
      <c r="G7779" s="6"/>
      <c r="K7779" s="6"/>
    </row>
    <row r="7780" spans="3:11" x14ac:dyDescent="0.25">
      <c r="C7780" s="6"/>
      <c r="G7780" s="6"/>
      <c r="K7780" s="6"/>
    </row>
    <row r="7781" spans="3:11" x14ac:dyDescent="0.25">
      <c r="C7781" s="6"/>
      <c r="G7781" s="6"/>
      <c r="K7781" s="6"/>
    </row>
    <row r="7782" spans="3:11" x14ac:dyDescent="0.25">
      <c r="C7782" s="6"/>
      <c r="G7782" s="6"/>
      <c r="K7782" s="6"/>
    </row>
    <row r="7783" spans="3:11" x14ac:dyDescent="0.25">
      <c r="C7783" s="6"/>
      <c r="G7783" s="6"/>
      <c r="K7783" s="6"/>
    </row>
    <row r="7784" spans="3:11" x14ac:dyDescent="0.25">
      <c r="C7784" s="6"/>
      <c r="G7784" s="6"/>
      <c r="K7784" s="6"/>
    </row>
    <row r="7785" spans="3:11" x14ac:dyDescent="0.25">
      <c r="C7785" s="6"/>
      <c r="G7785" s="6"/>
      <c r="K7785" s="6"/>
    </row>
    <row r="7786" spans="3:11" x14ac:dyDescent="0.25">
      <c r="C7786" s="6"/>
      <c r="G7786" s="6"/>
      <c r="K7786" s="6"/>
    </row>
    <row r="7787" spans="3:11" x14ac:dyDescent="0.25">
      <c r="C7787" s="6"/>
      <c r="G7787" s="6"/>
      <c r="K7787" s="6"/>
    </row>
    <row r="7788" spans="3:11" x14ac:dyDescent="0.25">
      <c r="C7788" s="6"/>
      <c r="G7788" s="6"/>
      <c r="K7788" s="6"/>
    </row>
    <row r="7789" spans="3:11" x14ac:dyDescent="0.25">
      <c r="C7789" s="6"/>
      <c r="G7789" s="6"/>
      <c r="K7789" s="6"/>
    </row>
    <row r="7790" spans="3:11" x14ac:dyDescent="0.25">
      <c r="C7790" s="6"/>
      <c r="G7790" s="6"/>
      <c r="K7790" s="6"/>
    </row>
    <row r="7791" spans="3:11" x14ac:dyDescent="0.25">
      <c r="C7791" s="6"/>
      <c r="G7791" s="6"/>
      <c r="K7791" s="6"/>
    </row>
    <row r="7792" spans="3:11" x14ac:dyDescent="0.25">
      <c r="C7792" s="6"/>
      <c r="G7792" s="6"/>
      <c r="K7792" s="6"/>
    </row>
    <row r="7793" spans="3:11" x14ac:dyDescent="0.25">
      <c r="C7793" s="6"/>
      <c r="G7793" s="6"/>
      <c r="K7793" s="6"/>
    </row>
    <row r="7794" spans="3:11" x14ac:dyDescent="0.25">
      <c r="C7794" s="6"/>
      <c r="G7794" s="6"/>
      <c r="K7794" s="6"/>
    </row>
    <row r="7795" spans="3:11" x14ac:dyDescent="0.25">
      <c r="C7795" s="6"/>
      <c r="G7795" s="6"/>
      <c r="K7795" s="6"/>
    </row>
    <row r="7796" spans="3:11" x14ac:dyDescent="0.25">
      <c r="C7796" s="6"/>
      <c r="G7796" s="6"/>
      <c r="K7796" s="6"/>
    </row>
    <row r="7797" spans="3:11" x14ac:dyDescent="0.25">
      <c r="C7797" s="6"/>
      <c r="G7797" s="6"/>
      <c r="K7797" s="6"/>
    </row>
    <row r="7798" spans="3:11" x14ac:dyDescent="0.25">
      <c r="C7798" s="6"/>
      <c r="G7798" s="6"/>
      <c r="K7798" s="6"/>
    </row>
    <row r="7799" spans="3:11" x14ac:dyDescent="0.25">
      <c r="C7799" s="6"/>
      <c r="G7799" s="6"/>
      <c r="K7799" s="6"/>
    </row>
    <row r="7800" spans="3:11" x14ac:dyDescent="0.25">
      <c r="C7800" s="6"/>
      <c r="G7800" s="6"/>
      <c r="K7800" s="6"/>
    </row>
    <row r="7801" spans="3:11" x14ac:dyDescent="0.25">
      <c r="C7801" s="6"/>
      <c r="G7801" s="6"/>
      <c r="K7801" s="6"/>
    </row>
    <row r="7802" spans="3:11" x14ac:dyDescent="0.25">
      <c r="C7802" s="6"/>
      <c r="G7802" s="6"/>
      <c r="K7802" s="6"/>
    </row>
    <row r="7803" spans="3:11" x14ac:dyDescent="0.25">
      <c r="C7803" s="6"/>
      <c r="G7803" s="6"/>
      <c r="K7803" s="6"/>
    </row>
    <row r="7804" spans="3:11" x14ac:dyDescent="0.25">
      <c r="C7804" s="6"/>
      <c r="G7804" s="6"/>
      <c r="K7804" s="6"/>
    </row>
    <row r="7805" spans="3:11" x14ac:dyDescent="0.25">
      <c r="C7805" s="6"/>
      <c r="G7805" s="6"/>
      <c r="K7805" s="6"/>
    </row>
    <row r="7806" spans="3:11" x14ac:dyDescent="0.25">
      <c r="C7806" s="6"/>
      <c r="G7806" s="6"/>
      <c r="K7806" s="6"/>
    </row>
    <row r="7807" spans="3:11" x14ac:dyDescent="0.25">
      <c r="C7807" s="6"/>
      <c r="G7807" s="6"/>
      <c r="K7807" s="6"/>
    </row>
    <row r="7808" spans="3:11" x14ac:dyDescent="0.25">
      <c r="C7808" s="6"/>
      <c r="G7808" s="6"/>
      <c r="K7808" s="6"/>
    </row>
    <row r="7809" spans="3:11" x14ac:dyDescent="0.25">
      <c r="C7809" s="6"/>
      <c r="G7809" s="6"/>
      <c r="K7809" s="6"/>
    </row>
    <row r="7810" spans="3:11" x14ac:dyDescent="0.25">
      <c r="C7810" s="6"/>
      <c r="G7810" s="6"/>
      <c r="K7810" s="6"/>
    </row>
    <row r="7811" spans="3:11" x14ac:dyDescent="0.25">
      <c r="C7811" s="6"/>
      <c r="G7811" s="6"/>
      <c r="K7811" s="6"/>
    </row>
    <row r="7812" spans="3:11" x14ac:dyDescent="0.25">
      <c r="C7812" s="6"/>
      <c r="G7812" s="6"/>
      <c r="K7812" s="6"/>
    </row>
    <row r="7813" spans="3:11" x14ac:dyDescent="0.25">
      <c r="C7813" s="6"/>
      <c r="G7813" s="6"/>
      <c r="K7813" s="6"/>
    </row>
    <row r="7814" spans="3:11" x14ac:dyDescent="0.25">
      <c r="C7814" s="6"/>
      <c r="G7814" s="6"/>
      <c r="K7814" s="6"/>
    </row>
    <row r="7815" spans="3:11" x14ac:dyDescent="0.25">
      <c r="C7815" s="6"/>
      <c r="G7815" s="6"/>
      <c r="K7815" s="6"/>
    </row>
    <row r="7816" spans="3:11" x14ac:dyDescent="0.25">
      <c r="C7816" s="6"/>
      <c r="G7816" s="6"/>
      <c r="K7816" s="6"/>
    </row>
    <row r="7817" spans="3:11" x14ac:dyDescent="0.25">
      <c r="C7817" s="6"/>
      <c r="G7817" s="6"/>
      <c r="K7817" s="6"/>
    </row>
    <row r="7818" spans="3:11" x14ac:dyDescent="0.25">
      <c r="C7818" s="6"/>
      <c r="G7818" s="6"/>
      <c r="K7818" s="6"/>
    </row>
    <row r="7819" spans="3:11" x14ac:dyDescent="0.25">
      <c r="C7819" s="6"/>
      <c r="G7819" s="6"/>
      <c r="K7819" s="6"/>
    </row>
    <row r="7820" spans="3:11" x14ac:dyDescent="0.25">
      <c r="C7820" s="6"/>
      <c r="G7820" s="6"/>
      <c r="K7820" s="6"/>
    </row>
    <row r="7821" spans="3:11" x14ac:dyDescent="0.25">
      <c r="C7821" s="6"/>
      <c r="G7821" s="6"/>
      <c r="K7821" s="6"/>
    </row>
    <row r="7822" spans="3:11" x14ac:dyDescent="0.25">
      <c r="C7822" s="6"/>
      <c r="G7822" s="6"/>
      <c r="K7822" s="6"/>
    </row>
    <row r="7823" spans="3:11" x14ac:dyDescent="0.25">
      <c r="C7823" s="6"/>
      <c r="G7823" s="6"/>
      <c r="K7823" s="6"/>
    </row>
    <row r="7824" spans="3:11" x14ac:dyDescent="0.25">
      <c r="C7824" s="6"/>
      <c r="G7824" s="6"/>
      <c r="K7824" s="6"/>
    </row>
    <row r="7825" spans="3:11" x14ac:dyDescent="0.25">
      <c r="C7825" s="6"/>
      <c r="G7825" s="6"/>
      <c r="K7825" s="6"/>
    </row>
    <row r="7826" spans="3:11" x14ac:dyDescent="0.25">
      <c r="C7826" s="6"/>
      <c r="G7826" s="6"/>
      <c r="K7826" s="6"/>
    </row>
    <row r="7827" spans="3:11" x14ac:dyDescent="0.25">
      <c r="C7827" s="6"/>
      <c r="G7827" s="6"/>
      <c r="K7827" s="6"/>
    </row>
    <row r="7828" spans="3:11" x14ac:dyDescent="0.25">
      <c r="C7828" s="6"/>
      <c r="G7828" s="6"/>
      <c r="K7828" s="6"/>
    </row>
    <row r="7829" spans="3:11" x14ac:dyDescent="0.25">
      <c r="C7829" s="6"/>
      <c r="G7829" s="6"/>
      <c r="K7829" s="6"/>
    </row>
    <row r="7830" spans="3:11" x14ac:dyDescent="0.25">
      <c r="C7830" s="6"/>
      <c r="G7830" s="6"/>
      <c r="K7830" s="6"/>
    </row>
    <row r="7831" spans="3:11" x14ac:dyDescent="0.25">
      <c r="C7831" s="6"/>
      <c r="G7831" s="6"/>
      <c r="K7831" s="6"/>
    </row>
    <row r="7832" spans="3:11" x14ac:dyDescent="0.25">
      <c r="C7832" s="6"/>
      <c r="G7832" s="6"/>
      <c r="K7832" s="6"/>
    </row>
    <row r="7833" spans="3:11" x14ac:dyDescent="0.25">
      <c r="C7833" s="6"/>
      <c r="G7833" s="6"/>
      <c r="K7833" s="6"/>
    </row>
    <row r="7834" spans="3:11" x14ac:dyDescent="0.25">
      <c r="C7834" s="6"/>
      <c r="G7834" s="6"/>
      <c r="K7834" s="6"/>
    </row>
    <row r="7835" spans="3:11" x14ac:dyDescent="0.25">
      <c r="C7835" s="6"/>
      <c r="G7835" s="6"/>
      <c r="K7835" s="6"/>
    </row>
    <row r="7836" spans="3:11" x14ac:dyDescent="0.25">
      <c r="C7836" s="6"/>
      <c r="G7836" s="6"/>
      <c r="K7836" s="6"/>
    </row>
    <row r="7837" spans="3:11" x14ac:dyDescent="0.25">
      <c r="C7837" s="6"/>
      <c r="G7837" s="6"/>
      <c r="K7837" s="6"/>
    </row>
    <row r="7838" spans="3:11" x14ac:dyDescent="0.25">
      <c r="C7838" s="6"/>
      <c r="G7838" s="6"/>
      <c r="K7838" s="6"/>
    </row>
    <row r="7839" spans="3:11" x14ac:dyDescent="0.25">
      <c r="C7839" s="6"/>
      <c r="G7839" s="6"/>
      <c r="K7839" s="6"/>
    </row>
    <row r="7840" spans="3:11" x14ac:dyDescent="0.25">
      <c r="C7840" s="6"/>
      <c r="G7840" s="6"/>
      <c r="K7840" s="6"/>
    </row>
    <row r="7841" spans="3:11" x14ac:dyDescent="0.25">
      <c r="C7841" s="6"/>
      <c r="G7841" s="6"/>
      <c r="K7841" s="6"/>
    </row>
    <row r="7842" spans="3:11" x14ac:dyDescent="0.25">
      <c r="C7842" s="6"/>
      <c r="G7842" s="6"/>
      <c r="K7842" s="6"/>
    </row>
    <row r="7843" spans="3:11" x14ac:dyDescent="0.25">
      <c r="C7843" s="6"/>
      <c r="G7843" s="6"/>
      <c r="K7843" s="6"/>
    </row>
    <row r="7844" spans="3:11" x14ac:dyDescent="0.25">
      <c r="C7844" s="6"/>
      <c r="G7844" s="6"/>
      <c r="K7844" s="6"/>
    </row>
    <row r="7845" spans="3:11" x14ac:dyDescent="0.25">
      <c r="C7845" s="6"/>
      <c r="G7845" s="6"/>
      <c r="K7845" s="6"/>
    </row>
    <row r="7846" spans="3:11" x14ac:dyDescent="0.25">
      <c r="C7846" s="6"/>
      <c r="G7846" s="6"/>
      <c r="K7846" s="6"/>
    </row>
    <row r="7847" spans="3:11" x14ac:dyDescent="0.25">
      <c r="C7847" s="6"/>
      <c r="G7847" s="6"/>
      <c r="K7847" s="6"/>
    </row>
    <row r="7848" spans="3:11" x14ac:dyDescent="0.25">
      <c r="C7848" s="6"/>
      <c r="G7848" s="6"/>
      <c r="K7848" s="6"/>
    </row>
    <row r="7849" spans="3:11" x14ac:dyDescent="0.25">
      <c r="C7849" s="6"/>
      <c r="G7849" s="6"/>
      <c r="K7849" s="6"/>
    </row>
    <row r="7850" spans="3:11" x14ac:dyDescent="0.25">
      <c r="C7850" s="6"/>
      <c r="G7850" s="6"/>
      <c r="K7850" s="6"/>
    </row>
    <row r="7851" spans="3:11" x14ac:dyDescent="0.25">
      <c r="C7851" s="6"/>
      <c r="G7851" s="6"/>
      <c r="K7851" s="6"/>
    </row>
    <row r="7852" spans="3:11" x14ac:dyDescent="0.25">
      <c r="C7852" s="6"/>
      <c r="G7852" s="6"/>
      <c r="K7852" s="6"/>
    </row>
    <row r="7853" spans="3:11" x14ac:dyDescent="0.25">
      <c r="C7853" s="6"/>
      <c r="G7853" s="6"/>
      <c r="K7853" s="6"/>
    </row>
    <row r="7854" spans="3:11" x14ac:dyDescent="0.25">
      <c r="C7854" s="6"/>
      <c r="G7854" s="6"/>
      <c r="K7854" s="6"/>
    </row>
    <row r="7855" spans="3:11" x14ac:dyDescent="0.25">
      <c r="C7855" s="6"/>
      <c r="G7855" s="6"/>
      <c r="K7855" s="6"/>
    </row>
    <row r="7856" spans="3:11" x14ac:dyDescent="0.25">
      <c r="C7856" s="6"/>
      <c r="G7856" s="6"/>
      <c r="K7856" s="6"/>
    </row>
    <row r="7857" spans="3:11" x14ac:dyDescent="0.25">
      <c r="C7857" s="6"/>
      <c r="G7857" s="6"/>
      <c r="K7857" s="6"/>
    </row>
    <row r="7858" spans="3:11" x14ac:dyDescent="0.25">
      <c r="C7858" s="6"/>
      <c r="G7858" s="6"/>
      <c r="K7858" s="6"/>
    </row>
    <row r="7859" spans="3:11" x14ac:dyDescent="0.25">
      <c r="C7859" s="6"/>
      <c r="G7859" s="6"/>
      <c r="K7859" s="6"/>
    </row>
    <row r="7860" spans="3:11" x14ac:dyDescent="0.25">
      <c r="C7860" s="6"/>
      <c r="G7860" s="6"/>
      <c r="K7860" s="6"/>
    </row>
    <row r="7861" spans="3:11" x14ac:dyDescent="0.25">
      <c r="C7861" s="6"/>
      <c r="G7861" s="6"/>
      <c r="K7861" s="6"/>
    </row>
    <row r="7862" spans="3:11" x14ac:dyDescent="0.25">
      <c r="C7862" s="6"/>
      <c r="G7862" s="6"/>
      <c r="K7862" s="6"/>
    </row>
    <row r="7863" spans="3:11" x14ac:dyDescent="0.25">
      <c r="C7863" s="6"/>
      <c r="G7863" s="6"/>
      <c r="K7863" s="6"/>
    </row>
    <row r="7864" spans="3:11" x14ac:dyDescent="0.25">
      <c r="C7864" s="6"/>
      <c r="G7864" s="6"/>
      <c r="K7864" s="6"/>
    </row>
    <row r="7865" spans="3:11" x14ac:dyDescent="0.25">
      <c r="C7865" s="6"/>
      <c r="G7865" s="6"/>
      <c r="K7865" s="6"/>
    </row>
    <row r="7866" spans="3:11" x14ac:dyDescent="0.25">
      <c r="C7866" s="6"/>
      <c r="G7866" s="6"/>
      <c r="K7866" s="6"/>
    </row>
    <row r="7867" spans="3:11" x14ac:dyDescent="0.25">
      <c r="C7867" s="6"/>
      <c r="G7867" s="6"/>
      <c r="K7867" s="6"/>
    </row>
    <row r="7868" spans="3:11" x14ac:dyDescent="0.25">
      <c r="C7868" s="6"/>
      <c r="G7868" s="6"/>
      <c r="K7868" s="6"/>
    </row>
    <row r="7869" spans="3:11" x14ac:dyDescent="0.25">
      <c r="C7869" s="6"/>
      <c r="G7869" s="6"/>
      <c r="K7869" s="6"/>
    </row>
    <row r="7870" spans="3:11" x14ac:dyDescent="0.25">
      <c r="C7870" s="6"/>
      <c r="G7870" s="6"/>
      <c r="K7870" s="6"/>
    </row>
    <row r="7871" spans="3:11" x14ac:dyDescent="0.25">
      <c r="C7871" s="6"/>
      <c r="G7871" s="6"/>
      <c r="K7871" s="6"/>
    </row>
    <row r="7872" spans="3:11" x14ac:dyDescent="0.25">
      <c r="C7872" s="6"/>
      <c r="G7872" s="6"/>
      <c r="K7872" s="6"/>
    </row>
    <row r="7873" spans="3:11" x14ac:dyDescent="0.25">
      <c r="C7873" s="6"/>
      <c r="G7873" s="6"/>
      <c r="K7873" s="6"/>
    </row>
    <row r="7874" spans="3:11" x14ac:dyDescent="0.25">
      <c r="C7874" s="6"/>
      <c r="G7874" s="6"/>
      <c r="K7874" s="6"/>
    </row>
    <row r="7875" spans="3:11" x14ac:dyDescent="0.25">
      <c r="C7875" s="6"/>
      <c r="G7875" s="6"/>
      <c r="K7875" s="6"/>
    </row>
    <row r="7876" spans="3:11" x14ac:dyDescent="0.25">
      <c r="C7876" s="6"/>
      <c r="G7876" s="6"/>
      <c r="K7876" s="6"/>
    </row>
    <row r="7877" spans="3:11" x14ac:dyDescent="0.25">
      <c r="C7877" s="6"/>
      <c r="G7877" s="6"/>
      <c r="K7877" s="6"/>
    </row>
    <row r="7878" spans="3:11" x14ac:dyDescent="0.25">
      <c r="C7878" s="6"/>
      <c r="G7878" s="6"/>
      <c r="K7878" s="6"/>
    </row>
    <row r="7879" spans="3:11" x14ac:dyDescent="0.25">
      <c r="C7879" s="6"/>
      <c r="G7879" s="6"/>
      <c r="K7879" s="6"/>
    </row>
    <row r="7880" spans="3:11" x14ac:dyDescent="0.25">
      <c r="C7880" s="6"/>
      <c r="G7880" s="6"/>
      <c r="K7880" s="6"/>
    </row>
    <row r="7881" spans="3:11" x14ac:dyDescent="0.25">
      <c r="C7881" s="6"/>
      <c r="G7881" s="6"/>
      <c r="K7881" s="6"/>
    </row>
    <row r="7882" spans="3:11" x14ac:dyDescent="0.25">
      <c r="C7882" s="6"/>
      <c r="G7882" s="6"/>
      <c r="K7882" s="6"/>
    </row>
    <row r="7883" spans="3:11" x14ac:dyDescent="0.25">
      <c r="C7883" s="6"/>
      <c r="G7883" s="6"/>
      <c r="K7883" s="6"/>
    </row>
    <row r="7884" spans="3:11" x14ac:dyDescent="0.25">
      <c r="C7884" s="6"/>
      <c r="G7884" s="6"/>
      <c r="K7884" s="6"/>
    </row>
    <row r="7885" spans="3:11" x14ac:dyDescent="0.25">
      <c r="C7885" s="6"/>
      <c r="G7885" s="6"/>
      <c r="K7885" s="6"/>
    </row>
    <row r="7886" spans="3:11" x14ac:dyDescent="0.25">
      <c r="C7886" s="6"/>
      <c r="G7886" s="6"/>
      <c r="K7886" s="6"/>
    </row>
    <row r="7887" spans="3:11" x14ac:dyDescent="0.25">
      <c r="C7887" s="6"/>
      <c r="G7887" s="6"/>
      <c r="K7887" s="6"/>
    </row>
    <row r="7888" spans="3:11" x14ac:dyDescent="0.25">
      <c r="C7888" s="6"/>
      <c r="G7888" s="6"/>
      <c r="K7888" s="6"/>
    </row>
    <row r="7889" spans="3:11" x14ac:dyDescent="0.25">
      <c r="C7889" s="6"/>
      <c r="G7889" s="6"/>
      <c r="K7889" s="6"/>
    </row>
    <row r="7890" spans="3:11" x14ac:dyDescent="0.25">
      <c r="C7890" s="6"/>
      <c r="G7890" s="6"/>
      <c r="K7890" s="6"/>
    </row>
    <row r="7891" spans="3:11" x14ac:dyDescent="0.25">
      <c r="C7891" s="6"/>
      <c r="G7891" s="6"/>
      <c r="K7891" s="6"/>
    </row>
    <row r="7892" spans="3:11" x14ac:dyDescent="0.25">
      <c r="C7892" s="6"/>
      <c r="G7892" s="6"/>
      <c r="K7892" s="6"/>
    </row>
    <row r="7893" spans="3:11" x14ac:dyDescent="0.25">
      <c r="C7893" s="6"/>
      <c r="G7893" s="6"/>
      <c r="K7893" s="6"/>
    </row>
    <row r="7894" spans="3:11" x14ac:dyDescent="0.25">
      <c r="C7894" s="6"/>
      <c r="G7894" s="6"/>
      <c r="K7894" s="6"/>
    </row>
    <row r="7895" spans="3:11" x14ac:dyDescent="0.25">
      <c r="C7895" s="6"/>
      <c r="G7895" s="6"/>
      <c r="K7895" s="6"/>
    </row>
    <row r="7896" spans="3:11" x14ac:dyDescent="0.25">
      <c r="C7896" s="6"/>
      <c r="G7896" s="6"/>
      <c r="K7896" s="6"/>
    </row>
    <row r="7897" spans="3:11" x14ac:dyDescent="0.25">
      <c r="C7897" s="6"/>
      <c r="G7897" s="6"/>
      <c r="K7897" s="6"/>
    </row>
    <row r="7898" spans="3:11" x14ac:dyDescent="0.25">
      <c r="C7898" s="6"/>
      <c r="G7898" s="6"/>
      <c r="K7898" s="6"/>
    </row>
    <row r="7899" spans="3:11" x14ac:dyDescent="0.25">
      <c r="C7899" s="6"/>
      <c r="G7899" s="6"/>
      <c r="K7899" s="6"/>
    </row>
    <row r="7900" spans="3:11" x14ac:dyDescent="0.25">
      <c r="C7900" s="6"/>
      <c r="G7900" s="6"/>
      <c r="K7900" s="6"/>
    </row>
    <row r="7901" spans="3:11" x14ac:dyDescent="0.25">
      <c r="C7901" s="6"/>
      <c r="G7901" s="6"/>
      <c r="K7901" s="6"/>
    </row>
    <row r="7902" spans="3:11" x14ac:dyDescent="0.25">
      <c r="C7902" s="6"/>
      <c r="G7902" s="6"/>
      <c r="K7902" s="6"/>
    </row>
    <row r="7903" spans="3:11" x14ac:dyDescent="0.25">
      <c r="C7903" s="6"/>
      <c r="G7903" s="6"/>
      <c r="K7903" s="6"/>
    </row>
    <row r="7904" spans="3:11" x14ac:dyDescent="0.25">
      <c r="C7904" s="6"/>
      <c r="G7904" s="6"/>
      <c r="K7904" s="6"/>
    </row>
    <row r="7905" spans="3:11" x14ac:dyDescent="0.25">
      <c r="C7905" s="6"/>
      <c r="G7905" s="6"/>
      <c r="K7905" s="6"/>
    </row>
    <row r="7906" spans="3:11" x14ac:dyDescent="0.25">
      <c r="C7906" s="6"/>
      <c r="G7906" s="6"/>
      <c r="K7906" s="6"/>
    </row>
    <row r="7907" spans="3:11" x14ac:dyDescent="0.25">
      <c r="C7907" s="6"/>
      <c r="G7907" s="6"/>
      <c r="K7907" s="6"/>
    </row>
    <row r="7908" spans="3:11" x14ac:dyDescent="0.25">
      <c r="C7908" s="6"/>
      <c r="G7908" s="6"/>
      <c r="K7908" s="6"/>
    </row>
    <row r="7909" spans="3:11" x14ac:dyDescent="0.25">
      <c r="C7909" s="6"/>
      <c r="G7909" s="6"/>
      <c r="K7909" s="6"/>
    </row>
    <row r="7910" spans="3:11" x14ac:dyDescent="0.25">
      <c r="C7910" s="6"/>
      <c r="G7910" s="6"/>
      <c r="K7910" s="6"/>
    </row>
    <row r="7911" spans="3:11" x14ac:dyDescent="0.25">
      <c r="C7911" s="6"/>
      <c r="G7911" s="6"/>
      <c r="K7911" s="6"/>
    </row>
    <row r="7912" spans="3:11" x14ac:dyDescent="0.25">
      <c r="C7912" s="6"/>
      <c r="G7912" s="6"/>
      <c r="K7912" s="6"/>
    </row>
    <row r="7913" spans="3:11" x14ac:dyDescent="0.25">
      <c r="C7913" s="6"/>
      <c r="G7913" s="6"/>
      <c r="K7913" s="6"/>
    </row>
    <row r="7914" spans="3:11" x14ac:dyDescent="0.25">
      <c r="C7914" s="6"/>
      <c r="G7914" s="6"/>
      <c r="K7914" s="6"/>
    </row>
    <row r="7915" spans="3:11" x14ac:dyDescent="0.25">
      <c r="C7915" s="6"/>
      <c r="G7915" s="6"/>
      <c r="K7915" s="6"/>
    </row>
    <row r="7916" spans="3:11" x14ac:dyDescent="0.25">
      <c r="C7916" s="6"/>
      <c r="G7916" s="6"/>
      <c r="K7916" s="6"/>
    </row>
    <row r="7917" spans="3:11" x14ac:dyDescent="0.25">
      <c r="C7917" s="6"/>
      <c r="G7917" s="6"/>
      <c r="K7917" s="6"/>
    </row>
    <row r="7918" spans="3:11" x14ac:dyDescent="0.25">
      <c r="C7918" s="6"/>
      <c r="G7918" s="6"/>
      <c r="K7918" s="6"/>
    </row>
    <row r="7919" spans="3:11" x14ac:dyDescent="0.25">
      <c r="C7919" s="6"/>
      <c r="G7919" s="6"/>
      <c r="K7919" s="6"/>
    </row>
    <row r="7920" spans="3:11" x14ac:dyDescent="0.25">
      <c r="C7920" s="6"/>
      <c r="G7920" s="6"/>
      <c r="K7920" s="6"/>
    </row>
    <row r="7921" spans="3:11" x14ac:dyDescent="0.25">
      <c r="C7921" s="6"/>
      <c r="G7921" s="6"/>
      <c r="K7921" s="6"/>
    </row>
    <row r="7922" spans="3:11" x14ac:dyDescent="0.25">
      <c r="C7922" s="6"/>
      <c r="G7922" s="6"/>
      <c r="K7922" s="6"/>
    </row>
    <row r="7923" spans="3:11" x14ac:dyDescent="0.25">
      <c r="C7923" s="6"/>
      <c r="G7923" s="6"/>
      <c r="K7923" s="6"/>
    </row>
    <row r="7924" spans="3:11" x14ac:dyDescent="0.25">
      <c r="C7924" s="6"/>
      <c r="G7924" s="6"/>
      <c r="K7924" s="6"/>
    </row>
    <row r="7925" spans="3:11" x14ac:dyDescent="0.25">
      <c r="C7925" s="6"/>
      <c r="G7925" s="6"/>
      <c r="K7925" s="6"/>
    </row>
    <row r="7926" spans="3:11" x14ac:dyDescent="0.25">
      <c r="C7926" s="6"/>
      <c r="G7926" s="6"/>
      <c r="K7926" s="6"/>
    </row>
    <row r="7927" spans="3:11" x14ac:dyDescent="0.25">
      <c r="C7927" s="6"/>
      <c r="G7927" s="6"/>
      <c r="K7927" s="6"/>
    </row>
    <row r="7928" spans="3:11" x14ac:dyDescent="0.25">
      <c r="C7928" s="6"/>
      <c r="G7928" s="6"/>
      <c r="K7928" s="6"/>
    </row>
    <row r="7929" spans="3:11" x14ac:dyDescent="0.25">
      <c r="C7929" s="6"/>
      <c r="G7929" s="6"/>
      <c r="K7929" s="6"/>
    </row>
    <row r="7930" spans="3:11" x14ac:dyDescent="0.25">
      <c r="C7930" s="6"/>
      <c r="G7930" s="6"/>
      <c r="K7930" s="6"/>
    </row>
    <row r="7931" spans="3:11" x14ac:dyDescent="0.25">
      <c r="C7931" s="6"/>
      <c r="G7931" s="6"/>
      <c r="K7931" s="6"/>
    </row>
    <row r="7932" spans="3:11" x14ac:dyDescent="0.25">
      <c r="C7932" s="6"/>
      <c r="G7932" s="6"/>
      <c r="K7932" s="6"/>
    </row>
    <row r="7933" spans="3:11" x14ac:dyDescent="0.25">
      <c r="C7933" s="6"/>
      <c r="G7933" s="6"/>
      <c r="K7933" s="6"/>
    </row>
    <row r="7934" spans="3:11" x14ac:dyDescent="0.25">
      <c r="C7934" s="6"/>
      <c r="G7934" s="6"/>
      <c r="K7934" s="6"/>
    </row>
    <row r="7935" spans="3:11" x14ac:dyDescent="0.25">
      <c r="C7935" s="6"/>
      <c r="G7935" s="6"/>
      <c r="K7935" s="6"/>
    </row>
    <row r="7936" spans="3:11" x14ac:dyDescent="0.25">
      <c r="C7936" s="6"/>
      <c r="G7936" s="6"/>
      <c r="K7936" s="6"/>
    </row>
    <row r="7937" spans="3:11" x14ac:dyDescent="0.25">
      <c r="C7937" s="6"/>
      <c r="G7937" s="6"/>
      <c r="K7937" s="6"/>
    </row>
    <row r="7938" spans="3:11" x14ac:dyDescent="0.25">
      <c r="C7938" s="6"/>
      <c r="G7938" s="6"/>
      <c r="K7938" s="6"/>
    </row>
    <row r="7939" spans="3:11" x14ac:dyDescent="0.25">
      <c r="C7939" s="6"/>
      <c r="G7939" s="6"/>
      <c r="K7939" s="6"/>
    </row>
    <row r="7940" spans="3:11" x14ac:dyDescent="0.25">
      <c r="C7940" s="6"/>
      <c r="G7940" s="6"/>
      <c r="K7940" s="6"/>
    </row>
    <row r="7941" spans="3:11" x14ac:dyDescent="0.25">
      <c r="C7941" s="6"/>
      <c r="G7941" s="6"/>
      <c r="K7941" s="6"/>
    </row>
    <row r="7942" spans="3:11" x14ac:dyDescent="0.25">
      <c r="C7942" s="6"/>
      <c r="G7942" s="6"/>
      <c r="K7942" s="6"/>
    </row>
    <row r="7943" spans="3:11" x14ac:dyDescent="0.25">
      <c r="C7943" s="6"/>
      <c r="G7943" s="6"/>
      <c r="K7943" s="6"/>
    </row>
    <row r="7944" spans="3:11" x14ac:dyDescent="0.25">
      <c r="C7944" s="6"/>
      <c r="G7944" s="6"/>
      <c r="K7944" s="6"/>
    </row>
    <row r="7945" spans="3:11" x14ac:dyDescent="0.25">
      <c r="C7945" s="6"/>
      <c r="G7945" s="6"/>
      <c r="K7945" s="6"/>
    </row>
    <row r="7946" spans="3:11" x14ac:dyDescent="0.25">
      <c r="C7946" s="6"/>
      <c r="G7946" s="6"/>
      <c r="K7946" s="6"/>
    </row>
    <row r="7947" spans="3:11" x14ac:dyDescent="0.25">
      <c r="C7947" s="6"/>
      <c r="G7947" s="6"/>
      <c r="K7947" s="6"/>
    </row>
    <row r="7948" spans="3:11" x14ac:dyDescent="0.25">
      <c r="C7948" s="6"/>
      <c r="G7948" s="6"/>
      <c r="K7948" s="6"/>
    </row>
    <row r="7949" spans="3:11" x14ac:dyDescent="0.25">
      <c r="C7949" s="6"/>
      <c r="G7949" s="6"/>
      <c r="K7949" s="6"/>
    </row>
    <row r="7950" spans="3:11" x14ac:dyDescent="0.25">
      <c r="C7950" s="6"/>
      <c r="G7950" s="6"/>
      <c r="K7950" s="6"/>
    </row>
    <row r="7951" spans="3:11" x14ac:dyDescent="0.25">
      <c r="C7951" s="6"/>
      <c r="G7951" s="6"/>
      <c r="K7951" s="6"/>
    </row>
    <row r="7952" spans="3:11" x14ac:dyDescent="0.25">
      <c r="C7952" s="6"/>
      <c r="G7952" s="6"/>
      <c r="K7952" s="6"/>
    </row>
    <row r="7953" spans="3:11" x14ac:dyDescent="0.25">
      <c r="C7953" s="6"/>
      <c r="G7953" s="6"/>
      <c r="K7953" s="6"/>
    </row>
    <row r="7954" spans="3:11" x14ac:dyDescent="0.25">
      <c r="C7954" s="6"/>
      <c r="G7954" s="6"/>
      <c r="K7954" s="6"/>
    </row>
    <row r="7955" spans="3:11" x14ac:dyDescent="0.25">
      <c r="C7955" s="6"/>
      <c r="G7955" s="6"/>
      <c r="K7955" s="6"/>
    </row>
    <row r="7956" spans="3:11" x14ac:dyDescent="0.25">
      <c r="C7956" s="6"/>
      <c r="G7956" s="6"/>
      <c r="K7956" s="6"/>
    </row>
    <row r="7957" spans="3:11" x14ac:dyDescent="0.25">
      <c r="C7957" s="6"/>
      <c r="G7957" s="6"/>
      <c r="K7957" s="6"/>
    </row>
    <row r="7958" spans="3:11" x14ac:dyDescent="0.25">
      <c r="C7958" s="6"/>
      <c r="G7958" s="6"/>
      <c r="K7958" s="6"/>
    </row>
    <row r="7959" spans="3:11" x14ac:dyDescent="0.25">
      <c r="C7959" s="6"/>
      <c r="G7959" s="6"/>
      <c r="K7959" s="6"/>
    </row>
    <row r="7960" spans="3:11" x14ac:dyDescent="0.25">
      <c r="C7960" s="6"/>
      <c r="G7960" s="6"/>
      <c r="K7960" s="6"/>
    </row>
    <row r="7961" spans="3:11" x14ac:dyDescent="0.25">
      <c r="C7961" s="6"/>
      <c r="G7961" s="6"/>
      <c r="K7961" s="6"/>
    </row>
    <row r="7962" spans="3:11" x14ac:dyDescent="0.25">
      <c r="C7962" s="6"/>
      <c r="G7962" s="6"/>
      <c r="K7962" s="6"/>
    </row>
    <row r="7963" spans="3:11" x14ac:dyDescent="0.25">
      <c r="C7963" s="6"/>
      <c r="G7963" s="6"/>
      <c r="K7963" s="6"/>
    </row>
    <row r="7964" spans="3:11" x14ac:dyDescent="0.25">
      <c r="C7964" s="6"/>
      <c r="G7964" s="6"/>
      <c r="K7964" s="6"/>
    </row>
    <row r="7965" spans="3:11" x14ac:dyDescent="0.25">
      <c r="C7965" s="6"/>
      <c r="G7965" s="6"/>
      <c r="K7965" s="6"/>
    </row>
    <row r="7966" spans="3:11" x14ac:dyDescent="0.25">
      <c r="C7966" s="6"/>
      <c r="G7966" s="6"/>
      <c r="K7966" s="6"/>
    </row>
    <row r="7967" spans="3:11" x14ac:dyDescent="0.25">
      <c r="C7967" s="6"/>
      <c r="G7967" s="6"/>
      <c r="K7967" s="6"/>
    </row>
    <row r="7968" spans="3:11" x14ac:dyDescent="0.25">
      <c r="C7968" s="6"/>
      <c r="G7968" s="6"/>
      <c r="K7968" s="6"/>
    </row>
    <row r="7969" spans="3:11" x14ac:dyDescent="0.25">
      <c r="C7969" s="6"/>
      <c r="G7969" s="6"/>
      <c r="K7969" s="6"/>
    </row>
    <row r="7970" spans="3:11" x14ac:dyDescent="0.25">
      <c r="C7970" s="6"/>
      <c r="G7970" s="6"/>
      <c r="K7970" s="6"/>
    </row>
    <row r="7971" spans="3:11" x14ac:dyDescent="0.25">
      <c r="C7971" s="6"/>
      <c r="G7971" s="6"/>
      <c r="K7971" s="6"/>
    </row>
    <row r="7972" spans="3:11" x14ac:dyDescent="0.25">
      <c r="C7972" s="6"/>
      <c r="G7972" s="6"/>
      <c r="K7972" s="6"/>
    </row>
    <row r="7973" spans="3:11" x14ac:dyDescent="0.25">
      <c r="C7973" s="6"/>
      <c r="G7973" s="6"/>
      <c r="K7973" s="6"/>
    </row>
    <row r="7974" spans="3:11" x14ac:dyDescent="0.25">
      <c r="C7974" s="6"/>
      <c r="G7974" s="6"/>
      <c r="K7974" s="6"/>
    </row>
    <row r="7975" spans="3:11" x14ac:dyDescent="0.25">
      <c r="C7975" s="6"/>
      <c r="G7975" s="6"/>
      <c r="K7975" s="6"/>
    </row>
    <row r="7976" spans="3:11" x14ac:dyDescent="0.25">
      <c r="C7976" s="6"/>
      <c r="G7976" s="6"/>
      <c r="K7976" s="6"/>
    </row>
    <row r="7977" spans="3:11" x14ac:dyDescent="0.25">
      <c r="C7977" s="6"/>
      <c r="G7977" s="6"/>
      <c r="K7977" s="6"/>
    </row>
    <row r="7978" spans="3:11" x14ac:dyDescent="0.25">
      <c r="C7978" s="6"/>
      <c r="G7978" s="6"/>
      <c r="K7978" s="6"/>
    </row>
    <row r="7979" spans="3:11" x14ac:dyDescent="0.25">
      <c r="C7979" s="6"/>
      <c r="G7979" s="6"/>
      <c r="K7979" s="6"/>
    </row>
    <row r="7980" spans="3:11" x14ac:dyDescent="0.25">
      <c r="C7980" s="6"/>
      <c r="G7980" s="6"/>
      <c r="K7980" s="6"/>
    </row>
    <row r="7981" spans="3:11" x14ac:dyDescent="0.25">
      <c r="C7981" s="6"/>
      <c r="G7981" s="6"/>
      <c r="K7981" s="6"/>
    </row>
    <row r="7982" spans="3:11" x14ac:dyDescent="0.25">
      <c r="C7982" s="6"/>
      <c r="G7982" s="6"/>
      <c r="K7982" s="6"/>
    </row>
    <row r="7983" spans="3:11" x14ac:dyDescent="0.25">
      <c r="C7983" s="6"/>
      <c r="G7983" s="6"/>
      <c r="K7983" s="6"/>
    </row>
    <row r="7984" spans="3:11" x14ac:dyDescent="0.25">
      <c r="C7984" s="6"/>
      <c r="G7984" s="6"/>
      <c r="K7984" s="6"/>
    </row>
    <row r="7985" spans="3:11" x14ac:dyDescent="0.25">
      <c r="C7985" s="6"/>
      <c r="G7985" s="6"/>
      <c r="K7985" s="6"/>
    </row>
    <row r="7986" spans="3:11" x14ac:dyDescent="0.25">
      <c r="C7986" s="6"/>
      <c r="G7986" s="6"/>
      <c r="K7986" s="6"/>
    </row>
    <row r="7987" spans="3:11" x14ac:dyDescent="0.25">
      <c r="C7987" s="6"/>
      <c r="G7987" s="6"/>
      <c r="K7987" s="6"/>
    </row>
    <row r="7988" spans="3:11" x14ac:dyDescent="0.25">
      <c r="C7988" s="6"/>
      <c r="G7988" s="6"/>
      <c r="K7988" s="6"/>
    </row>
    <row r="7989" spans="3:11" x14ac:dyDescent="0.25">
      <c r="C7989" s="6"/>
      <c r="G7989" s="6"/>
      <c r="K7989" s="6"/>
    </row>
    <row r="7990" spans="3:11" x14ac:dyDescent="0.25">
      <c r="C7990" s="6"/>
      <c r="G7990" s="6"/>
      <c r="K7990" s="6"/>
    </row>
    <row r="7991" spans="3:11" x14ac:dyDescent="0.25">
      <c r="C7991" s="6"/>
      <c r="G7991" s="6"/>
      <c r="K7991" s="6"/>
    </row>
    <row r="7992" spans="3:11" x14ac:dyDescent="0.25">
      <c r="C7992" s="6"/>
      <c r="G7992" s="6"/>
      <c r="K7992" s="6"/>
    </row>
    <row r="7993" spans="3:11" x14ac:dyDescent="0.25">
      <c r="C7993" s="6"/>
      <c r="G7993" s="6"/>
      <c r="K7993" s="6"/>
    </row>
    <row r="7994" spans="3:11" x14ac:dyDescent="0.25">
      <c r="C7994" s="6"/>
      <c r="G7994" s="6"/>
      <c r="K7994" s="6"/>
    </row>
    <row r="7995" spans="3:11" x14ac:dyDescent="0.25">
      <c r="C7995" s="6"/>
      <c r="G7995" s="6"/>
      <c r="K7995" s="6"/>
    </row>
    <row r="7996" spans="3:11" x14ac:dyDescent="0.25">
      <c r="C7996" s="6"/>
      <c r="G7996" s="6"/>
      <c r="K7996" s="6"/>
    </row>
    <row r="7997" spans="3:11" x14ac:dyDescent="0.25">
      <c r="C7997" s="6"/>
      <c r="G7997" s="6"/>
      <c r="K7997" s="6"/>
    </row>
    <row r="7998" spans="3:11" x14ac:dyDescent="0.25">
      <c r="C7998" s="6"/>
      <c r="G7998" s="6"/>
      <c r="K7998" s="6"/>
    </row>
    <row r="7999" spans="3:11" x14ac:dyDescent="0.25">
      <c r="C7999" s="6"/>
      <c r="G7999" s="6"/>
      <c r="K7999" s="6"/>
    </row>
    <row r="8000" spans="3:11" x14ac:dyDescent="0.25">
      <c r="C8000" s="6"/>
      <c r="G8000" s="6"/>
      <c r="K8000" s="6"/>
    </row>
    <row r="8001" spans="3:11" x14ac:dyDescent="0.25">
      <c r="C8001" s="6"/>
      <c r="G8001" s="6"/>
      <c r="K8001" s="6"/>
    </row>
    <row r="8002" spans="3:11" x14ac:dyDescent="0.25">
      <c r="C8002" s="6"/>
      <c r="G8002" s="6"/>
      <c r="K8002" s="6"/>
    </row>
    <row r="8003" spans="3:11" x14ac:dyDescent="0.25">
      <c r="C8003" s="6"/>
      <c r="G8003" s="6"/>
      <c r="K8003" s="6"/>
    </row>
    <row r="8004" spans="3:11" x14ac:dyDescent="0.25">
      <c r="C8004" s="6"/>
      <c r="G8004" s="6"/>
      <c r="K8004" s="6"/>
    </row>
    <row r="8005" spans="3:11" x14ac:dyDescent="0.25">
      <c r="C8005" s="6"/>
      <c r="G8005" s="6"/>
      <c r="K8005" s="6"/>
    </row>
    <row r="8006" spans="3:11" x14ac:dyDescent="0.25">
      <c r="C8006" s="6"/>
      <c r="G8006" s="6"/>
      <c r="K8006" s="6"/>
    </row>
    <row r="8007" spans="3:11" x14ac:dyDescent="0.25">
      <c r="C8007" s="6"/>
      <c r="G8007" s="6"/>
      <c r="K8007" s="6"/>
    </row>
    <row r="8008" spans="3:11" x14ac:dyDescent="0.25">
      <c r="C8008" s="6"/>
      <c r="G8008" s="6"/>
      <c r="K8008" s="6"/>
    </row>
    <row r="8009" spans="3:11" x14ac:dyDescent="0.25">
      <c r="C8009" s="6"/>
      <c r="G8009" s="6"/>
      <c r="K8009" s="6"/>
    </row>
    <row r="8010" spans="3:11" x14ac:dyDescent="0.25">
      <c r="C8010" s="6"/>
      <c r="G8010" s="6"/>
      <c r="K8010" s="6"/>
    </row>
    <row r="8011" spans="3:11" x14ac:dyDescent="0.25">
      <c r="C8011" s="6"/>
      <c r="G8011" s="6"/>
      <c r="K8011" s="6"/>
    </row>
    <row r="8012" spans="3:11" x14ac:dyDescent="0.25">
      <c r="C8012" s="6"/>
      <c r="G8012" s="6"/>
      <c r="K8012" s="6"/>
    </row>
    <row r="8013" spans="3:11" x14ac:dyDescent="0.25">
      <c r="C8013" s="6"/>
      <c r="G8013" s="6"/>
      <c r="K8013" s="6"/>
    </row>
    <row r="8014" spans="3:11" x14ac:dyDescent="0.25">
      <c r="C8014" s="6"/>
      <c r="G8014" s="6"/>
      <c r="K8014" s="6"/>
    </row>
    <row r="8015" spans="3:11" x14ac:dyDescent="0.25">
      <c r="C8015" s="6"/>
      <c r="G8015" s="6"/>
      <c r="K8015" s="6"/>
    </row>
    <row r="8016" spans="3:11" x14ac:dyDescent="0.25">
      <c r="C8016" s="6"/>
      <c r="G8016" s="6"/>
      <c r="K8016" s="6"/>
    </row>
    <row r="8017" spans="3:11" x14ac:dyDescent="0.25">
      <c r="C8017" s="6"/>
      <c r="G8017" s="6"/>
      <c r="K8017" s="6"/>
    </row>
    <row r="8018" spans="3:11" x14ac:dyDescent="0.25">
      <c r="C8018" s="6"/>
      <c r="G8018" s="6"/>
      <c r="K8018" s="6"/>
    </row>
    <row r="8019" spans="3:11" x14ac:dyDescent="0.25">
      <c r="C8019" s="6"/>
      <c r="G8019" s="6"/>
      <c r="K8019" s="6"/>
    </row>
    <row r="8020" spans="3:11" x14ac:dyDescent="0.25">
      <c r="C8020" s="6"/>
      <c r="G8020" s="6"/>
      <c r="K8020" s="6"/>
    </row>
    <row r="8021" spans="3:11" x14ac:dyDescent="0.25">
      <c r="C8021" s="6"/>
      <c r="G8021" s="6"/>
      <c r="K8021" s="6"/>
    </row>
    <row r="8022" spans="3:11" x14ac:dyDescent="0.25">
      <c r="C8022" s="6"/>
      <c r="G8022" s="6"/>
      <c r="K8022" s="6"/>
    </row>
    <row r="8023" spans="3:11" x14ac:dyDescent="0.25">
      <c r="C8023" s="6"/>
      <c r="G8023" s="6"/>
      <c r="K8023" s="6"/>
    </row>
    <row r="8024" spans="3:11" x14ac:dyDescent="0.25">
      <c r="C8024" s="6"/>
      <c r="G8024" s="6"/>
      <c r="K8024" s="6"/>
    </row>
    <row r="8025" spans="3:11" x14ac:dyDescent="0.25">
      <c r="C8025" s="6"/>
      <c r="G8025" s="6"/>
      <c r="K8025" s="6"/>
    </row>
    <row r="8026" spans="3:11" x14ac:dyDescent="0.25">
      <c r="C8026" s="6"/>
      <c r="G8026" s="6"/>
      <c r="K8026" s="6"/>
    </row>
    <row r="8027" spans="3:11" x14ac:dyDescent="0.25">
      <c r="C8027" s="6"/>
      <c r="G8027" s="6"/>
      <c r="K8027" s="6"/>
    </row>
    <row r="8028" spans="3:11" x14ac:dyDescent="0.25">
      <c r="C8028" s="6"/>
      <c r="G8028" s="6"/>
      <c r="K8028" s="6"/>
    </row>
    <row r="8029" spans="3:11" x14ac:dyDescent="0.25">
      <c r="C8029" s="6"/>
      <c r="G8029" s="6"/>
      <c r="K8029" s="6"/>
    </row>
    <row r="8030" spans="3:11" x14ac:dyDescent="0.25">
      <c r="C8030" s="6"/>
      <c r="G8030" s="6"/>
      <c r="K8030" s="6"/>
    </row>
    <row r="8031" spans="3:11" x14ac:dyDescent="0.25">
      <c r="C8031" s="6"/>
      <c r="G8031" s="6"/>
      <c r="K8031" s="6"/>
    </row>
    <row r="8032" spans="3:11" x14ac:dyDescent="0.25">
      <c r="C8032" s="6"/>
      <c r="G8032" s="6"/>
      <c r="K8032" s="6"/>
    </row>
    <row r="8033" spans="3:11" x14ac:dyDescent="0.25">
      <c r="C8033" s="6"/>
      <c r="G8033" s="6"/>
      <c r="K8033" s="6"/>
    </row>
    <row r="8034" spans="3:11" x14ac:dyDescent="0.25">
      <c r="C8034" s="6"/>
      <c r="G8034" s="6"/>
      <c r="K8034" s="6"/>
    </row>
    <row r="8035" spans="3:11" x14ac:dyDescent="0.25">
      <c r="C8035" s="6"/>
      <c r="G8035" s="6"/>
      <c r="K8035" s="6"/>
    </row>
    <row r="8036" spans="3:11" x14ac:dyDescent="0.25">
      <c r="C8036" s="6"/>
      <c r="G8036" s="6"/>
      <c r="K8036" s="6"/>
    </row>
    <row r="8037" spans="3:11" x14ac:dyDescent="0.25">
      <c r="C8037" s="6"/>
      <c r="G8037" s="6"/>
      <c r="K8037" s="6"/>
    </row>
    <row r="8038" spans="3:11" x14ac:dyDescent="0.25">
      <c r="C8038" s="6"/>
      <c r="G8038" s="6"/>
      <c r="K8038" s="6"/>
    </row>
    <row r="8039" spans="3:11" x14ac:dyDescent="0.25">
      <c r="C8039" s="6"/>
      <c r="G8039" s="6"/>
      <c r="K8039" s="6"/>
    </row>
    <row r="8040" spans="3:11" x14ac:dyDescent="0.25">
      <c r="C8040" s="6"/>
      <c r="G8040" s="6"/>
      <c r="K8040" s="6"/>
    </row>
    <row r="8041" spans="3:11" x14ac:dyDescent="0.25">
      <c r="C8041" s="6"/>
      <c r="G8041" s="6"/>
      <c r="K8041" s="6"/>
    </row>
    <row r="8042" spans="3:11" x14ac:dyDescent="0.25">
      <c r="C8042" s="6"/>
      <c r="G8042" s="6"/>
      <c r="K8042" s="6"/>
    </row>
    <row r="8043" spans="3:11" x14ac:dyDescent="0.25">
      <c r="C8043" s="6"/>
      <c r="G8043" s="6"/>
      <c r="K8043" s="6"/>
    </row>
    <row r="8044" spans="3:11" x14ac:dyDescent="0.25">
      <c r="C8044" s="6"/>
      <c r="G8044" s="6"/>
      <c r="K8044" s="6"/>
    </row>
    <row r="8045" spans="3:11" x14ac:dyDescent="0.25">
      <c r="C8045" s="6"/>
      <c r="G8045" s="6"/>
      <c r="K8045" s="6"/>
    </row>
    <row r="8046" spans="3:11" x14ac:dyDescent="0.25">
      <c r="C8046" s="6"/>
      <c r="G8046" s="6"/>
      <c r="K8046" s="6"/>
    </row>
    <row r="8047" spans="3:11" x14ac:dyDescent="0.25">
      <c r="C8047" s="6"/>
      <c r="G8047" s="6"/>
      <c r="K8047" s="6"/>
    </row>
    <row r="8048" spans="3:11" x14ac:dyDescent="0.25">
      <c r="C8048" s="6"/>
      <c r="G8048" s="6"/>
      <c r="K8048" s="6"/>
    </row>
    <row r="8049" spans="3:11" x14ac:dyDescent="0.25">
      <c r="C8049" s="6"/>
      <c r="G8049" s="6"/>
      <c r="K8049" s="6"/>
    </row>
    <row r="8050" spans="3:11" x14ac:dyDescent="0.25">
      <c r="C8050" s="6"/>
      <c r="G8050" s="6"/>
      <c r="K8050" s="6"/>
    </row>
    <row r="8051" spans="3:11" x14ac:dyDescent="0.25">
      <c r="C8051" s="6"/>
      <c r="G8051" s="6"/>
      <c r="K8051" s="6"/>
    </row>
    <row r="8052" spans="3:11" x14ac:dyDescent="0.25">
      <c r="C8052" s="6"/>
      <c r="G8052" s="6"/>
      <c r="K8052" s="6"/>
    </row>
    <row r="8053" spans="3:11" x14ac:dyDescent="0.25">
      <c r="C8053" s="6"/>
      <c r="G8053" s="6"/>
      <c r="K8053" s="6"/>
    </row>
    <row r="8054" spans="3:11" x14ac:dyDescent="0.25">
      <c r="C8054" s="6"/>
      <c r="G8054" s="6"/>
      <c r="K8054" s="6"/>
    </row>
    <row r="8055" spans="3:11" x14ac:dyDescent="0.25">
      <c r="C8055" s="6"/>
      <c r="G8055" s="6"/>
      <c r="K8055" s="6"/>
    </row>
    <row r="8056" spans="3:11" x14ac:dyDescent="0.25">
      <c r="C8056" s="6"/>
      <c r="G8056" s="6"/>
      <c r="K8056" s="6"/>
    </row>
    <row r="8057" spans="3:11" x14ac:dyDescent="0.25">
      <c r="C8057" s="6"/>
      <c r="G8057" s="6"/>
      <c r="K8057" s="6"/>
    </row>
    <row r="8058" spans="3:11" x14ac:dyDescent="0.25">
      <c r="C8058" s="6"/>
      <c r="G8058" s="6"/>
      <c r="K8058" s="6"/>
    </row>
    <row r="8059" spans="3:11" x14ac:dyDescent="0.25">
      <c r="C8059" s="6"/>
      <c r="G8059" s="6"/>
      <c r="K8059" s="6"/>
    </row>
    <row r="8060" spans="3:11" x14ac:dyDescent="0.25">
      <c r="C8060" s="6"/>
      <c r="G8060" s="6"/>
      <c r="K8060" s="6"/>
    </row>
    <row r="8061" spans="3:11" x14ac:dyDescent="0.25">
      <c r="C8061" s="6"/>
      <c r="G8061" s="6"/>
      <c r="K8061" s="6"/>
    </row>
    <row r="8062" spans="3:11" x14ac:dyDescent="0.25">
      <c r="C8062" s="6"/>
      <c r="G8062" s="6"/>
      <c r="K8062" s="6"/>
    </row>
    <row r="8063" spans="3:11" x14ac:dyDescent="0.25">
      <c r="C8063" s="6"/>
      <c r="G8063" s="6"/>
      <c r="K8063" s="6"/>
    </row>
    <row r="8064" spans="3:11" x14ac:dyDescent="0.25">
      <c r="C8064" s="6"/>
      <c r="G8064" s="6"/>
      <c r="K8064" s="6"/>
    </row>
    <row r="8065" spans="3:11" x14ac:dyDescent="0.25">
      <c r="C8065" s="6"/>
      <c r="G8065" s="6"/>
      <c r="K8065" s="6"/>
    </row>
    <row r="8066" spans="3:11" x14ac:dyDescent="0.25">
      <c r="C8066" s="6"/>
      <c r="G8066" s="6"/>
      <c r="K8066" s="6"/>
    </row>
    <row r="8067" spans="3:11" x14ac:dyDescent="0.25">
      <c r="C8067" s="6"/>
      <c r="G8067" s="6"/>
      <c r="K8067" s="6"/>
    </row>
    <row r="8068" spans="3:11" x14ac:dyDescent="0.25">
      <c r="C8068" s="6"/>
      <c r="G8068" s="6"/>
      <c r="K8068" s="6"/>
    </row>
    <row r="8069" spans="3:11" x14ac:dyDescent="0.25">
      <c r="C8069" s="6"/>
      <c r="G8069" s="6"/>
      <c r="K8069" s="6"/>
    </row>
    <row r="8070" spans="3:11" x14ac:dyDescent="0.25">
      <c r="C8070" s="6"/>
      <c r="G8070" s="6"/>
      <c r="K8070" s="6"/>
    </row>
    <row r="8071" spans="3:11" x14ac:dyDescent="0.25">
      <c r="C8071" s="6"/>
      <c r="G8071" s="6"/>
      <c r="K8071" s="6"/>
    </row>
    <row r="8072" spans="3:11" x14ac:dyDescent="0.25">
      <c r="C8072" s="6"/>
      <c r="G8072" s="6"/>
      <c r="K8072" s="6"/>
    </row>
    <row r="8073" spans="3:11" x14ac:dyDescent="0.25">
      <c r="C8073" s="6"/>
      <c r="G8073" s="6"/>
      <c r="K8073" s="6"/>
    </row>
    <row r="8074" spans="3:11" x14ac:dyDescent="0.25">
      <c r="C8074" s="6"/>
      <c r="G8074" s="6"/>
      <c r="K8074" s="6"/>
    </row>
    <row r="8075" spans="3:11" x14ac:dyDescent="0.25">
      <c r="C8075" s="6"/>
      <c r="G8075" s="6"/>
      <c r="K8075" s="6"/>
    </row>
    <row r="8076" spans="3:11" x14ac:dyDescent="0.25">
      <c r="C8076" s="6"/>
      <c r="G8076" s="6"/>
      <c r="K8076" s="6"/>
    </row>
    <row r="8077" spans="3:11" x14ac:dyDescent="0.25">
      <c r="C8077" s="6"/>
      <c r="G8077" s="6"/>
      <c r="K8077" s="6"/>
    </row>
    <row r="8078" spans="3:11" x14ac:dyDescent="0.25">
      <c r="C8078" s="6"/>
      <c r="G8078" s="6"/>
      <c r="K8078" s="6"/>
    </row>
    <row r="8079" spans="3:11" x14ac:dyDescent="0.25">
      <c r="C8079" s="6"/>
      <c r="G8079" s="6"/>
      <c r="K8079" s="6"/>
    </row>
    <row r="8080" spans="3:11" x14ac:dyDescent="0.25">
      <c r="C8080" s="6"/>
      <c r="G8080" s="6"/>
      <c r="K8080" s="6"/>
    </row>
    <row r="8081" spans="3:11" x14ac:dyDescent="0.25">
      <c r="C8081" s="6"/>
      <c r="G8081" s="6"/>
      <c r="K8081" s="6"/>
    </row>
    <row r="8082" spans="3:11" x14ac:dyDescent="0.25">
      <c r="C8082" s="6"/>
      <c r="G8082" s="6"/>
      <c r="K8082" s="6"/>
    </row>
    <row r="8083" spans="3:11" x14ac:dyDescent="0.25">
      <c r="C8083" s="6"/>
      <c r="G8083" s="6"/>
      <c r="K8083" s="6"/>
    </row>
    <row r="8084" spans="3:11" x14ac:dyDescent="0.25">
      <c r="C8084" s="6"/>
      <c r="G8084" s="6"/>
      <c r="K8084" s="6"/>
    </row>
    <row r="8085" spans="3:11" x14ac:dyDescent="0.25">
      <c r="C8085" s="6"/>
      <c r="G8085" s="6"/>
      <c r="K8085" s="6"/>
    </row>
    <row r="8086" spans="3:11" x14ac:dyDescent="0.25">
      <c r="C8086" s="6"/>
      <c r="G8086" s="6"/>
      <c r="K8086" s="6"/>
    </row>
    <row r="8087" spans="3:11" x14ac:dyDescent="0.25">
      <c r="C8087" s="6"/>
      <c r="G8087" s="6"/>
      <c r="K8087" s="6"/>
    </row>
    <row r="8088" spans="3:11" x14ac:dyDescent="0.25">
      <c r="C8088" s="6"/>
      <c r="G8088" s="6"/>
      <c r="K8088" s="6"/>
    </row>
    <row r="8089" spans="3:11" x14ac:dyDescent="0.25">
      <c r="C8089" s="6"/>
      <c r="G8089" s="6"/>
      <c r="K8089" s="6"/>
    </row>
    <row r="8090" spans="3:11" x14ac:dyDescent="0.25">
      <c r="C8090" s="6"/>
      <c r="G8090" s="6"/>
      <c r="K8090" s="6"/>
    </row>
    <row r="8091" spans="3:11" x14ac:dyDescent="0.25">
      <c r="C8091" s="6"/>
      <c r="G8091" s="6"/>
      <c r="K8091" s="6"/>
    </row>
    <row r="8092" spans="3:11" x14ac:dyDescent="0.25">
      <c r="C8092" s="6"/>
      <c r="G8092" s="6"/>
      <c r="K8092" s="6"/>
    </row>
    <row r="8093" spans="3:11" x14ac:dyDescent="0.25">
      <c r="C8093" s="6"/>
      <c r="G8093" s="6"/>
      <c r="K8093" s="6"/>
    </row>
    <row r="8094" spans="3:11" x14ac:dyDescent="0.25">
      <c r="C8094" s="6"/>
      <c r="G8094" s="6"/>
      <c r="K8094" s="6"/>
    </row>
    <row r="8095" spans="3:11" x14ac:dyDescent="0.25">
      <c r="C8095" s="6"/>
      <c r="G8095" s="6"/>
      <c r="K8095" s="6"/>
    </row>
    <row r="8096" spans="3:11" x14ac:dyDescent="0.25">
      <c r="C8096" s="6"/>
      <c r="G8096" s="6"/>
      <c r="K8096" s="6"/>
    </row>
    <row r="8097" spans="3:11" x14ac:dyDescent="0.25">
      <c r="C8097" s="6"/>
      <c r="G8097" s="6"/>
      <c r="K8097" s="6"/>
    </row>
    <row r="8098" spans="3:11" x14ac:dyDescent="0.25">
      <c r="C8098" s="6"/>
      <c r="G8098" s="6"/>
      <c r="K8098" s="6"/>
    </row>
    <row r="8099" spans="3:11" x14ac:dyDescent="0.25">
      <c r="C8099" s="6"/>
      <c r="G8099" s="6"/>
      <c r="K8099" s="6"/>
    </row>
    <row r="8100" spans="3:11" x14ac:dyDescent="0.25">
      <c r="C8100" s="6"/>
      <c r="G8100" s="6"/>
      <c r="K8100" s="6"/>
    </row>
    <row r="8101" spans="3:11" x14ac:dyDescent="0.25">
      <c r="C8101" s="6"/>
      <c r="G8101" s="6"/>
      <c r="K8101" s="6"/>
    </row>
    <row r="8102" spans="3:11" x14ac:dyDescent="0.25">
      <c r="C8102" s="6"/>
      <c r="G8102" s="6"/>
      <c r="K8102" s="6"/>
    </row>
    <row r="8103" spans="3:11" x14ac:dyDescent="0.25">
      <c r="C8103" s="6"/>
      <c r="G8103" s="6"/>
      <c r="K8103" s="6"/>
    </row>
    <row r="8104" spans="3:11" x14ac:dyDescent="0.25">
      <c r="C8104" s="6"/>
      <c r="G8104" s="6"/>
      <c r="K8104" s="6"/>
    </row>
    <row r="8105" spans="3:11" x14ac:dyDescent="0.25">
      <c r="C8105" s="6"/>
      <c r="G8105" s="6"/>
      <c r="K8105" s="6"/>
    </row>
    <row r="8106" spans="3:11" x14ac:dyDescent="0.25">
      <c r="C8106" s="6"/>
      <c r="G8106" s="6"/>
      <c r="K8106" s="6"/>
    </row>
    <row r="8107" spans="3:11" x14ac:dyDescent="0.25">
      <c r="C8107" s="6"/>
      <c r="G8107" s="6"/>
      <c r="K8107" s="6"/>
    </row>
    <row r="8108" spans="3:11" x14ac:dyDescent="0.25">
      <c r="C8108" s="6"/>
      <c r="G8108" s="6"/>
      <c r="K8108" s="6"/>
    </row>
    <row r="8109" spans="3:11" x14ac:dyDescent="0.25">
      <c r="C8109" s="6"/>
      <c r="G8109" s="6"/>
      <c r="K8109" s="6"/>
    </row>
    <row r="8110" spans="3:11" x14ac:dyDescent="0.25">
      <c r="C8110" s="6"/>
      <c r="G8110" s="6"/>
      <c r="K8110" s="6"/>
    </row>
    <row r="8111" spans="3:11" x14ac:dyDescent="0.25">
      <c r="C8111" s="6"/>
      <c r="G8111" s="6"/>
      <c r="K8111" s="6"/>
    </row>
    <row r="8112" spans="3:11" x14ac:dyDescent="0.25">
      <c r="C8112" s="6"/>
      <c r="G8112" s="6"/>
      <c r="K8112" s="6"/>
    </row>
    <row r="8113" spans="3:11" x14ac:dyDescent="0.25">
      <c r="C8113" s="6"/>
      <c r="G8113" s="6"/>
      <c r="K8113" s="6"/>
    </row>
    <row r="8114" spans="3:11" x14ac:dyDescent="0.25">
      <c r="C8114" s="6"/>
      <c r="G8114" s="6"/>
      <c r="K8114" s="6"/>
    </row>
    <row r="8115" spans="3:11" x14ac:dyDescent="0.25">
      <c r="C8115" s="6"/>
      <c r="G8115" s="6"/>
      <c r="K8115" s="6"/>
    </row>
    <row r="8116" spans="3:11" x14ac:dyDescent="0.25">
      <c r="C8116" s="6"/>
      <c r="G8116" s="6"/>
      <c r="K8116" s="6"/>
    </row>
    <row r="8117" spans="3:11" x14ac:dyDescent="0.25">
      <c r="C8117" s="6"/>
      <c r="G8117" s="6"/>
      <c r="K8117" s="6"/>
    </row>
    <row r="8118" spans="3:11" x14ac:dyDescent="0.25">
      <c r="C8118" s="6"/>
      <c r="G8118" s="6"/>
      <c r="K8118" s="6"/>
    </row>
    <row r="8119" spans="3:11" x14ac:dyDescent="0.25">
      <c r="C8119" s="6"/>
      <c r="G8119" s="6"/>
      <c r="K8119" s="6"/>
    </row>
    <row r="8120" spans="3:11" x14ac:dyDescent="0.25">
      <c r="C8120" s="6"/>
      <c r="G8120" s="6"/>
      <c r="K8120" s="6"/>
    </row>
    <row r="8121" spans="3:11" x14ac:dyDescent="0.25">
      <c r="C8121" s="6"/>
      <c r="G8121" s="6"/>
      <c r="K8121" s="6"/>
    </row>
    <row r="8122" spans="3:11" x14ac:dyDescent="0.25">
      <c r="C8122" s="6"/>
      <c r="G8122" s="6"/>
      <c r="K8122" s="6"/>
    </row>
    <row r="8123" spans="3:11" x14ac:dyDescent="0.25">
      <c r="C8123" s="6"/>
      <c r="G8123" s="6"/>
      <c r="K8123" s="6"/>
    </row>
    <row r="8124" spans="3:11" x14ac:dyDescent="0.25">
      <c r="C8124" s="6"/>
      <c r="G8124" s="6"/>
      <c r="K8124" s="6"/>
    </row>
    <row r="8125" spans="3:11" x14ac:dyDescent="0.25">
      <c r="C8125" s="6"/>
      <c r="G8125" s="6"/>
      <c r="K8125" s="6"/>
    </row>
    <row r="8126" spans="3:11" x14ac:dyDescent="0.25">
      <c r="C8126" s="6"/>
      <c r="G8126" s="6"/>
      <c r="K8126" s="6"/>
    </row>
    <row r="8127" spans="3:11" x14ac:dyDescent="0.25">
      <c r="C8127" s="6"/>
      <c r="G8127" s="6"/>
      <c r="K8127" s="6"/>
    </row>
    <row r="8128" spans="3:11" x14ac:dyDescent="0.25">
      <c r="C8128" s="6"/>
      <c r="G8128" s="6"/>
      <c r="K8128" s="6"/>
    </row>
    <row r="8129" spans="3:11" x14ac:dyDescent="0.25">
      <c r="C8129" s="6"/>
      <c r="G8129" s="6"/>
      <c r="K8129" s="6"/>
    </row>
    <row r="8130" spans="3:11" x14ac:dyDescent="0.25">
      <c r="C8130" s="6"/>
      <c r="G8130" s="6"/>
      <c r="K8130" s="6"/>
    </row>
    <row r="8131" spans="3:11" x14ac:dyDescent="0.25">
      <c r="C8131" s="6"/>
      <c r="G8131" s="6"/>
      <c r="K8131" s="6"/>
    </row>
    <row r="8132" spans="3:11" x14ac:dyDescent="0.25">
      <c r="C8132" s="6"/>
      <c r="G8132" s="6"/>
      <c r="K8132" s="6"/>
    </row>
    <row r="8133" spans="3:11" x14ac:dyDescent="0.25">
      <c r="C8133" s="6"/>
      <c r="G8133" s="6"/>
      <c r="K8133" s="6"/>
    </row>
    <row r="8134" spans="3:11" x14ac:dyDescent="0.25">
      <c r="C8134" s="6"/>
      <c r="G8134" s="6"/>
      <c r="K8134" s="6"/>
    </row>
    <row r="8135" spans="3:11" x14ac:dyDescent="0.25">
      <c r="C8135" s="6"/>
      <c r="G8135" s="6"/>
      <c r="K8135" s="6"/>
    </row>
    <row r="8136" spans="3:11" x14ac:dyDescent="0.25">
      <c r="C8136" s="6"/>
      <c r="G8136" s="6"/>
      <c r="K8136" s="6"/>
    </row>
    <row r="8137" spans="3:11" x14ac:dyDescent="0.25">
      <c r="C8137" s="6"/>
      <c r="G8137" s="6"/>
      <c r="K8137" s="6"/>
    </row>
    <row r="8138" spans="3:11" x14ac:dyDescent="0.25">
      <c r="C8138" s="6"/>
      <c r="G8138" s="6"/>
      <c r="K8138" s="6"/>
    </row>
    <row r="8139" spans="3:11" x14ac:dyDescent="0.25">
      <c r="C8139" s="6"/>
      <c r="G8139" s="6"/>
      <c r="K8139" s="6"/>
    </row>
    <row r="8140" spans="3:11" x14ac:dyDescent="0.25">
      <c r="C8140" s="6"/>
      <c r="G8140" s="6"/>
      <c r="K8140" s="6"/>
    </row>
    <row r="8141" spans="3:11" x14ac:dyDescent="0.25">
      <c r="C8141" s="6"/>
      <c r="G8141" s="6"/>
      <c r="K8141" s="6"/>
    </row>
    <row r="8142" spans="3:11" x14ac:dyDescent="0.25">
      <c r="C8142" s="6"/>
      <c r="G8142" s="6"/>
      <c r="K8142" s="6"/>
    </row>
    <row r="8143" spans="3:11" x14ac:dyDescent="0.25">
      <c r="C8143" s="6"/>
      <c r="G8143" s="6"/>
      <c r="K8143" s="6"/>
    </row>
    <row r="8144" spans="3:11" x14ac:dyDescent="0.25">
      <c r="C8144" s="6"/>
      <c r="G8144" s="6"/>
      <c r="K8144" s="6"/>
    </row>
    <row r="8145" spans="3:11" x14ac:dyDescent="0.25">
      <c r="C8145" s="6"/>
      <c r="G8145" s="6"/>
      <c r="K8145" s="6"/>
    </row>
    <row r="8146" spans="3:11" x14ac:dyDescent="0.25">
      <c r="C8146" s="6"/>
      <c r="G8146" s="6"/>
      <c r="K8146" s="6"/>
    </row>
    <row r="8147" spans="3:11" x14ac:dyDescent="0.25">
      <c r="C8147" s="6"/>
      <c r="G8147" s="6"/>
      <c r="K8147" s="6"/>
    </row>
    <row r="8148" spans="3:11" x14ac:dyDescent="0.25">
      <c r="C8148" s="6"/>
      <c r="G8148" s="6"/>
      <c r="K8148" s="6"/>
    </row>
    <row r="8149" spans="3:11" x14ac:dyDescent="0.25">
      <c r="C8149" s="6"/>
      <c r="G8149" s="6"/>
      <c r="K8149" s="6"/>
    </row>
    <row r="8150" spans="3:11" x14ac:dyDescent="0.25">
      <c r="C8150" s="6"/>
      <c r="G8150" s="6"/>
      <c r="K8150" s="6"/>
    </row>
    <row r="8151" spans="3:11" x14ac:dyDescent="0.25">
      <c r="C8151" s="6"/>
      <c r="G8151" s="6"/>
      <c r="K8151" s="6"/>
    </row>
    <row r="8152" spans="3:11" x14ac:dyDescent="0.25">
      <c r="C8152" s="6"/>
      <c r="G8152" s="6"/>
      <c r="K8152" s="6"/>
    </row>
    <row r="8153" spans="3:11" x14ac:dyDescent="0.25">
      <c r="C8153" s="6"/>
      <c r="G8153" s="6"/>
      <c r="K8153" s="6"/>
    </row>
    <row r="8154" spans="3:11" x14ac:dyDescent="0.25">
      <c r="C8154" s="6"/>
      <c r="G8154" s="6"/>
      <c r="K8154" s="6"/>
    </row>
    <row r="8155" spans="3:11" x14ac:dyDescent="0.25">
      <c r="C8155" s="6"/>
      <c r="G8155" s="6"/>
      <c r="K8155" s="6"/>
    </row>
    <row r="8156" spans="3:11" x14ac:dyDescent="0.25">
      <c r="C8156" s="6"/>
      <c r="G8156" s="6"/>
      <c r="K8156" s="6"/>
    </row>
    <row r="8157" spans="3:11" x14ac:dyDescent="0.25">
      <c r="C8157" s="6"/>
      <c r="G8157" s="6"/>
      <c r="K8157" s="6"/>
    </row>
    <row r="8158" spans="3:11" x14ac:dyDescent="0.25">
      <c r="C8158" s="6"/>
      <c r="G8158" s="6"/>
      <c r="K8158" s="6"/>
    </row>
    <row r="8159" spans="3:11" x14ac:dyDescent="0.25">
      <c r="C8159" s="6"/>
      <c r="G8159" s="6"/>
      <c r="K8159" s="6"/>
    </row>
    <row r="8160" spans="3:11" x14ac:dyDescent="0.25">
      <c r="C8160" s="6"/>
      <c r="G8160" s="6"/>
      <c r="K8160" s="6"/>
    </row>
    <row r="8161" spans="3:11" x14ac:dyDescent="0.25">
      <c r="C8161" s="6"/>
      <c r="G8161" s="6"/>
      <c r="K8161" s="6"/>
    </row>
    <row r="8162" spans="3:11" x14ac:dyDescent="0.25">
      <c r="C8162" s="6"/>
      <c r="G8162" s="6"/>
      <c r="K8162" s="6"/>
    </row>
    <row r="8163" spans="3:11" x14ac:dyDescent="0.25">
      <c r="C8163" s="6"/>
      <c r="G8163" s="6"/>
      <c r="K8163" s="6"/>
    </row>
    <row r="8164" spans="3:11" x14ac:dyDescent="0.25">
      <c r="C8164" s="6"/>
      <c r="G8164" s="6"/>
      <c r="K8164" s="6"/>
    </row>
    <row r="8165" spans="3:11" x14ac:dyDescent="0.25">
      <c r="C8165" s="6"/>
      <c r="G8165" s="6"/>
      <c r="K8165" s="6"/>
    </row>
    <row r="8166" spans="3:11" x14ac:dyDescent="0.25">
      <c r="C8166" s="6"/>
      <c r="G8166" s="6"/>
      <c r="K8166" s="6"/>
    </row>
    <row r="8167" spans="3:11" x14ac:dyDescent="0.25">
      <c r="C8167" s="6"/>
      <c r="G8167" s="6"/>
      <c r="K8167" s="6"/>
    </row>
    <row r="8168" spans="3:11" x14ac:dyDescent="0.25">
      <c r="C8168" s="6"/>
      <c r="G8168" s="6"/>
      <c r="K8168" s="6"/>
    </row>
    <row r="8169" spans="3:11" x14ac:dyDescent="0.25">
      <c r="C8169" s="6"/>
      <c r="G8169" s="6"/>
      <c r="K8169" s="6"/>
    </row>
    <row r="8170" spans="3:11" x14ac:dyDescent="0.25">
      <c r="C8170" s="6"/>
      <c r="G8170" s="6"/>
      <c r="K8170" s="6"/>
    </row>
    <row r="8171" spans="3:11" x14ac:dyDescent="0.25">
      <c r="C8171" s="6"/>
      <c r="G8171" s="6"/>
      <c r="K8171" s="6"/>
    </row>
    <row r="8172" spans="3:11" x14ac:dyDescent="0.25">
      <c r="C8172" s="6"/>
      <c r="G8172" s="6"/>
      <c r="K8172" s="6"/>
    </row>
    <row r="8173" spans="3:11" x14ac:dyDescent="0.25">
      <c r="C8173" s="6"/>
      <c r="G8173" s="6"/>
      <c r="K8173" s="6"/>
    </row>
    <row r="8174" spans="3:11" x14ac:dyDescent="0.25">
      <c r="C8174" s="6"/>
      <c r="G8174" s="6"/>
      <c r="K8174" s="6"/>
    </row>
    <row r="8175" spans="3:11" x14ac:dyDescent="0.25">
      <c r="C8175" s="6"/>
      <c r="G8175" s="6"/>
      <c r="K8175" s="6"/>
    </row>
    <row r="8176" spans="3:11" x14ac:dyDescent="0.25">
      <c r="C8176" s="6"/>
      <c r="G8176" s="6"/>
      <c r="K8176" s="6"/>
    </row>
    <row r="8177" spans="3:11" x14ac:dyDescent="0.25">
      <c r="C8177" s="6"/>
      <c r="G8177" s="6"/>
      <c r="K8177" s="6"/>
    </row>
    <row r="8178" spans="3:11" x14ac:dyDescent="0.25">
      <c r="C8178" s="6"/>
      <c r="G8178" s="6"/>
      <c r="K8178" s="6"/>
    </row>
    <row r="8179" spans="3:11" x14ac:dyDescent="0.25">
      <c r="C8179" s="6"/>
      <c r="G8179" s="6"/>
      <c r="K8179" s="6"/>
    </row>
    <row r="8180" spans="3:11" x14ac:dyDescent="0.25">
      <c r="C8180" s="6"/>
      <c r="G8180" s="6"/>
      <c r="K8180" s="6"/>
    </row>
    <row r="8181" spans="3:11" x14ac:dyDescent="0.25">
      <c r="C8181" s="6"/>
      <c r="G8181" s="6"/>
      <c r="K8181" s="6"/>
    </row>
    <row r="8182" spans="3:11" x14ac:dyDescent="0.25">
      <c r="C8182" s="6"/>
      <c r="G8182" s="6"/>
      <c r="K8182" s="6"/>
    </row>
    <row r="8183" spans="3:11" x14ac:dyDescent="0.25">
      <c r="C8183" s="6"/>
      <c r="G8183" s="6"/>
      <c r="K8183" s="6"/>
    </row>
    <row r="8184" spans="3:11" x14ac:dyDescent="0.25">
      <c r="C8184" s="6"/>
      <c r="G8184" s="6"/>
      <c r="K8184" s="6"/>
    </row>
    <row r="8185" spans="3:11" x14ac:dyDescent="0.25">
      <c r="C8185" s="6"/>
      <c r="G8185" s="6"/>
      <c r="K8185" s="6"/>
    </row>
    <row r="8186" spans="3:11" x14ac:dyDescent="0.25">
      <c r="C8186" s="6"/>
      <c r="G8186" s="6"/>
      <c r="K8186" s="6"/>
    </row>
    <row r="8187" spans="3:11" x14ac:dyDescent="0.25">
      <c r="C8187" s="6"/>
      <c r="G8187" s="6"/>
      <c r="K8187" s="6"/>
    </row>
    <row r="8188" spans="3:11" x14ac:dyDescent="0.25">
      <c r="C8188" s="6"/>
      <c r="G8188" s="6"/>
      <c r="K8188" s="6"/>
    </row>
    <row r="8189" spans="3:11" x14ac:dyDescent="0.25">
      <c r="C8189" s="6"/>
      <c r="G8189" s="6"/>
      <c r="K8189" s="6"/>
    </row>
    <row r="8190" spans="3:11" x14ac:dyDescent="0.25">
      <c r="C8190" s="6"/>
      <c r="G8190" s="6"/>
      <c r="K8190" s="6"/>
    </row>
    <row r="8191" spans="3:11" x14ac:dyDescent="0.25">
      <c r="C8191" s="6"/>
      <c r="G8191" s="6"/>
      <c r="K8191" s="6"/>
    </row>
    <row r="8192" spans="3:11" x14ac:dyDescent="0.25">
      <c r="C8192" s="6"/>
      <c r="G8192" s="6"/>
      <c r="K8192" s="6"/>
    </row>
    <row r="8193" spans="3:11" x14ac:dyDescent="0.25">
      <c r="C8193" s="6"/>
      <c r="G8193" s="6"/>
      <c r="K8193" s="6"/>
    </row>
    <row r="8194" spans="3:11" x14ac:dyDescent="0.25">
      <c r="C8194" s="6"/>
      <c r="G8194" s="6"/>
      <c r="K8194" s="6"/>
    </row>
    <row r="8195" spans="3:11" x14ac:dyDescent="0.25">
      <c r="C8195" s="6"/>
      <c r="G8195" s="6"/>
      <c r="K8195" s="6"/>
    </row>
    <row r="8196" spans="3:11" x14ac:dyDescent="0.25">
      <c r="C8196" s="6"/>
      <c r="G8196" s="6"/>
      <c r="K8196" s="6"/>
    </row>
    <row r="8197" spans="3:11" x14ac:dyDescent="0.25">
      <c r="C8197" s="6"/>
      <c r="G8197" s="6"/>
      <c r="K8197" s="6"/>
    </row>
    <row r="8198" spans="3:11" x14ac:dyDescent="0.25">
      <c r="C8198" s="6"/>
      <c r="G8198" s="6"/>
      <c r="K8198" s="6"/>
    </row>
    <row r="8199" spans="3:11" x14ac:dyDescent="0.25">
      <c r="C8199" s="6"/>
      <c r="G8199" s="6"/>
      <c r="K8199" s="6"/>
    </row>
    <row r="8200" spans="3:11" x14ac:dyDescent="0.25">
      <c r="C8200" s="6"/>
      <c r="G8200" s="6"/>
      <c r="K8200" s="6"/>
    </row>
    <row r="8201" spans="3:11" x14ac:dyDescent="0.25">
      <c r="C8201" s="6"/>
      <c r="G8201" s="6"/>
      <c r="K8201" s="6"/>
    </row>
    <row r="8202" spans="3:11" x14ac:dyDescent="0.25">
      <c r="C8202" s="6"/>
      <c r="G8202" s="6"/>
      <c r="K8202" s="6"/>
    </row>
    <row r="8203" spans="3:11" x14ac:dyDescent="0.25">
      <c r="C8203" s="6"/>
      <c r="G8203" s="6"/>
      <c r="K8203" s="6"/>
    </row>
    <row r="8204" spans="3:11" x14ac:dyDescent="0.25">
      <c r="C8204" s="6"/>
      <c r="G8204" s="6"/>
      <c r="K8204" s="6"/>
    </row>
    <row r="8205" spans="3:11" x14ac:dyDescent="0.25">
      <c r="C8205" s="6"/>
      <c r="G8205" s="6"/>
      <c r="K8205" s="6"/>
    </row>
    <row r="8206" spans="3:11" x14ac:dyDescent="0.25">
      <c r="C8206" s="6"/>
      <c r="G8206" s="6"/>
      <c r="K8206" s="6"/>
    </row>
    <row r="8207" spans="3:11" x14ac:dyDescent="0.25">
      <c r="C8207" s="6"/>
      <c r="G8207" s="6"/>
      <c r="K8207" s="6"/>
    </row>
    <row r="8208" spans="3:11" x14ac:dyDescent="0.25">
      <c r="C8208" s="6"/>
      <c r="G8208" s="6"/>
      <c r="K8208" s="6"/>
    </row>
    <row r="8209" spans="3:11" x14ac:dyDescent="0.25">
      <c r="C8209" s="6"/>
      <c r="G8209" s="6"/>
      <c r="K8209" s="6"/>
    </row>
    <row r="8210" spans="3:11" x14ac:dyDescent="0.25">
      <c r="C8210" s="6"/>
      <c r="G8210" s="6"/>
      <c r="K8210" s="6"/>
    </row>
    <row r="8211" spans="3:11" x14ac:dyDescent="0.25">
      <c r="C8211" s="6"/>
      <c r="G8211" s="6"/>
      <c r="K8211" s="6"/>
    </row>
    <row r="8212" spans="3:11" x14ac:dyDescent="0.25">
      <c r="C8212" s="6"/>
      <c r="G8212" s="6"/>
      <c r="K8212" s="6"/>
    </row>
    <row r="8213" spans="3:11" x14ac:dyDescent="0.25">
      <c r="C8213" s="6"/>
      <c r="G8213" s="6"/>
      <c r="K8213" s="6"/>
    </row>
    <row r="8214" spans="3:11" x14ac:dyDescent="0.25">
      <c r="C8214" s="6"/>
      <c r="G8214" s="6"/>
      <c r="K8214" s="6"/>
    </row>
    <row r="8215" spans="3:11" x14ac:dyDescent="0.25">
      <c r="C8215" s="6"/>
      <c r="G8215" s="6"/>
      <c r="K8215" s="6"/>
    </row>
    <row r="8216" spans="3:11" x14ac:dyDescent="0.25">
      <c r="C8216" s="6"/>
      <c r="G8216" s="6"/>
      <c r="K8216" s="6"/>
    </row>
    <row r="8217" spans="3:11" x14ac:dyDescent="0.25">
      <c r="C8217" s="6"/>
      <c r="G8217" s="6"/>
      <c r="K8217" s="6"/>
    </row>
    <row r="8218" spans="3:11" x14ac:dyDescent="0.25">
      <c r="C8218" s="6"/>
      <c r="G8218" s="6"/>
      <c r="K8218" s="6"/>
    </row>
    <row r="8219" spans="3:11" x14ac:dyDescent="0.25">
      <c r="C8219" s="6"/>
      <c r="G8219" s="6"/>
      <c r="K8219" s="6"/>
    </row>
    <row r="8220" spans="3:11" x14ac:dyDescent="0.25">
      <c r="C8220" s="6"/>
      <c r="G8220" s="6"/>
      <c r="K8220" s="6"/>
    </row>
    <row r="8221" spans="3:11" x14ac:dyDescent="0.25">
      <c r="C8221" s="6"/>
      <c r="G8221" s="6"/>
      <c r="K8221" s="6"/>
    </row>
    <row r="8222" spans="3:11" x14ac:dyDescent="0.25">
      <c r="C8222" s="6"/>
      <c r="G8222" s="6"/>
      <c r="K8222" s="6"/>
    </row>
    <row r="8223" spans="3:11" x14ac:dyDescent="0.25">
      <c r="C8223" s="6"/>
      <c r="G8223" s="6"/>
      <c r="K8223" s="6"/>
    </row>
    <row r="8224" spans="3:11" x14ac:dyDescent="0.25">
      <c r="C8224" s="6"/>
      <c r="G8224" s="6"/>
      <c r="K8224" s="6"/>
    </row>
    <row r="8225" spans="3:11" x14ac:dyDescent="0.25">
      <c r="C8225" s="6"/>
      <c r="G8225" s="6"/>
      <c r="K8225" s="6"/>
    </row>
    <row r="8226" spans="3:11" x14ac:dyDescent="0.25">
      <c r="C8226" s="6"/>
      <c r="G8226" s="6"/>
      <c r="K8226" s="6"/>
    </row>
    <row r="8227" spans="3:11" x14ac:dyDescent="0.25">
      <c r="C8227" s="6"/>
      <c r="G8227" s="6"/>
      <c r="K8227" s="6"/>
    </row>
    <row r="8228" spans="3:11" x14ac:dyDescent="0.25">
      <c r="C8228" s="6"/>
      <c r="G8228" s="6"/>
      <c r="K8228" s="6"/>
    </row>
    <row r="8229" spans="3:11" x14ac:dyDescent="0.25">
      <c r="C8229" s="6"/>
      <c r="G8229" s="6"/>
      <c r="K8229" s="6"/>
    </row>
    <row r="8230" spans="3:11" x14ac:dyDescent="0.25">
      <c r="C8230" s="6"/>
      <c r="G8230" s="6"/>
      <c r="K8230" s="6"/>
    </row>
    <row r="8231" spans="3:11" x14ac:dyDescent="0.25">
      <c r="C8231" s="6"/>
      <c r="G8231" s="6"/>
      <c r="K8231" s="6"/>
    </row>
    <row r="8232" spans="3:11" x14ac:dyDescent="0.25">
      <c r="C8232" s="6"/>
      <c r="G8232" s="6"/>
      <c r="K8232" s="6"/>
    </row>
    <row r="8233" spans="3:11" x14ac:dyDescent="0.25">
      <c r="C8233" s="6"/>
      <c r="G8233" s="6"/>
      <c r="K8233" s="6"/>
    </row>
    <row r="8234" spans="3:11" x14ac:dyDescent="0.25">
      <c r="C8234" s="6"/>
      <c r="G8234" s="6"/>
      <c r="K8234" s="6"/>
    </row>
    <row r="8235" spans="3:11" x14ac:dyDescent="0.25">
      <c r="C8235" s="6"/>
      <c r="G8235" s="6"/>
      <c r="K8235" s="6"/>
    </row>
    <row r="8236" spans="3:11" x14ac:dyDescent="0.25">
      <c r="C8236" s="6"/>
      <c r="G8236" s="6"/>
      <c r="K8236" s="6"/>
    </row>
    <row r="8237" spans="3:11" x14ac:dyDescent="0.25">
      <c r="C8237" s="6"/>
      <c r="G8237" s="6"/>
      <c r="K8237" s="6"/>
    </row>
    <row r="8238" spans="3:11" x14ac:dyDescent="0.25">
      <c r="C8238" s="6"/>
      <c r="G8238" s="6"/>
      <c r="K8238" s="6"/>
    </row>
    <row r="8239" spans="3:11" x14ac:dyDescent="0.25">
      <c r="C8239" s="6"/>
      <c r="G8239" s="6"/>
      <c r="K8239" s="6"/>
    </row>
    <row r="8240" spans="3:11" x14ac:dyDescent="0.25">
      <c r="C8240" s="6"/>
      <c r="G8240" s="6"/>
      <c r="K8240" s="6"/>
    </row>
    <row r="8241" spans="3:11" x14ac:dyDescent="0.25">
      <c r="C8241" s="6"/>
      <c r="G8241" s="6"/>
      <c r="K8241" s="6"/>
    </row>
    <row r="8242" spans="3:11" x14ac:dyDescent="0.25">
      <c r="C8242" s="6"/>
      <c r="G8242" s="6"/>
      <c r="K8242" s="6"/>
    </row>
    <row r="8243" spans="3:11" x14ac:dyDescent="0.25">
      <c r="C8243" s="6"/>
      <c r="G8243" s="6"/>
      <c r="K8243" s="6"/>
    </row>
    <row r="8244" spans="3:11" x14ac:dyDescent="0.25">
      <c r="C8244" s="6"/>
      <c r="G8244" s="6"/>
      <c r="K8244" s="6"/>
    </row>
    <row r="8245" spans="3:11" x14ac:dyDescent="0.25">
      <c r="C8245" s="6"/>
      <c r="G8245" s="6"/>
      <c r="K8245" s="6"/>
    </row>
    <row r="8246" spans="3:11" x14ac:dyDescent="0.25">
      <c r="C8246" s="6"/>
      <c r="G8246" s="6"/>
      <c r="K8246" s="6"/>
    </row>
    <row r="8247" spans="3:11" x14ac:dyDescent="0.25">
      <c r="C8247" s="6"/>
      <c r="G8247" s="6"/>
      <c r="K8247" s="6"/>
    </row>
    <row r="8248" spans="3:11" x14ac:dyDescent="0.25">
      <c r="C8248" s="6"/>
      <c r="G8248" s="6"/>
      <c r="K8248" s="6"/>
    </row>
    <row r="8249" spans="3:11" x14ac:dyDescent="0.25">
      <c r="C8249" s="6"/>
      <c r="G8249" s="6"/>
      <c r="K8249" s="6"/>
    </row>
    <row r="8250" spans="3:11" x14ac:dyDescent="0.25">
      <c r="C8250" s="6"/>
      <c r="G8250" s="6"/>
      <c r="K8250" s="6"/>
    </row>
    <row r="8251" spans="3:11" x14ac:dyDescent="0.25">
      <c r="C8251" s="6"/>
      <c r="G8251" s="6"/>
      <c r="K8251" s="6"/>
    </row>
    <row r="8252" spans="3:11" x14ac:dyDescent="0.25">
      <c r="C8252" s="6"/>
      <c r="G8252" s="6"/>
      <c r="K8252" s="6"/>
    </row>
    <row r="8253" spans="3:11" x14ac:dyDescent="0.25">
      <c r="C8253" s="6"/>
      <c r="G8253" s="6"/>
      <c r="K8253" s="6"/>
    </row>
    <row r="8254" spans="3:11" x14ac:dyDescent="0.25">
      <c r="C8254" s="6"/>
      <c r="G8254" s="6"/>
      <c r="K8254" s="6"/>
    </row>
    <row r="8255" spans="3:11" x14ac:dyDescent="0.25">
      <c r="C8255" s="6"/>
      <c r="G8255" s="6"/>
      <c r="K8255" s="6"/>
    </row>
    <row r="8256" spans="3:11" x14ac:dyDescent="0.25">
      <c r="C8256" s="6"/>
      <c r="G8256" s="6"/>
      <c r="K8256" s="6"/>
    </row>
    <row r="8257" spans="3:11" x14ac:dyDescent="0.25">
      <c r="C8257" s="6"/>
      <c r="G8257" s="6"/>
      <c r="K8257" s="6"/>
    </row>
    <row r="8258" spans="3:11" x14ac:dyDescent="0.25">
      <c r="C8258" s="6"/>
      <c r="G8258" s="6"/>
      <c r="K8258" s="6"/>
    </row>
    <row r="8259" spans="3:11" x14ac:dyDescent="0.25">
      <c r="C8259" s="6"/>
      <c r="G8259" s="6"/>
      <c r="K8259" s="6"/>
    </row>
    <row r="8260" spans="3:11" x14ac:dyDescent="0.25">
      <c r="C8260" s="6"/>
      <c r="G8260" s="6"/>
      <c r="K8260" s="6"/>
    </row>
    <row r="8261" spans="3:11" x14ac:dyDescent="0.25">
      <c r="C8261" s="6"/>
      <c r="G8261" s="6"/>
      <c r="K8261" s="6"/>
    </row>
    <row r="8262" spans="3:11" x14ac:dyDescent="0.25">
      <c r="C8262" s="6"/>
      <c r="G8262" s="6"/>
      <c r="K8262" s="6"/>
    </row>
    <row r="8263" spans="3:11" x14ac:dyDescent="0.25">
      <c r="C8263" s="6"/>
      <c r="G8263" s="6"/>
      <c r="K8263" s="6"/>
    </row>
    <row r="8264" spans="3:11" x14ac:dyDescent="0.25">
      <c r="C8264" s="6"/>
      <c r="G8264" s="6"/>
      <c r="K8264" s="6"/>
    </row>
    <row r="8265" spans="3:11" x14ac:dyDescent="0.25">
      <c r="C8265" s="6"/>
      <c r="G8265" s="6"/>
      <c r="K8265" s="6"/>
    </row>
    <row r="8266" spans="3:11" x14ac:dyDescent="0.25">
      <c r="C8266" s="6"/>
      <c r="G8266" s="6"/>
      <c r="K8266" s="6"/>
    </row>
    <row r="8267" spans="3:11" x14ac:dyDescent="0.25">
      <c r="C8267" s="6"/>
      <c r="G8267" s="6"/>
      <c r="K8267" s="6"/>
    </row>
    <row r="8268" spans="3:11" x14ac:dyDescent="0.25">
      <c r="C8268" s="6"/>
      <c r="G8268" s="6"/>
      <c r="K8268" s="6"/>
    </row>
    <row r="8269" spans="3:11" x14ac:dyDescent="0.25">
      <c r="C8269" s="6"/>
      <c r="G8269" s="6"/>
      <c r="K8269" s="6"/>
    </row>
    <row r="8270" spans="3:11" x14ac:dyDescent="0.25">
      <c r="C8270" s="6"/>
      <c r="G8270" s="6"/>
      <c r="K8270" s="6"/>
    </row>
    <row r="8271" spans="3:11" x14ac:dyDescent="0.25">
      <c r="C8271" s="6"/>
      <c r="G8271" s="6"/>
      <c r="K8271" s="6"/>
    </row>
    <row r="8272" spans="3:11" x14ac:dyDescent="0.25">
      <c r="C8272" s="6"/>
      <c r="G8272" s="6"/>
      <c r="K8272" s="6"/>
    </row>
    <row r="8273" spans="3:11" x14ac:dyDescent="0.25">
      <c r="C8273" s="6"/>
      <c r="G8273" s="6"/>
      <c r="K8273" s="6"/>
    </row>
    <row r="8274" spans="3:11" x14ac:dyDescent="0.25">
      <c r="C8274" s="6"/>
      <c r="G8274" s="6"/>
      <c r="K8274" s="6"/>
    </row>
    <row r="8275" spans="3:11" x14ac:dyDescent="0.25">
      <c r="C8275" s="6"/>
      <c r="G8275" s="6"/>
      <c r="K8275" s="6"/>
    </row>
    <row r="8276" spans="3:11" x14ac:dyDescent="0.25">
      <c r="C8276" s="6"/>
      <c r="G8276" s="6"/>
      <c r="K8276" s="6"/>
    </row>
    <row r="8277" spans="3:11" x14ac:dyDescent="0.25">
      <c r="C8277" s="6"/>
      <c r="G8277" s="6"/>
      <c r="K8277" s="6"/>
    </row>
    <row r="8278" spans="3:11" x14ac:dyDescent="0.25">
      <c r="C8278" s="6"/>
      <c r="G8278" s="6"/>
      <c r="K8278" s="6"/>
    </row>
    <row r="8279" spans="3:11" x14ac:dyDescent="0.25">
      <c r="C8279" s="6"/>
      <c r="G8279" s="6"/>
      <c r="K8279" s="6"/>
    </row>
    <row r="8280" spans="3:11" x14ac:dyDescent="0.25">
      <c r="C8280" s="6"/>
      <c r="G8280" s="6"/>
      <c r="K8280" s="6"/>
    </row>
    <row r="8281" spans="3:11" x14ac:dyDescent="0.25">
      <c r="C8281" s="6"/>
      <c r="G8281" s="6"/>
      <c r="K8281" s="6"/>
    </row>
    <row r="8282" spans="3:11" x14ac:dyDescent="0.25">
      <c r="C8282" s="6"/>
      <c r="G8282" s="6"/>
      <c r="K8282" s="6"/>
    </row>
    <row r="8283" spans="3:11" x14ac:dyDescent="0.25">
      <c r="C8283" s="6"/>
      <c r="G8283" s="6"/>
      <c r="K8283" s="6"/>
    </row>
    <row r="8284" spans="3:11" x14ac:dyDescent="0.25">
      <c r="C8284" s="6"/>
      <c r="G8284" s="6"/>
      <c r="K8284" s="6"/>
    </row>
    <row r="8285" spans="3:11" x14ac:dyDescent="0.25">
      <c r="C8285" s="6"/>
      <c r="G8285" s="6"/>
      <c r="K8285" s="6"/>
    </row>
    <row r="8286" spans="3:11" x14ac:dyDescent="0.25">
      <c r="C8286" s="6"/>
      <c r="G8286" s="6"/>
      <c r="K8286" s="6"/>
    </row>
    <row r="8287" spans="3:11" x14ac:dyDescent="0.25">
      <c r="C8287" s="6"/>
      <c r="G8287" s="6"/>
      <c r="K8287" s="6"/>
    </row>
    <row r="8288" spans="3:11" x14ac:dyDescent="0.25">
      <c r="C8288" s="6"/>
      <c r="G8288" s="6"/>
      <c r="K8288" s="6"/>
    </row>
    <row r="8289" spans="3:11" x14ac:dyDescent="0.25">
      <c r="C8289" s="6"/>
      <c r="G8289" s="6"/>
      <c r="K8289" s="6"/>
    </row>
    <row r="8290" spans="3:11" x14ac:dyDescent="0.25">
      <c r="C8290" s="6"/>
      <c r="G8290" s="6"/>
      <c r="K8290" s="6"/>
    </row>
    <row r="8291" spans="3:11" x14ac:dyDescent="0.25">
      <c r="C8291" s="6"/>
      <c r="G8291" s="6"/>
      <c r="K8291" s="6"/>
    </row>
    <row r="8292" spans="3:11" x14ac:dyDescent="0.25">
      <c r="C8292" s="6"/>
      <c r="G8292" s="6"/>
      <c r="K8292" s="6"/>
    </row>
    <row r="8293" spans="3:11" x14ac:dyDescent="0.25">
      <c r="C8293" s="6"/>
      <c r="G8293" s="6"/>
      <c r="K8293" s="6"/>
    </row>
    <row r="8294" spans="3:11" x14ac:dyDescent="0.25">
      <c r="C8294" s="6"/>
      <c r="G8294" s="6"/>
      <c r="K8294" s="6"/>
    </row>
    <row r="8295" spans="3:11" x14ac:dyDescent="0.25">
      <c r="C8295" s="6"/>
      <c r="G8295" s="6"/>
      <c r="K8295" s="6"/>
    </row>
    <row r="8296" spans="3:11" x14ac:dyDescent="0.25">
      <c r="C8296" s="6"/>
      <c r="G8296" s="6"/>
      <c r="K8296" s="6"/>
    </row>
    <row r="8297" spans="3:11" x14ac:dyDescent="0.25">
      <c r="C8297" s="6"/>
      <c r="G8297" s="6"/>
      <c r="K8297" s="6"/>
    </row>
    <row r="8298" spans="3:11" x14ac:dyDescent="0.25">
      <c r="C8298" s="6"/>
      <c r="G8298" s="6"/>
      <c r="K8298" s="6"/>
    </row>
    <row r="8299" spans="3:11" x14ac:dyDescent="0.25">
      <c r="C8299" s="6"/>
      <c r="G8299" s="6"/>
      <c r="K8299" s="6"/>
    </row>
    <row r="8300" spans="3:11" x14ac:dyDescent="0.25">
      <c r="C8300" s="6"/>
      <c r="G8300" s="6"/>
      <c r="K8300" s="6"/>
    </row>
    <row r="8301" spans="3:11" x14ac:dyDescent="0.25">
      <c r="C8301" s="6"/>
      <c r="G8301" s="6"/>
      <c r="K8301" s="6"/>
    </row>
    <row r="8302" spans="3:11" x14ac:dyDescent="0.25">
      <c r="C8302" s="6"/>
      <c r="G8302" s="6"/>
      <c r="K8302" s="6"/>
    </row>
    <row r="8303" spans="3:11" x14ac:dyDescent="0.25">
      <c r="C8303" s="6"/>
      <c r="G8303" s="6"/>
      <c r="K8303" s="6"/>
    </row>
    <row r="8304" spans="3:11" x14ac:dyDescent="0.25">
      <c r="C8304" s="6"/>
      <c r="G8304" s="6"/>
      <c r="K8304" s="6"/>
    </row>
    <row r="8305" spans="3:11" x14ac:dyDescent="0.25">
      <c r="C8305" s="6"/>
      <c r="G8305" s="6"/>
      <c r="K8305" s="6"/>
    </row>
    <row r="8306" spans="3:11" x14ac:dyDescent="0.25">
      <c r="C8306" s="6"/>
      <c r="G8306" s="6"/>
      <c r="K8306" s="6"/>
    </row>
    <row r="8307" spans="3:11" x14ac:dyDescent="0.25">
      <c r="C8307" s="6"/>
      <c r="G8307" s="6"/>
      <c r="K8307" s="6"/>
    </row>
    <row r="8308" spans="3:11" x14ac:dyDescent="0.25">
      <c r="C8308" s="6"/>
      <c r="G8308" s="6"/>
      <c r="K8308" s="6"/>
    </row>
    <row r="8309" spans="3:11" x14ac:dyDescent="0.25">
      <c r="C8309" s="6"/>
      <c r="G8309" s="6"/>
      <c r="K8309" s="6"/>
    </row>
    <row r="8310" spans="3:11" x14ac:dyDescent="0.25">
      <c r="C8310" s="6"/>
      <c r="G8310" s="6"/>
      <c r="K8310" s="6"/>
    </row>
    <row r="8311" spans="3:11" x14ac:dyDescent="0.25">
      <c r="C8311" s="6"/>
      <c r="G8311" s="6"/>
      <c r="K8311" s="6"/>
    </row>
    <row r="8312" spans="3:11" x14ac:dyDescent="0.25">
      <c r="C8312" s="6"/>
      <c r="G8312" s="6"/>
      <c r="K8312" s="6"/>
    </row>
    <row r="8313" spans="3:11" x14ac:dyDescent="0.25">
      <c r="C8313" s="6"/>
      <c r="G8313" s="6"/>
      <c r="K8313" s="6"/>
    </row>
    <row r="8314" spans="3:11" x14ac:dyDescent="0.25">
      <c r="C8314" s="6"/>
      <c r="G8314" s="6"/>
      <c r="K8314" s="6"/>
    </row>
    <row r="8315" spans="3:11" x14ac:dyDescent="0.25">
      <c r="C8315" s="6"/>
      <c r="G8315" s="6"/>
      <c r="K8315" s="6"/>
    </row>
    <row r="8316" spans="3:11" x14ac:dyDescent="0.25">
      <c r="C8316" s="6"/>
      <c r="G8316" s="6"/>
      <c r="K8316" s="6"/>
    </row>
    <row r="8317" spans="3:11" x14ac:dyDescent="0.25">
      <c r="C8317" s="6"/>
      <c r="G8317" s="6"/>
      <c r="K8317" s="6"/>
    </row>
    <row r="8318" spans="3:11" x14ac:dyDescent="0.25">
      <c r="C8318" s="6"/>
      <c r="G8318" s="6"/>
      <c r="K8318" s="6"/>
    </row>
    <row r="8319" spans="3:11" x14ac:dyDescent="0.25">
      <c r="C8319" s="6"/>
      <c r="G8319" s="6"/>
      <c r="K8319" s="6"/>
    </row>
    <row r="8320" spans="3:11" x14ac:dyDescent="0.25">
      <c r="C8320" s="6"/>
      <c r="G8320" s="6"/>
      <c r="K8320" s="6"/>
    </row>
    <row r="8321" spans="3:11" x14ac:dyDescent="0.25">
      <c r="C8321" s="6"/>
      <c r="G8321" s="6"/>
      <c r="K8321" s="6"/>
    </row>
    <row r="8322" spans="3:11" x14ac:dyDescent="0.25">
      <c r="C8322" s="6"/>
      <c r="G8322" s="6"/>
      <c r="K8322" s="6"/>
    </row>
    <row r="8323" spans="3:11" x14ac:dyDescent="0.25">
      <c r="C8323" s="6"/>
      <c r="G8323" s="6"/>
      <c r="K8323" s="6"/>
    </row>
    <row r="8324" spans="3:11" x14ac:dyDescent="0.25">
      <c r="C8324" s="6"/>
      <c r="G8324" s="6"/>
      <c r="K8324" s="6"/>
    </row>
    <row r="8325" spans="3:11" x14ac:dyDescent="0.25">
      <c r="C8325" s="6"/>
      <c r="G8325" s="6"/>
      <c r="K8325" s="6"/>
    </row>
    <row r="8326" spans="3:11" x14ac:dyDescent="0.25">
      <c r="C8326" s="6"/>
      <c r="G8326" s="6"/>
      <c r="K8326" s="6"/>
    </row>
    <row r="8327" spans="3:11" x14ac:dyDescent="0.25">
      <c r="C8327" s="6"/>
      <c r="G8327" s="6"/>
      <c r="K8327" s="6"/>
    </row>
    <row r="8328" spans="3:11" x14ac:dyDescent="0.25">
      <c r="C8328" s="6"/>
      <c r="G8328" s="6"/>
      <c r="K8328" s="6"/>
    </row>
    <row r="8329" spans="3:11" x14ac:dyDescent="0.25">
      <c r="C8329" s="6"/>
      <c r="G8329" s="6"/>
      <c r="K8329" s="6"/>
    </row>
    <row r="8330" spans="3:11" x14ac:dyDescent="0.25">
      <c r="C8330" s="6"/>
      <c r="G8330" s="6"/>
      <c r="K8330" s="6"/>
    </row>
    <row r="8331" spans="3:11" x14ac:dyDescent="0.25">
      <c r="C8331" s="6"/>
      <c r="G8331" s="6"/>
      <c r="K8331" s="6"/>
    </row>
    <row r="8332" spans="3:11" x14ac:dyDescent="0.25">
      <c r="C8332" s="6"/>
      <c r="G8332" s="6"/>
      <c r="K8332" s="6"/>
    </row>
    <row r="8333" spans="3:11" x14ac:dyDescent="0.25">
      <c r="C8333" s="6"/>
      <c r="G8333" s="6"/>
      <c r="K8333" s="6"/>
    </row>
    <row r="8334" spans="3:11" x14ac:dyDescent="0.25">
      <c r="C8334" s="6"/>
      <c r="G8334" s="6"/>
      <c r="K8334" s="6"/>
    </row>
    <row r="8335" spans="3:11" x14ac:dyDescent="0.25">
      <c r="C8335" s="6"/>
      <c r="G8335" s="6"/>
      <c r="K8335" s="6"/>
    </row>
    <row r="8336" spans="3:11" x14ac:dyDescent="0.25">
      <c r="C8336" s="6"/>
      <c r="G8336" s="6"/>
      <c r="K8336" s="6"/>
    </row>
    <row r="8337" spans="3:11" x14ac:dyDescent="0.25">
      <c r="C8337" s="6"/>
      <c r="G8337" s="6"/>
      <c r="K8337" s="6"/>
    </row>
    <row r="8338" spans="3:11" x14ac:dyDescent="0.25">
      <c r="C8338" s="6"/>
      <c r="G8338" s="6"/>
      <c r="K8338" s="6"/>
    </row>
    <row r="8339" spans="3:11" x14ac:dyDescent="0.25">
      <c r="C8339" s="6"/>
      <c r="G8339" s="6"/>
      <c r="K8339" s="6"/>
    </row>
    <row r="8340" spans="3:11" x14ac:dyDescent="0.25">
      <c r="C8340" s="6"/>
      <c r="G8340" s="6"/>
      <c r="K8340" s="6"/>
    </row>
    <row r="8341" spans="3:11" x14ac:dyDescent="0.25">
      <c r="C8341" s="6"/>
      <c r="G8341" s="6"/>
      <c r="K8341" s="6"/>
    </row>
    <row r="8342" spans="3:11" x14ac:dyDescent="0.25">
      <c r="C8342" s="6"/>
      <c r="G8342" s="6"/>
      <c r="K8342" s="6"/>
    </row>
    <row r="8343" spans="3:11" x14ac:dyDescent="0.25">
      <c r="C8343" s="6"/>
      <c r="G8343" s="6"/>
      <c r="K8343" s="6"/>
    </row>
    <row r="8344" spans="3:11" x14ac:dyDescent="0.25">
      <c r="C8344" s="6"/>
      <c r="G8344" s="6"/>
      <c r="K8344" s="6"/>
    </row>
    <row r="8345" spans="3:11" x14ac:dyDescent="0.25">
      <c r="C8345" s="6"/>
      <c r="G8345" s="6"/>
      <c r="K8345" s="6"/>
    </row>
    <row r="8346" spans="3:11" x14ac:dyDescent="0.25">
      <c r="C8346" s="6"/>
      <c r="G8346" s="6"/>
      <c r="K8346" s="6"/>
    </row>
    <row r="8347" spans="3:11" x14ac:dyDescent="0.25">
      <c r="C8347" s="6"/>
      <c r="G8347" s="6"/>
      <c r="K8347" s="6"/>
    </row>
    <row r="8348" spans="3:11" x14ac:dyDescent="0.25">
      <c r="C8348" s="6"/>
      <c r="G8348" s="6"/>
      <c r="K8348" s="6"/>
    </row>
    <row r="8349" spans="3:11" x14ac:dyDescent="0.25">
      <c r="C8349" s="6"/>
      <c r="G8349" s="6"/>
      <c r="K8349" s="6"/>
    </row>
    <row r="8350" spans="3:11" x14ac:dyDescent="0.25">
      <c r="C8350" s="6"/>
      <c r="G8350" s="6"/>
      <c r="K8350" s="6"/>
    </row>
    <row r="8351" spans="3:11" x14ac:dyDescent="0.25">
      <c r="C8351" s="6"/>
      <c r="G8351" s="6"/>
      <c r="K8351" s="6"/>
    </row>
    <row r="8352" spans="3:11" x14ac:dyDescent="0.25">
      <c r="C8352" s="6"/>
      <c r="G8352" s="6"/>
      <c r="K8352" s="6"/>
    </row>
    <row r="8353" spans="3:11" x14ac:dyDescent="0.25">
      <c r="C8353" s="6"/>
      <c r="G8353" s="6"/>
      <c r="K8353" s="6"/>
    </row>
    <row r="8354" spans="3:11" x14ac:dyDescent="0.25">
      <c r="C8354" s="6"/>
      <c r="G8354" s="6"/>
      <c r="K8354" s="6"/>
    </row>
    <row r="8355" spans="3:11" x14ac:dyDescent="0.25">
      <c r="C8355" s="6"/>
      <c r="G8355" s="6"/>
      <c r="K8355" s="6"/>
    </row>
    <row r="8356" spans="3:11" x14ac:dyDescent="0.25">
      <c r="C8356" s="6"/>
      <c r="G8356" s="6"/>
      <c r="K8356" s="6"/>
    </row>
    <row r="8357" spans="3:11" x14ac:dyDescent="0.25">
      <c r="C8357" s="6"/>
      <c r="G8357" s="6"/>
      <c r="K8357" s="6"/>
    </row>
    <row r="8358" spans="3:11" x14ac:dyDescent="0.25">
      <c r="C8358" s="6"/>
      <c r="G8358" s="6"/>
      <c r="K8358" s="6"/>
    </row>
    <row r="8359" spans="3:11" x14ac:dyDescent="0.25">
      <c r="C8359" s="6"/>
      <c r="G8359" s="6"/>
      <c r="K8359" s="6"/>
    </row>
    <row r="8360" spans="3:11" x14ac:dyDescent="0.25">
      <c r="C8360" s="6"/>
      <c r="G8360" s="6"/>
      <c r="K8360" s="6"/>
    </row>
    <row r="8361" spans="3:11" x14ac:dyDescent="0.25">
      <c r="C8361" s="6"/>
      <c r="G8361" s="6"/>
      <c r="K8361" s="6"/>
    </row>
    <row r="8362" spans="3:11" x14ac:dyDescent="0.25">
      <c r="C8362" s="6"/>
      <c r="G8362" s="6"/>
      <c r="K8362" s="6"/>
    </row>
    <row r="8363" spans="3:11" x14ac:dyDescent="0.25">
      <c r="C8363" s="6"/>
      <c r="G8363" s="6"/>
      <c r="K8363" s="6"/>
    </row>
    <row r="8364" spans="3:11" x14ac:dyDescent="0.25">
      <c r="C8364" s="6"/>
      <c r="G8364" s="6"/>
      <c r="K8364" s="6"/>
    </row>
    <row r="8365" spans="3:11" x14ac:dyDescent="0.25">
      <c r="C8365" s="6"/>
      <c r="G8365" s="6"/>
      <c r="K8365" s="6"/>
    </row>
    <row r="8366" spans="3:11" x14ac:dyDescent="0.25">
      <c r="C8366" s="6"/>
      <c r="G8366" s="6"/>
      <c r="K8366" s="6"/>
    </row>
    <row r="8367" spans="3:11" x14ac:dyDescent="0.25">
      <c r="C8367" s="6"/>
      <c r="G8367" s="6"/>
      <c r="K8367" s="6"/>
    </row>
    <row r="8368" spans="3:11" x14ac:dyDescent="0.25">
      <c r="C8368" s="6"/>
      <c r="G8368" s="6"/>
      <c r="K8368" s="6"/>
    </row>
    <row r="8369" spans="3:11" x14ac:dyDescent="0.25">
      <c r="C8369" s="6"/>
      <c r="G8369" s="6"/>
      <c r="K8369" s="6"/>
    </row>
    <row r="8370" spans="3:11" x14ac:dyDescent="0.25">
      <c r="C8370" s="6"/>
      <c r="G8370" s="6"/>
      <c r="K8370" s="6"/>
    </row>
    <row r="8371" spans="3:11" x14ac:dyDescent="0.25">
      <c r="C8371" s="6"/>
      <c r="G8371" s="6"/>
      <c r="K8371" s="6"/>
    </row>
    <row r="8372" spans="3:11" x14ac:dyDescent="0.25">
      <c r="C8372" s="6"/>
      <c r="G8372" s="6"/>
      <c r="K8372" s="6"/>
    </row>
    <row r="8373" spans="3:11" x14ac:dyDescent="0.25">
      <c r="C8373" s="6"/>
      <c r="G8373" s="6"/>
      <c r="K8373" s="6"/>
    </row>
    <row r="8374" spans="3:11" x14ac:dyDescent="0.25">
      <c r="C8374" s="6"/>
      <c r="G8374" s="6"/>
      <c r="K8374" s="6"/>
    </row>
    <row r="8375" spans="3:11" x14ac:dyDescent="0.25">
      <c r="C8375" s="6"/>
      <c r="G8375" s="6"/>
      <c r="K8375" s="6"/>
    </row>
    <row r="8376" spans="3:11" x14ac:dyDescent="0.25">
      <c r="C8376" s="6"/>
      <c r="G8376" s="6"/>
      <c r="K8376" s="6"/>
    </row>
    <row r="8377" spans="3:11" x14ac:dyDescent="0.25">
      <c r="C8377" s="6"/>
      <c r="G8377" s="6"/>
      <c r="K8377" s="6"/>
    </row>
    <row r="8378" spans="3:11" x14ac:dyDescent="0.25">
      <c r="C8378" s="6"/>
      <c r="G8378" s="6"/>
      <c r="K8378" s="6"/>
    </row>
    <row r="8379" spans="3:11" x14ac:dyDescent="0.25">
      <c r="C8379" s="6"/>
      <c r="G8379" s="6"/>
      <c r="K8379" s="6"/>
    </row>
    <row r="8380" spans="3:11" x14ac:dyDescent="0.25">
      <c r="C8380" s="6"/>
      <c r="G8380" s="6"/>
      <c r="K8380" s="6"/>
    </row>
    <row r="8381" spans="3:11" x14ac:dyDescent="0.25">
      <c r="C8381" s="6"/>
      <c r="G8381" s="6"/>
      <c r="K8381" s="6"/>
    </row>
    <row r="8382" spans="3:11" x14ac:dyDescent="0.25">
      <c r="C8382" s="6"/>
      <c r="G8382" s="6"/>
      <c r="K8382" s="6"/>
    </row>
    <row r="8383" spans="3:11" x14ac:dyDescent="0.25">
      <c r="C8383" s="6"/>
      <c r="G8383" s="6"/>
      <c r="K8383" s="6"/>
    </row>
    <row r="8384" spans="3:11" x14ac:dyDescent="0.25">
      <c r="C8384" s="6"/>
      <c r="G8384" s="6"/>
      <c r="K8384" s="6"/>
    </row>
    <row r="8385" spans="3:11" x14ac:dyDescent="0.25">
      <c r="C8385" s="6"/>
      <c r="G8385" s="6"/>
      <c r="K8385" s="6"/>
    </row>
    <row r="8386" spans="3:11" x14ac:dyDescent="0.25">
      <c r="C8386" s="6"/>
      <c r="G8386" s="6"/>
      <c r="K8386" s="6"/>
    </row>
    <row r="8387" spans="3:11" x14ac:dyDescent="0.25">
      <c r="C8387" s="6"/>
      <c r="G8387" s="6"/>
      <c r="K8387" s="6"/>
    </row>
    <row r="8388" spans="3:11" x14ac:dyDescent="0.25">
      <c r="C8388" s="6"/>
      <c r="G8388" s="6"/>
      <c r="K8388" s="6"/>
    </row>
    <row r="8389" spans="3:11" x14ac:dyDescent="0.25">
      <c r="C8389" s="6"/>
      <c r="G8389" s="6"/>
      <c r="K8389" s="6"/>
    </row>
    <row r="8390" spans="3:11" x14ac:dyDescent="0.25">
      <c r="C8390" s="6"/>
      <c r="G8390" s="6"/>
      <c r="K8390" s="6"/>
    </row>
    <row r="8391" spans="3:11" x14ac:dyDescent="0.25">
      <c r="C8391" s="6"/>
      <c r="G8391" s="6"/>
      <c r="K8391" s="6"/>
    </row>
    <row r="8392" spans="3:11" x14ac:dyDescent="0.25">
      <c r="C8392" s="6"/>
      <c r="G8392" s="6"/>
      <c r="K8392" s="6"/>
    </row>
    <row r="8393" spans="3:11" x14ac:dyDescent="0.25">
      <c r="C8393" s="6"/>
      <c r="G8393" s="6"/>
      <c r="K8393" s="6"/>
    </row>
    <row r="8394" spans="3:11" x14ac:dyDescent="0.25">
      <c r="C8394" s="6"/>
      <c r="G8394" s="6"/>
      <c r="K8394" s="6"/>
    </row>
    <row r="8395" spans="3:11" x14ac:dyDescent="0.25">
      <c r="C8395" s="6"/>
      <c r="G8395" s="6"/>
      <c r="K8395" s="6"/>
    </row>
    <row r="8396" spans="3:11" x14ac:dyDescent="0.25">
      <c r="C8396" s="6"/>
      <c r="G8396" s="6"/>
      <c r="K8396" s="6"/>
    </row>
    <row r="8397" spans="3:11" x14ac:dyDescent="0.25">
      <c r="C8397" s="6"/>
      <c r="G8397" s="6"/>
      <c r="K8397" s="6"/>
    </row>
    <row r="8398" spans="3:11" x14ac:dyDescent="0.25">
      <c r="C8398" s="6"/>
      <c r="G8398" s="6"/>
      <c r="K8398" s="6"/>
    </row>
    <row r="8399" spans="3:11" x14ac:dyDescent="0.25">
      <c r="C8399" s="6"/>
      <c r="G8399" s="6"/>
      <c r="K8399" s="6"/>
    </row>
    <row r="8400" spans="3:11" x14ac:dyDescent="0.25">
      <c r="C8400" s="6"/>
      <c r="G8400" s="6"/>
      <c r="K8400" s="6"/>
    </row>
    <row r="8401" spans="3:11" x14ac:dyDescent="0.25">
      <c r="C8401" s="6"/>
      <c r="G8401" s="6"/>
      <c r="K8401" s="6"/>
    </row>
    <row r="8402" spans="3:11" x14ac:dyDescent="0.25">
      <c r="C8402" s="6"/>
      <c r="G8402" s="6"/>
      <c r="K8402" s="6"/>
    </row>
    <row r="8403" spans="3:11" x14ac:dyDescent="0.25">
      <c r="C8403" s="6"/>
      <c r="G8403" s="6"/>
      <c r="K8403" s="6"/>
    </row>
    <row r="8404" spans="3:11" x14ac:dyDescent="0.25">
      <c r="C8404" s="6"/>
      <c r="G8404" s="6"/>
      <c r="K8404" s="6"/>
    </row>
    <row r="8405" spans="3:11" x14ac:dyDescent="0.25">
      <c r="C8405" s="6"/>
      <c r="G8405" s="6"/>
      <c r="K8405" s="6"/>
    </row>
    <row r="8406" spans="3:11" x14ac:dyDescent="0.25">
      <c r="C8406" s="6"/>
      <c r="G8406" s="6"/>
      <c r="K8406" s="6"/>
    </row>
    <row r="8407" spans="3:11" x14ac:dyDescent="0.25">
      <c r="C8407" s="6"/>
      <c r="G8407" s="6"/>
      <c r="K8407" s="6"/>
    </row>
    <row r="8408" spans="3:11" x14ac:dyDescent="0.25">
      <c r="C8408" s="6"/>
      <c r="G8408" s="6"/>
      <c r="K8408" s="6"/>
    </row>
    <row r="8409" spans="3:11" x14ac:dyDescent="0.25">
      <c r="C8409" s="6"/>
      <c r="G8409" s="6"/>
      <c r="K8409" s="6"/>
    </row>
    <row r="8410" spans="3:11" x14ac:dyDescent="0.25">
      <c r="C8410" s="6"/>
      <c r="G8410" s="6"/>
      <c r="K8410" s="6"/>
    </row>
    <row r="8411" spans="3:11" x14ac:dyDescent="0.25">
      <c r="C8411" s="6"/>
      <c r="G8411" s="6"/>
      <c r="K8411" s="6"/>
    </row>
    <row r="8412" spans="3:11" x14ac:dyDescent="0.25">
      <c r="C8412" s="6"/>
      <c r="G8412" s="6"/>
      <c r="K8412" s="6"/>
    </row>
    <row r="8413" spans="3:11" x14ac:dyDescent="0.25">
      <c r="C8413" s="6"/>
      <c r="G8413" s="6"/>
      <c r="K8413" s="6"/>
    </row>
    <row r="8414" spans="3:11" x14ac:dyDescent="0.25">
      <c r="C8414" s="6"/>
      <c r="G8414" s="6"/>
      <c r="K8414" s="6"/>
    </row>
    <row r="8415" spans="3:11" x14ac:dyDescent="0.25">
      <c r="C8415" s="6"/>
      <c r="G8415" s="6"/>
      <c r="K8415" s="6"/>
    </row>
    <row r="8416" spans="3:11" x14ac:dyDescent="0.25">
      <c r="C8416" s="6"/>
      <c r="G8416" s="6"/>
      <c r="K8416" s="6"/>
    </row>
    <row r="8417" spans="3:11" x14ac:dyDescent="0.25">
      <c r="C8417" s="6"/>
      <c r="G8417" s="6"/>
      <c r="K8417" s="6"/>
    </row>
    <row r="8418" spans="3:11" x14ac:dyDescent="0.25">
      <c r="C8418" s="6"/>
      <c r="G8418" s="6"/>
      <c r="K8418" s="6"/>
    </row>
    <row r="8419" spans="3:11" x14ac:dyDescent="0.25">
      <c r="C8419" s="6"/>
      <c r="G8419" s="6"/>
      <c r="K8419" s="6"/>
    </row>
    <row r="8420" spans="3:11" x14ac:dyDescent="0.25">
      <c r="C8420" s="6"/>
      <c r="G8420" s="6"/>
      <c r="K8420" s="6"/>
    </row>
    <row r="8421" spans="3:11" x14ac:dyDescent="0.25">
      <c r="C8421" s="6"/>
      <c r="G8421" s="6"/>
      <c r="K8421" s="6"/>
    </row>
    <row r="8422" spans="3:11" x14ac:dyDescent="0.25">
      <c r="C8422" s="6"/>
      <c r="G8422" s="6"/>
      <c r="K8422" s="6"/>
    </row>
    <row r="8423" spans="3:11" x14ac:dyDescent="0.25">
      <c r="C8423" s="6"/>
      <c r="G8423" s="6"/>
      <c r="K8423" s="6"/>
    </row>
    <row r="8424" spans="3:11" x14ac:dyDescent="0.25">
      <c r="C8424" s="6"/>
      <c r="G8424" s="6"/>
      <c r="K8424" s="6"/>
    </row>
    <row r="8425" spans="3:11" x14ac:dyDescent="0.25">
      <c r="C8425" s="6"/>
      <c r="G8425" s="6"/>
      <c r="K8425" s="6"/>
    </row>
    <row r="8426" spans="3:11" x14ac:dyDescent="0.25">
      <c r="C8426" s="6"/>
      <c r="G8426" s="6"/>
      <c r="K8426" s="6"/>
    </row>
    <row r="8427" spans="3:11" x14ac:dyDescent="0.25">
      <c r="C8427" s="6"/>
      <c r="G8427" s="6"/>
      <c r="K8427" s="6"/>
    </row>
    <row r="8428" spans="3:11" x14ac:dyDescent="0.25">
      <c r="C8428" s="6"/>
      <c r="G8428" s="6"/>
      <c r="K8428" s="6"/>
    </row>
    <row r="8429" spans="3:11" x14ac:dyDescent="0.25">
      <c r="C8429" s="6"/>
      <c r="G8429" s="6"/>
      <c r="K8429" s="6"/>
    </row>
    <row r="8430" spans="3:11" x14ac:dyDescent="0.25">
      <c r="C8430" s="6"/>
      <c r="G8430" s="6"/>
      <c r="K8430" s="6"/>
    </row>
    <row r="8431" spans="3:11" x14ac:dyDescent="0.25">
      <c r="C8431" s="6"/>
      <c r="G8431" s="6"/>
      <c r="K8431" s="6"/>
    </row>
    <row r="8432" spans="3:11" x14ac:dyDescent="0.25">
      <c r="C8432" s="6"/>
      <c r="G8432" s="6"/>
      <c r="K8432" s="6"/>
    </row>
    <row r="8433" spans="3:11" x14ac:dyDescent="0.25">
      <c r="C8433" s="6"/>
      <c r="G8433" s="6"/>
      <c r="K8433" s="6"/>
    </row>
    <row r="8434" spans="3:11" x14ac:dyDescent="0.25">
      <c r="C8434" s="6"/>
      <c r="G8434" s="6"/>
      <c r="K8434" s="6"/>
    </row>
    <row r="8435" spans="3:11" x14ac:dyDescent="0.25">
      <c r="C8435" s="6"/>
      <c r="G8435" s="6"/>
      <c r="K8435" s="6"/>
    </row>
    <row r="8436" spans="3:11" x14ac:dyDescent="0.25">
      <c r="C8436" s="6"/>
      <c r="G8436" s="6"/>
      <c r="K8436" s="6"/>
    </row>
    <row r="8437" spans="3:11" x14ac:dyDescent="0.25">
      <c r="C8437" s="6"/>
      <c r="G8437" s="6"/>
      <c r="K8437" s="6"/>
    </row>
    <row r="8438" spans="3:11" x14ac:dyDescent="0.25">
      <c r="C8438" s="6"/>
      <c r="G8438" s="6"/>
      <c r="K8438" s="6"/>
    </row>
    <row r="8439" spans="3:11" x14ac:dyDescent="0.25">
      <c r="C8439" s="6"/>
      <c r="G8439" s="6"/>
      <c r="K8439" s="6"/>
    </row>
    <row r="8440" spans="3:11" x14ac:dyDescent="0.25">
      <c r="C8440" s="6"/>
      <c r="G8440" s="6"/>
      <c r="K8440" s="6"/>
    </row>
    <row r="8441" spans="3:11" x14ac:dyDescent="0.25">
      <c r="C8441" s="6"/>
      <c r="G8441" s="6"/>
      <c r="K8441" s="6"/>
    </row>
    <row r="8442" spans="3:11" x14ac:dyDescent="0.25">
      <c r="C8442" s="6"/>
      <c r="G8442" s="6"/>
      <c r="K8442" s="6"/>
    </row>
    <row r="8443" spans="3:11" x14ac:dyDescent="0.25">
      <c r="C8443" s="6"/>
      <c r="G8443" s="6"/>
      <c r="K8443" s="6"/>
    </row>
    <row r="8444" spans="3:11" x14ac:dyDescent="0.25">
      <c r="C8444" s="6"/>
      <c r="G8444" s="6"/>
      <c r="K8444" s="6"/>
    </row>
    <row r="8445" spans="3:11" x14ac:dyDescent="0.25">
      <c r="C8445" s="6"/>
      <c r="G8445" s="6"/>
      <c r="K8445" s="6"/>
    </row>
    <row r="8446" spans="3:11" x14ac:dyDescent="0.25">
      <c r="C8446" s="6"/>
      <c r="G8446" s="6"/>
      <c r="K8446" s="6"/>
    </row>
    <row r="8447" spans="3:11" x14ac:dyDescent="0.25">
      <c r="C8447" s="6"/>
      <c r="G8447" s="6"/>
      <c r="K8447" s="6"/>
    </row>
    <row r="8448" spans="3:11" x14ac:dyDescent="0.25">
      <c r="C8448" s="6"/>
      <c r="G8448" s="6"/>
      <c r="K8448" s="6"/>
    </row>
    <row r="8449" spans="3:11" x14ac:dyDescent="0.25">
      <c r="C8449" s="6"/>
      <c r="G8449" s="6"/>
      <c r="K8449" s="6"/>
    </row>
    <row r="8450" spans="3:11" x14ac:dyDescent="0.25">
      <c r="C8450" s="6"/>
      <c r="G8450" s="6"/>
      <c r="K8450" s="6"/>
    </row>
    <row r="8451" spans="3:11" x14ac:dyDescent="0.25">
      <c r="C8451" s="6"/>
      <c r="G8451" s="6"/>
      <c r="K8451" s="6"/>
    </row>
    <row r="8452" spans="3:11" x14ac:dyDescent="0.25">
      <c r="C8452" s="6"/>
      <c r="G8452" s="6"/>
      <c r="K8452" s="6"/>
    </row>
    <row r="8453" spans="3:11" x14ac:dyDescent="0.25">
      <c r="C8453" s="6"/>
      <c r="G8453" s="6"/>
      <c r="K8453" s="6"/>
    </row>
    <row r="8454" spans="3:11" x14ac:dyDescent="0.25">
      <c r="C8454" s="6"/>
      <c r="G8454" s="6"/>
      <c r="K8454" s="6"/>
    </row>
    <row r="8455" spans="3:11" x14ac:dyDescent="0.25">
      <c r="C8455" s="6"/>
      <c r="G8455" s="6"/>
      <c r="K8455" s="6"/>
    </row>
    <row r="8456" spans="3:11" x14ac:dyDescent="0.25">
      <c r="C8456" s="6"/>
      <c r="G8456" s="6"/>
      <c r="K8456" s="6"/>
    </row>
    <row r="8457" spans="3:11" x14ac:dyDescent="0.25">
      <c r="C8457" s="6"/>
      <c r="G8457" s="6"/>
      <c r="K8457" s="6"/>
    </row>
    <row r="8458" spans="3:11" x14ac:dyDescent="0.25">
      <c r="C8458" s="6"/>
      <c r="G8458" s="6"/>
      <c r="K8458" s="6"/>
    </row>
    <row r="8459" spans="3:11" x14ac:dyDescent="0.25">
      <c r="C8459" s="6"/>
      <c r="G8459" s="6"/>
      <c r="K8459" s="6"/>
    </row>
    <row r="8460" spans="3:11" x14ac:dyDescent="0.25">
      <c r="C8460" s="6"/>
      <c r="G8460" s="6"/>
      <c r="K8460" s="6"/>
    </row>
    <row r="8461" spans="3:11" x14ac:dyDescent="0.25">
      <c r="C8461" s="6"/>
      <c r="G8461" s="6"/>
      <c r="K8461" s="6"/>
    </row>
    <row r="8462" spans="3:11" x14ac:dyDescent="0.25">
      <c r="C8462" s="6"/>
      <c r="G8462" s="6"/>
      <c r="K8462" s="6"/>
    </row>
    <row r="8463" spans="3:11" x14ac:dyDescent="0.25">
      <c r="C8463" s="6"/>
      <c r="G8463" s="6"/>
      <c r="K8463" s="6"/>
    </row>
    <row r="8464" spans="3:11" x14ac:dyDescent="0.25">
      <c r="C8464" s="6"/>
      <c r="G8464" s="6"/>
      <c r="K8464" s="6"/>
    </row>
    <row r="8465" spans="3:11" x14ac:dyDescent="0.25">
      <c r="C8465" s="6"/>
      <c r="G8465" s="6"/>
      <c r="K8465" s="6"/>
    </row>
    <row r="8466" spans="3:11" x14ac:dyDescent="0.25">
      <c r="C8466" s="6"/>
      <c r="G8466" s="6"/>
      <c r="K8466" s="6"/>
    </row>
    <row r="8467" spans="3:11" x14ac:dyDescent="0.25">
      <c r="C8467" s="6"/>
      <c r="G8467" s="6"/>
      <c r="K8467" s="6"/>
    </row>
    <row r="8468" spans="3:11" x14ac:dyDescent="0.25">
      <c r="C8468" s="6"/>
      <c r="G8468" s="6"/>
      <c r="K8468" s="6"/>
    </row>
    <row r="8469" spans="3:11" x14ac:dyDescent="0.25">
      <c r="C8469" s="6"/>
      <c r="G8469" s="6"/>
      <c r="K8469" s="6"/>
    </row>
    <row r="8470" spans="3:11" x14ac:dyDescent="0.25">
      <c r="C8470" s="6"/>
      <c r="G8470" s="6"/>
      <c r="K8470" s="6"/>
    </row>
    <row r="8471" spans="3:11" x14ac:dyDescent="0.25">
      <c r="C8471" s="6"/>
      <c r="G8471" s="6"/>
      <c r="K8471" s="6"/>
    </row>
    <row r="8472" spans="3:11" x14ac:dyDescent="0.25">
      <c r="C8472" s="6"/>
      <c r="G8472" s="6"/>
      <c r="K8472" s="6"/>
    </row>
    <row r="8473" spans="3:11" x14ac:dyDescent="0.25">
      <c r="C8473" s="6"/>
      <c r="G8473" s="6"/>
      <c r="K8473" s="6"/>
    </row>
    <row r="8474" spans="3:11" x14ac:dyDescent="0.25">
      <c r="C8474" s="6"/>
      <c r="G8474" s="6"/>
      <c r="K8474" s="6"/>
    </row>
    <row r="8475" spans="3:11" x14ac:dyDescent="0.25">
      <c r="C8475" s="6"/>
      <c r="G8475" s="6"/>
      <c r="K8475" s="6"/>
    </row>
    <row r="8476" spans="3:11" x14ac:dyDescent="0.25">
      <c r="C8476" s="6"/>
      <c r="G8476" s="6"/>
      <c r="K8476" s="6"/>
    </row>
    <row r="8477" spans="3:11" x14ac:dyDescent="0.25">
      <c r="C8477" s="6"/>
      <c r="G8477" s="6"/>
      <c r="K8477" s="6"/>
    </row>
    <row r="8478" spans="3:11" x14ac:dyDescent="0.25">
      <c r="C8478" s="6"/>
      <c r="G8478" s="6"/>
      <c r="K8478" s="6"/>
    </row>
    <row r="8479" spans="3:11" x14ac:dyDescent="0.25">
      <c r="C8479" s="6"/>
      <c r="G8479" s="6"/>
      <c r="K8479" s="6"/>
    </row>
    <row r="8480" spans="3:11" x14ac:dyDescent="0.25">
      <c r="C8480" s="6"/>
      <c r="G8480" s="6"/>
      <c r="K8480" s="6"/>
    </row>
    <row r="8481" spans="3:11" x14ac:dyDescent="0.25">
      <c r="C8481" s="6"/>
      <c r="G8481" s="6"/>
      <c r="K8481" s="6"/>
    </row>
    <row r="8482" spans="3:11" x14ac:dyDescent="0.25">
      <c r="C8482" s="6"/>
      <c r="G8482" s="6"/>
      <c r="K8482" s="6"/>
    </row>
    <row r="8483" spans="3:11" x14ac:dyDescent="0.25">
      <c r="C8483" s="6"/>
      <c r="G8483" s="6"/>
      <c r="K8483" s="6"/>
    </row>
    <row r="8484" spans="3:11" x14ac:dyDescent="0.25">
      <c r="C8484" s="6"/>
      <c r="G8484" s="6"/>
      <c r="K8484" s="6"/>
    </row>
    <row r="8485" spans="3:11" x14ac:dyDescent="0.25">
      <c r="C8485" s="6"/>
      <c r="G8485" s="6"/>
      <c r="K8485" s="6"/>
    </row>
    <row r="8486" spans="3:11" x14ac:dyDescent="0.25">
      <c r="C8486" s="6"/>
      <c r="G8486" s="6"/>
      <c r="K8486" s="6"/>
    </row>
    <row r="8487" spans="3:11" x14ac:dyDescent="0.25">
      <c r="C8487" s="6"/>
      <c r="G8487" s="6"/>
      <c r="K8487" s="6"/>
    </row>
    <row r="8488" spans="3:11" x14ac:dyDescent="0.25">
      <c r="C8488" s="6"/>
      <c r="G8488" s="6"/>
      <c r="K8488" s="6"/>
    </row>
    <row r="8489" spans="3:11" x14ac:dyDescent="0.25">
      <c r="C8489" s="6"/>
      <c r="G8489" s="6"/>
      <c r="K8489" s="6"/>
    </row>
    <row r="8490" spans="3:11" x14ac:dyDescent="0.25">
      <c r="C8490" s="6"/>
      <c r="G8490" s="6"/>
      <c r="K8490" s="6"/>
    </row>
    <row r="8491" spans="3:11" x14ac:dyDescent="0.25">
      <c r="C8491" s="6"/>
      <c r="G8491" s="6"/>
      <c r="K8491" s="6"/>
    </row>
    <row r="8492" spans="3:11" x14ac:dyDescent="0.25">
      <c r="C8492" s="6"/>
      <c r="G8492" s="6"/>
      <c r="K8492" s="6"/>
    </row>
    <row r="8493" spans="3:11" x14ac:dyDescent="0.25">
      <c r="C8493" s="6"/>
      <c r="G8493" s="6"/>
      <c r="K8493" s="6"/>
    </row>
    <row r="8494" spans="3:11" x14ac:dyDescent="0.25">
      <c r="C8494" s="6"/>
      <c r="G8494" s="6"/>
      <c r="K8494" s="6"/>
    </row>
    <row r="8495" spans="3:11" x14ac:dyDescent="0.25">
      <c r="C8495" s="6"/>
      <c r="G8495" s="6"/>
      <c r="K8495" s="6"/>
    </row>
    <row r="8496" spans="3:11" x14ac:dyDescent="0.25">
      <c r="C8496" s="6"/>
      <c r="G8496" s="6"/>
      <c r="K8496" s="6"/>
    </row>
    <row r="8497" spans="3:11" x14ac:dyDescent="0.25">
      <c r="C8497" s="6"/>
      <c r="G8497" s="6"/>
      <c r="K8497" s="6"/>
    </row>
    <row r="8498" spans="3:11" x14ac:dyDescent="0.25">
      <c r="C8498" s="6"/>
      <c r="G8498" s="6"/>
      <c r="K8498" s="6"/>
    </row>
    <row r="8499" spans="3:11" x14ac:dyDescent="0.25">
      <c r="C8499" s="6"/>
      <c r="G8499" s="6"/>
      <c r="K8499" s="6"/>
    </row>
    <row r="8500" spans="3:11" x14ac:dyDescent="0.25">
      <c r="C8500" s="6"/>
      <c r="G8500" s="6"/>
      <c r="K8500" s="6"/>
    </row>
    <row r="8501" spans="3:11" x14ac:dyDescent="0.25">
      <c r="C8501" s="6"/>
      <c r="G8501" s="6"/>
      <c r="K8501" s="6"/>
    </row>
    <row r="8502" spans="3:11" x14ac:dyDescent="0.25">
      <c r="C8502" s="6"/>
      <c r="G8502" s="6"/>
      <c r="K8502" s="6"/>
    </row>
    <row r="8503" spans="3:11" x14ac:dyDescent="0.25">
      <c r="C8503" s="6"/>
      <c r="G8503" s="6"/>
      <c r="K8503" s="6"/>
    </row>
    <row r="8504" spans="3:11" x14ac:dyDescent="0.25">
      <c r="C8504" s="6"/>
      <c r="G8504" s="6"/>
      <c r="K8504" s="6"/>
    </row>
    <row r="8505" spans="3:11" x14ac:dyDescent="0.25">
      <c r="C8505" s="6"/>
      <c r="G8505" s="6"/>
      <c r="K8505" s="6"/>
    </row>
    <row r="8506" spans="3:11" x14ac:dyDescent="0.25">
      <c r="C8506" s="6"/>
      <c r="G8506" s="6"/>
      <c r="K8506" s="6"/>
    </row>
    <row r="8507" spans="3:11" x14ac:dyDescent="0.25">
      <c r="C8507" s="6"/>
      <c r="G8507" s="6"/>
      <c r="K8507" s="6"/>
    </row>
    <row r="8508" spans="3:11" x14ac:dyDescent="0.25">
      <c r="C8508" s="6"/>
      <c r="G8508" s="6"/>
      <c r="K8508" s="6"/>
    </row>
    <row r="8509" spans="3:11" x14ac:dyDescent="0.25">
      <c r="C8509" s="6"/>
      <c r="G8509" s="6"/>
      <c r="K8509" s="6"/>
    </row>
    <row r="8510" spans="3:11" x14ac:dyDescent="0.25">
      <c r="C8510" s="6"/>
      <c r="G8510" s="6"/>
      <c r="K8510" s="6"/>
    </row>
    <row r="8511" spans="3:11" x14ac:dyDescent="0.25">
      <c r="C8511" s="6"/>
      <c r="G8511" s="6"/>
      <c r="K8511" s="6"/>
    </row>
    <row r="8512" spans="3:11" x14ac:dyDescent="0.25">
      <c r="C8512" s="6"/>
      <c r="G8512" s="6"/>
      <c r="K8512" s="6"/>
    </row>
    <row r="8513" spans="3:11" x14ac:dyDescent="0.25">
      <c r="C8513" s="6"/>
      <c r="G8513" s="6"/>
      <c r="K8513" s="6"/>
    </row>
    <row r="8514" spans="3:11" x14ac:dyDescent="0.25">
      <c r="C8514" s="6"/>
      <c r="G8514" s="6"/>
      <c r="K8514" s="6"/>
    </row>
    <row r="8515" spans="3:11" x14ac:dyDescent="0.25">
      <c r="C8515" s="6"/>
      <c r="G8515" s="6"/>
      <c r="K8515" s="6"/>
    </row>
    <row r="8516" spans="3:11" x14ac:dyDescent="0.25">
      <c r="C8516" s="6"/>
      <c r="G8516" s="6"/>
      <c r="K8516" s="6"/>
    </row>
    <row r="8517" spans="3:11" x14ac:dyDescent="0.25">
      <c r="C8517" s="6"/>
      <c r="G8517" s="6"/>
      <c r="K8517" s="6"/>
    </row>
    <row r="8518" spans="3:11" x14ac:dyDescent="0.25">
      <c r="C8518" s="6"/>
      <c r="G8518" s="6"/>
      <c r="K8518" s="6"/>
    </row>
    <row r="8519" spans="3:11" x14ac:dyDescent="0.25">
      <c r="C8519" s="6"/>
      <c r="G8519" s="6"/>
      <c r="K8519" s="6"/>
    </row>
    <row r="8520" spans="3:11" x14ac:dyDescent="0.25">
      <c r="C8520" s="6"/>
      <c r="G8520" s="6"/>
      <c r="K8520" s="6"/>
    </row>
    <row r="8521" spans="3:11" x14ac:dyDescent="0.25">
      <c r="C8521" s="6"/>
      <c r="G8521" s="6"/>
      <c r="K8521" s="6"/>
    </row>
    <row r="8522" spans="3:11" x14ac:dyDescent="0.25">
      <c r="C8522" s="6"/>
      <c r="G8522" s="6"/>
      <c r="K8522" s="6"/>
    </row>
    <row r="8523" spans="3:11" x14ac:dyDescent="0.25">
      <c r="C8523" s="6"/>
      <c r="G8523" s="6"/>
      <c r="K8523" s="6"/>
    </row>
    <row r="8524" spans="3:11" x14ac:dyDescent="0.25">
      <c r="C8524" s="6"/>
      <c r="G8524" s="6"/>
      <c r="K8524" s="6"/>
    </row>
    <row r="8525" spans="3:11" x14ac:dyDescent="0.25">
      <c r="C8525" s="6"/>
      <c r="G8525" s="6"/>
      <c r="K8525" s="6"/>
    </row>
    <row r="8526" spans="3:11" x14ac:dyDescent="0.25">
      <c r="C8526" s="6"/>
      <c r="G8526" s="6"/>
      <c r="K8526" s="6"/>
    </row>
    <row r="8527" spans="3:11" x14ac:dyDescent="0.25">
      <c r="C8527" s="6"/>
      <c r="G8527" s="6"/>
      <c r="K8527" s="6"/>
    </row>
    <row r="8528" spans="3:11" x14ac:dyDescent="0.25">
      <c r="C8528" s="6"/>
      <c r="G8528" s="6"/>
      <c r="K8528" s="6"/>
    </row>
    <row r="8529" spans="3:11" x14ac:dyDescent="0.25">
      <c r="C8529" s="6"/>
      <c r="G8529" s="6"/>
      <c r="K8529" s="6"/>
    </row>
    <row r="8530" spans="3:11" x14ac:dyDescent="0.25">
      <c r="C8530" s="6"/>
      <c r="G8530" s="6"/>
      <c r="K8530" s="6"/>
    </row>
    <row r="8531" spans="3:11" x14ac:dyDescent="0.25">
      <c r="C8531" s="6"/>
      <c r="G8531" s="6"/>
      <c r="K8531" s="6"/>
    </row>
    <row r="8532" spans="3:11" x14ac:dyDescent="0.25">
      <c r="C8532" s="6"/>
      <c r="G8532" s="6"/>
      <c r="K8532" s="6"/>
    </row>
    <row r="8533" spans="3:11" x14ac:dyDescent="0.25">
      <c r="C8533" s="6"/>
      <c r="G8533" s="6"/>
      <c r="K8533" s="6"/>
    </row>
    <row r="8534" spans="3:11" x14ac:dyDescent="0.25">
      <c r="C8534" s="6"/>
      <c r="G8534" s="6"/>
      <c r="K8534" s="6"/>
    </row>
    <row r="8535" spans="3:11" x14ac:dyDescent="0.25">
      <c r="C8535" s="6"/>
      <c r="G8535" s="6"/>
      <c r="K8535" s="6"/>
    </row>
    <row r="8536" spans="3:11" x14ac:dyDescent="0.25">
      <c r="C8536" s="6"/>
      <c r="G8536" s="6"/>
      <c r="K8536" s="6"/>
    </row>
    <row r="8537" spans="3:11" x14ac:dyDescent="0.25">
      <c r="C8537" s="6"/>
      <c r="G8537" s="6"/>
      <c r="K8537" s="6"/>
    </row>
    <row r="8538" spans="3:11" x14ac:dyDescent="0.25">
      <c r="C8538" s="6"/>
      <c r="G8538" s="6"/>
      <c r="K8538" s="6"/>
    </row>
    <row r="8539" spans="3:11" x14ac:dyDescent="0.25">
      <c r="C8539" s="6"/>
      <c r="G8539" s="6"/>
      <c r="K8539" s="6"/>
    </row>
    <row r="8540" spans="3:11" x14ac:dyDescent="0.25">
      <c r="C8540" s="6"/>
      <c r="G8540" s="6"/>
      <c r="K8540" s="6"/>
    </row>
    <row r="8541" spans="3:11" x14ac:dyDescent="0.25">
      <c r="C8541" s="6"/>
      <c r="G8541" s="6"/>
      <c r="K8541" s="6"/>
    </row>
    <row r="8542" spans="3:11" x14ac:dyDescent="0.25">
      <c r="C8542" s="6"/>
      <c r="G8542" s="6"/>
      <c r="K8542" s="6"/>
    </row>
    <row r="8543" spans="3:11" x14ac:dyDescent="0.25">
      <c r="C8543" s="6"/>
      <c r="G8543" s="6"/>
      <c r="K8543" s="6"/>
    </row>
    <row r="8544" spans="3:11" x14ac:dyDescent="0.25">
      <c r="C8544" s="6"/>
      <c r="G8544" s="6"/>
      <c r="K8544" s="6"/>
    </row>
    <row r="8545" spans="3:11" x14ac:dyDescent="0.25">
      <c r="C8545" s="6"/>
      <c r="G8545" s="6"/>
      <c r="K8545" s="6"/>
    </row>
    <row r="8546" spans="3:11" x14ac:dyDescent="0.25">
      <c r="C8546" s="6"/>
      <c r="G8546" s="6"/>
      <c r="K8546" s="6"/>
    </row>
    <row r="8547" spans="3:11" x14ac:dyDescent="0.25">
      <c r="C8547" s="6"/>
      <c r="G8547" s="6"/>
      <c r="K8547" s="6"/>
    </row>
    <row r="8548" spans="3:11" x14ac:dyDescent="0.25">
      <c r="C8548" s="6"/>
      <c r="G8548" s="6"/>
      <c r="K8548" s="6"/>
    </row>
    <row r="8549" spans="3:11" x14ac:dyDescent="0.25">
      <c r="C8549" s="6"/>
      <c r="G8549" s="6"/>
      <c r="K8549" s="6"/>
    </row>
    <row r="8550" spans="3:11" x14ac:dyDescent="0.25">
      <c r="C8550" s="6"/>
      <c r="G8550" s="6"/>
      <c r="K8550" s="6"/>
    </row>
    <row r="8551" spans="3:11" x14ac:dyDescent="0.25">
      <c r="C8551" s="6"/>
      <c r="G8551" s="6"/>
      <c r="K8551" s="6"/>
    </row>
    <row r="8552" spans="3:11" x14ac:dyDescent="0.25">
      <c r="C8552" s="6"/>
      <c r="G8552" s="6"/>
      <c r="K8552" s="6"/>
    </row>
    <row r="8553" spans="3:11" x14ac:dyDescent="0.25">
      <c r="C8553" s="6"/>
      <c r="G8553" s="6"/>
      <c r="K8553" s="6"/>
    </row>
    <row r="8554" spans="3:11" x14ac:dyDescent="0.25">
      <c r="C8554" s="6"/>
      <c r="G8554" s="6"/>
      <c r="K8554" s="6"/>
    </row>
    <row r="8555" spans="3:11" x14ac:dyDescent="0.25">
      <c r="C8555" s="6"/>
      <c r="G8555" s="6"/>
      <c r="K8555" s="6"/>
    </row>
    <row r="8556" spans="3:11" x14ac:dyDescent="0.25">
      <c r="C8556" s="6"/>
      <c r="G8556" s="6"/>
      <c r="K8556" s="6"/>
    </row>
    <row r="8557" spans="3:11" x14ac:dyDescent="0.25">
      <c r="C8557" s="6"/>
      <c r="G8557" s="6"/>
      <c r="K8557" s="6"/>
    </row>
    <row r="8558" spans="3:11" x14ac:dyDescent="0.25">
      <c r="C8558" s="6"/>
      <c r="G8558" s="6"/>
      <c r="K8558" s="6"/>
    </row>
    <row r="8559" spans="3:11" x14ac:dyDescent="0.25">
      <c r="C8559" s="6"/>
      <c r="G8559" s="6"/>
      <c r="K8559" s="6"/>
    </row>
    <row r="8560" spans="3:11" x14ac:dyDescent="0.25">
      <c r="C8560" s="6"/>
      <c r="G8560" s="6"/>
      <c r="K8560" s="6"/>
    </row>
    <row r="8561" spans="3:11" x14ac:dyDescent="0.25">
      <c r="C8561" s="6"/>
      <c r="G8561" s="6"/>
      <c r="K8561" s="6"/>
    </row>
    <row r="8562" spans="3:11" x14ac:dyDescent="0.25">
      <c r="C8562" s="6"/>
      <c r="G8562" s="6"/>
      <c r="K8562" s="6"/>
    </row>
    <row r="8563" spans="3:11" x14ac:dyDescent="0.25">
      <c r="C8563" s="6"/>
      <c r="G8563" s="6"/>
      <c r="K8563" s="6"/>
    </row>
    <row r="8564" spans="3:11" x14ac:dyDescent="0.25">
      <c r="C8564" s="6"/>
      <c r="G8564" s="6"/>
      <c r="K8564" s="6"/>
    </row>
    <row r="8565" spans="3:11" x14ac:dyDescent="0.25">
      <c r="C8565" s="6"/>
      <c r="G8565" s="6"/>
      <c r="K8565" s="6"/>
    </row>
    <row r="8566" spans="3:11" x14ac:dyDescent="0.25">
      <c r="C8566" s="6"/>
      <c r="G8566" s="6"/>
      <c r="K8566" s="6"/>
    </row>
    <row r="8567" spans="3:11" x14ac:dyDescent="0.25">
      <c r="C8567" s="6"/>
      <c r="G8567" s="6"/>
      <c r="K8567" s="6"/>
    </row>
    <row r="8568" spans="3:11" x14ac:dyDescent="0.25">
      <c r="C8568" s="6"/>
      <c r="G8568" s="6"/>
      <c r="K8568" s="6"/>
    </row>
    <row r="8569" spans="3:11" x14ac:dyDescent="0.25">
      <c r="C8569" s="6"/>
      <c r="G8569" s="6"/>
      <c r="K8569" s="6"/>
    </row>
    <row r="8570" spans="3:11" x14ac:dyDescent="0.25">
      <c r="C8570" s="6"/>
      <c r="G8570" s="6"/>
      <c r="K8570" s="6"/>
    </row>
    <row r="8571" spans="3:11" x14ac:dyDescent="0.25">
      <c r="C8571" s="6"/>
      <c r="G8571" s="6"/>
      <c r="K8571" s="6"/>
    </row>
    <row r="8572" spans="3:11" x14ac:dyDescent="0.25">
      <c r="C8572" s="6"/>
      <c r="G8572" s="6"/>
      <c r="K8572" s="6"/>
    </row>
    <row r="8573" spans="3:11" x14ac:dyDescent="0.25">
      <c r="C8573" s="6"/>
      <c r="G8573" s="6"/>
      <c r="K8573" s="6"/>
    </row>
    <row r="8574" spans="3:11" x14ac:dyDescent="0.25">
      <c r="C8574" s="6"/>
      <c r="G8574" s="6"/>
      <c r="K8574" s="6"/>
    </row>
    <row r="8575" spans="3:11" x14ac:dyDescent="0.25">
      <c r="C8575" s="6"/>
      <c r="G8575" s="6"/>
      <c r="K8575" s="6"/>
    </row>
    <row r="8576" spans="3:11" x14ac:dyDescent="0.25">
      <c r="C8576" s="6"/>
      <c r="G8576" s="6"/>
      <c r="K8576" s="6"/>
    </row>
    <row r="8577" spans="3:11" x14ac:dyDescent="0.25">
      <c r="C8577" s="6"/>
      <c r="G8577" s="6"/>
      <c r="K8577" s="6"/>
    </row>
    <row r="8578" spans="3:11" x14ac:dyDescent="0.25">
      <c r="C8578" s="6"/>
      <c r="G8578" s="6"/>
      <c r="K8578" s="6"/>
    </row>
    <row r="8579" spans="3:11" x14ac:dyDescent="0.25">
      <c r="C8579" s="6"/>
      <c r="G8579" s="6"/>
      <c r="K8579" s="6"/>
    </row>
    <row r="8580" spans="3:11" x14ac:dyDescent="0.25">
      <c r="C8580" s="6"/>
      <c r="G8580" s="6"/>
      <c r="K8580" s="6"/>
    </row>
    <row r="8581" spans="3:11" x14ac:dyDescent="0.25">
      <c r="C8581" s="6"/>
      <c r="G8581" s="6"/>
      <c r="K8581" s="6"/>
    </row>
    <row r="8582" spans="3:11" x14ac:dyDescent="0.25">
      <c r="C8582" s="6"/>
      <c r="G8582" s="6"/>
      <c r="K8582" s="6"/>
    </row>
    <row r="8583" spans="3:11" x14ac:dyDescent="0.25">
      <c r="C8583" s="6"/>
      <c r="G8583" s="6"/>
      <c r="K8583" s="6"/>
    </row>
    <row r="8584" spans="3:11" x14ac:dyDescent="0.25">
      <c r="C8584" s="6"/>
      <c r="G8584" s="6"/>
      <c r="K8584" s="6"/>
    </row>
    <row r="8585" spans="3:11" x14ac:dyDescent="0.25">
      <c r="C8585" s="6"/>
      <c r="G8585" s="6"/>
      <c r="K8585" s="6"/>
    </row>
    <row r="8586" spans="3:11" x14ac:dyDescent="0.25">
      <c r="C8586" s="6"/>
      <c r="G8586" s="6"/>
      <c r="K8586" s="6"/>
    </row>
    <row r="8587" spans="3:11" x14ac:dyDescent="0.25">
      <c r="C8587" s="6"/>
      <c r="G8587" s="6"/>
      <c r="K8587" s="6"/>
    </row>
    <row r="8588" spans="3:11" x14ac:dyDescent="0.25">
      <c r="C8588" s="6"/>
      <c r="G8588" s="6"/>
      <c r="K8588" s="6"/>
    </row>
    <row r="8589" spans="3:11" x14ac:dyDescent="0.25">
      <c r="C8589" s="6"/>
      <c r="G8589" s="6"/>
      <c r="K8589" s="6"/>
    </row>
    <row r="8590" spans="3:11" x14ac:dyDescent="0.25">
      <c r="C8590" s="6"/>
      <c r="G8590" s="6"/>
      <c r="K8590" s="6"/>
    </row>
    <row r="8591" spans="3:11" x14ac:dyDescent="0.25">
      <c r="C8591" s="6"/>
      <c r="G8591" s="6"/>
      <c r="K8591" s="6"/>
    </row>
    <row r="8592" spans="3:11" x14ac:dyDescent="0.25">
      <c r="C8592" s="6"/>
      <c r="G8592" s="6"/>
      <c r="K8592" s="6"/>
    </row>
    <row r="8593" spans="3:11" x14ac:dyDescent="0.25">
      <c r="C8593" s="6"/>
      <c r="G8593" s="6"/>
      <c r="K8593" s="6"/>
    </row>
    <row r="8594" spans="3:11" x14ac:dyDescent="0.25">
      <c r="C8594" s="6"/>
      <c r="G8594" s="6"/>
      <c r="K8594" s="6"/>
    </row>
    <row r="8595" spans="3:11" x14ac:dyDescent="0.25">
      <c r="C8595" s="6"/>
      <c r="G8595" s="6"/>
      <c r="K8595" s="6"/>
    </row>
    <row r="8596" spans="3:11" x14ac:dyDescent="0.25">
      <c r="C8596" s="6"/>
      <c r="G8596" s="6"/>
      <c r="K8596" s="6"/>
    </row>
    <row r="8597" spans="3:11" x14ac:dyDescent="0.25">
      <c r="C8597" s="6"/>
      <c r="G8597" s="6"/>
      <c r="K8597" s="6"/>
    </row>
    <row r="8598" spans="3:11" x14ac:dyDescent="0.25">
      <c r="C8598" s="6"/>
      <c r="G8598" s="6"/>
      <c r="K8598" s="6"/>
    </row>
    <row r="8599" spans="3:11" x14ac:dyDescent="0.25">
      <c r="C8599" s="6"/>
      <c r="G8599" s="6"/>
      <c r="K8599" s="6"/>
    </row>
    <row r="8600" spans="3:11" x14ac:dyDescent="0.25">
      <c r="C8600" s="6"/>
      <c r="G8600" s="6"/>
      <c r="K8600" s="6"/>
    </row>
    <row r="8601" spans="3:11" x14ac:dyDescent="0.25">
      <c r="C8601" s="6"/>
      <c r="G8601" s="6"/>
      <c r="K8601" s="6"/>
    </row>
    <row r="8602" spans="3:11" x14ac:dyDescent="0.25">
      <c r="C8602" s="6"/>
      <c r="G8602" s="6"/>
      <c r="K8602" s="6"/>
    </row>
    <row r="8603" spans="3:11" x14ac:dyDescent="0.25">
      <c r="C8603" s="6"/>
      <c r="G8603" s="6"/>
      <c r="K8603" s="6"/>
    </row>
    <row r="8604" spans="3:11" x14ac:dyDescent="0.25">
      <c r="C8604" s="6"/>
      <c r="G8604" s="6"/>
      <c r="K8604" s="6"/>
    </row>
    <row r="8605" spans="3:11" x14ac:dyDescent="0.25">
      <c r="C8605" s="6"/>
      <c r="G8605" s="6"/>
      <c r="K8605" s="6"/>
    </row>
    <row r="8606" spans="3:11" x14ac:dyDescent="0.25">
      <c r="C8606" s="6"/>
      <c r="G8606" s="6"/>
      <c r="K8606" s="6"/>
    </row>
    <row r="8607" spans="3:11" x14ac:dyDescent="0.25">
      <c r="C8607" s="6"/>
      <c r="G8607" s="6"/>
      <c r="K8607" s="6"/>
    </row>
    <row r="8608" spans="3:11" x14ac:dyDescent="0.25">
      <c r="C8608" s="6"/>
      <c r="G8608" s="6"/>
      <c r="K8608" s="6"/>
    </row>
    <row r="8609" spans="3:11" x14ac:dyDescent="0.25">
      <c r="C8609" s="6"/>
      <c r="G8609" s="6"/>
      <c r="K8609" s="6"/>
    </row>
    <row r="8610" spans="3:11" x14ac:dyDescent="0.25">
      <c r="C8610" s="6"/>
      <c r="G8610" s="6"/>
      <c r="K8610" s="6"/>
    </row>
    <row r="8611" spans="3:11" x14ac:dyDescent="0.25">
      <c r="C8611" s="6"/>
      <c r="G8611" s="6"/>
      <c r="K8611" s="6"/>
    </row>
    <row r="8612" spans="3:11" x14ac:dyDescent="0.25">
      <c r="C8612" s="6"/>
      <c r="G8612" s="6"/>
      <c r="K8612" s="6"/>
    </row>
    <row r="8613" spans="3:11" x14ac:dyDescent="0.25">
      <c r="C8613" s="6"/>
      <c r="G8613" s="6"/>
      <c r="K8613" s="6"/>
    </row>
    <row r="8614" spans="3:11" x14ac:dyDescent="0.25">
      <c r="C8614" s="6"/>
      <c r="G8614" s="6"/>
      <c r="K8614" s="6"/>
    </row>
    <row r="8615" spans="3:11" x14ac:dyDescent="0.25">
      <c r="C8615" s="6"/>
      <c r="G8615" s="6"/>
      <c r="K8615" s="6"/>
    </row>
    <row r="8616" spans="3:11" x14ac:dyDescent="0.25">
      <c r="C8616" s="6"/>
      <c r="G8616" s="6"/>
      <c r="K8616" s="6"/>
    </row>
    <row r="8617" spans="3:11" x14ac:dyDescent="0.25">
      <c r="C8617" s="6"/>
      <c r="G8617" s="6"/>
      <c r="K8617" s="6"/>
    </row>
    <row r="8618" spans="3:11" x14ac:dyDescent="0.25">
      <c r="C8618" s="6"/>
      <c r="G8618" s="6"/>
      <c r="K8618" s="6"/>
    </row>
    <row r="8619" spans="3:11" x14ac:dyDescent="0.25">
      <c r="C8619" s="6"/>
      <c r="G8619" s="6"/>
      <c r="K8619" s="6"/>
    </row>
    <row r="8620" spans="3:11" x14ac:dyDescent="0.25">
      <c r="C8620" s="6"/>
      <c r="G8620" s="6"/>
      <c r="K8620" s="6"/>
    </row>
    <row r="8621" spans="3:11" x14ac:dyDescent="0.25">
      <c r="C8621" s="6"/>
      <c r="G8621" s="6"/>
      <c r="K8621" s="6"/>
    </row>
    <row r="8622" spans="3:11" x14ac:dyDescent="0.25">
      <c r="C8622" s="6"/>
      <c r="G8622" s="6"/>
      <c r="K8622" s="6"/>
    </row>
    <row r="8623" spans="3:11" x14ac:dyDescent="0.25">
      <c r="C8623" s="6"/>
      <c r="G8623" s="6"/>
      <c r="K8623" s="6"/>
    </row>
    <row r="8624" spans="3:11" x14ac:dyDescent="0.25">
      <c r="C8624" s="6"/>
      <c r="G8624" s="6"/>
      <c r="K8624" s="6"/>
    </row>
    <row r="8625" spans="3:11" x14ac:dyDescent="0.25">
      <c r="C8625" s="6"/>
      <c r="G8625" s="6"/>
      <c r="K8625" s="6"/>
    </row>
    <row r="8626" spans="3:11" x14ac:dyDescent="0.25">
      <c r="C8626" s="6"/>
      <c r="G8626" s="6"/>
      <c r="K8626" s="6"/>
    </row>
    <row r="8627" spans="3:11" x14ac:dyDescent="0.25">
      <c r="C8627" s="6"/>
      <c r="G8627" s="6"/>
      <c r="K8627" s="6"/>
    </row>
    <row r="8628" spans="3:11" x14ac:dyDescent="0.25">
      <c r="C8628" s="6"/>
      <c r="G8628" s="6"/>
      <c r="K8628" s="6"/>
    </row>
    <row r="8629" spans="3:11" x14ac:dyDescent="0.25">
      <c r="C8629" s="6"/>
      <c r="G8629" s="6"/>
      <c r="K8629" s="6"/>
    </row>
    <row r="8630" spans="3:11" x14ac:dyDescent="0.25">
      <c r="C8630" s="6"/>
      <c r="G8630" s="6"/>
      <c r="K8630" s="6"/>
    </row>
    <row r="8631" spans="3:11" x14ac:dyDescent="0.25">
      <c r="C8631" s="6"/>
      <c r="G8631" s="6"/>
      <c r="K8631" s="6"/>
    </row>
    <row r="8632" spans="3:11" x14ac:dyDescent="0.25">
      <c r="C8632" s="6"/>
      <c r="G8632" s="6"/>
      <c r="K8632" s="6"/>
    </row>
    <row r="8633" spans="3:11" x14ac:dyDescent="0.25">
      <c r="C8633" s="6"/>
      <c r="G8633" s="6"/>
      <c r="K8633" s="6"/>
    </row>
    <row r="8634" spans="3:11" x14ac:dyDescent="0.25">
      <c r="C8634" s="6"/>
      <c r="G8634" s="6"/>
      <c r="K8634" s="6"/>
    </row>
    <row r="8635" spans="3:11" x14ac:dyDescent="0.25">
      <c r="C8635" s="6"/>
      <c r="G8635" s="6"/>
      <c r="K8635" s="6"/>
    </row>
    <row r="8636" spans="3:11" x14ac:dyDescent="0.25">
      <c r="C8636" s="6"/>
      <c r="G8636" s="6"/>
      <c r="K8636" s="6"/>
    </row>
    <row r="8637" spans="3:11" x14ac:dyDescent="0.25">
      <c r="C8637" s="6"/>
      <c r="G8637" s="6"/>
      <c r="K8637" s="6"/>
    </row>
    <row r="8638" spans="3:11" x14ac:dyDescent="0.25">
      <c r="C8638" s="6"/>
      <c r="G8638" s="6"/>
      <c r="K8638" s="6"/>
    </row>
    <row r="8639" spans="3:11" x14ac:dyDescent="0.25">
      <c r="C8639" s="6"/>
      <c r="G8639" s="6"/>
      <c r="K8639" s="6"/>
    </row>
    <row r="8640" spans="3:11" x14ac:dyDescent="0.25">
      <c r="C8640" s="6"/>
      <c r="G8640" s="6"/>
      <c r="K8640" s="6"/>
    </row>
    <row r="8641" spans="3:11" x14ac:dyDescent="0.25">
      <c r="C8641" s="6"/>
      <c r="G8641" s="6"/>
      <c r="K8641" s="6"/>
    </row>
    <row r="8642" spans="3:11" x14ac:dyDescent="0.25">
      <c r="C8642" s="6"/>
      <c r="G8642" s="6"/>
      <c r="K8642" s="6"/>
    </row>
    <row r="8643" spans="3:11" x14ac:dyDescent="0.25">
      <c r="C8643" s="6"/>
      <c r="G8643" s="6"/>
      <c r="K8643" s="6"/>
    </row>
    <row r="8644" spans="3:11" x14ac:dyDescent="0.25">
      <c r="C8644" s="6"/>
      <c r="G8644" s="6"/>
      <c r="K8644" s="6"/>
    </row>
    <row r="8645" spans="3:11" x14ac:dyDescent="0.25">
      <c r="C8645" s="6"/>
      <c r="G8645" s="6"/>
      <c r="K8645" s="6"/>
    </row>
    <row r="8646" spans="3:11" x14ac:dyDescent="0.25">
      <c r="C8646" s="6"/>
      <c r="G8646" s="6"/>
      <c r="K8646" s="6"/>
    </row>
    <row r="8647" spans="3:11" x14ac:dyDescent="0.25">
      <c r="C8647" s="6"/>
      <c r="G8647" s="6"/>
      <c r="K8647" s="6"/>
    </row>
    <row r="8648" spans="3:11" x14ac:dyDescent="0.25">
      <c r="C8648" s="6"/>
      <c r="G8648" s="6"/>
      <c r="K8648" s="6"/>
    </row>
    <row r="8649" spans="3:11" x14ac:dyDescent="0.25">
      <c r="C8649" s="6"/>
      <c r="G8649" s="6"/>
      <c r="K8649" s="6"/>
    </row>
    <row r="8650" spans="3:11" x14ac:dyDescent="0.25">
      <c r="C8650" s="6"/>
      <c r="G8650" s="6"/>
      <c r="K8650" s="6"/>
    </row>
    <row r="8651" spans="3:11" x14ac:dyDescent="0.25">
      <c r="C8651" s="6"/>
      <c r="G8651" s="6"/>
      <c r="K8651" s="6"/>
    </row>
    <row r="8652" spans="3:11" x14ac:dyDescent="0.25">
      <c r="C8652" s="6"/>
      <c r="G8652" s="6"/>
      <c r="K8652" s="6"/>
    </row>
    <row r="8653" spans="3:11" x14ac:dyDescent="0.25">
      <c r="C8653" s="6"/>
      <c r="G8653" s="6"/>
      <c r="K8653" s="6"/>
    </row>
    <row r="8654" spans="3:11" x14ac:dyDescent="0.25">
      <c r="C8654" s="6"/>
      <c r="G8654" s="6"/>
      <c r="K8654" s="6"/>
    </row>
    <row r="8655" spans="3:11" x14ac:dyDescent="0.25">
      <c r="C8655" s="6"/>
      <c r="G8655" s="6"/>
      <c r="K8655" s="6"/>
    </row>
    <row r="8656" spans="3:11" x14ac:dyDescent="0.25">
      <c r="C8656" s="6"/>
      <c r="G8656" s="6"/>
      <c r="K8656" s="6"/>
    </row>
    <row r="8657" spans="3:11" x14ac:dyDescent="0.25">
      <c r="C8657" s="6"/>
      <c r="G8657" s="6"/>
      <c r="K8657" s="6"/>
    </row>
    <row r="8658" spans="3:11" x14ac:dyDescent="0.25">
      <c r="C8658" s="6"/>
      <c r="G8658" s="6"/>
      <c r="K8658" s="6"/>
    </row>
    <row r="8659" spans="3:11" x14ac:dyDescent="0.25">
      <c r="C8659" s="6"/>
      <c r="G8659" s="6"/>
      <c r="K8659" s="6"/>
    </row>
    <row r="8660" spans="3:11" x14ac:dyDescent="0.25">
      <c r="C8660" s="6"/>
      <c r="G8660" s="6"/>
      <c r="K8660" s="6"/>
    </row>
    <row r="8661" spans="3:11" x14ac:dyDescent="0.25">
      <c r="C8661" s="6"/>
      <c r="G8661" s="6"/>
      <c r="K8661" s="6"/>
    </row>
    <row r="8662" spans="3:11" x14ac:dyDescent="0.25">
      <c r="C8662" s="6"/>
      <c r="G8662" s="6"/>
      <c r="K8662" s="6"/>
    </row>
    <row r="8663" spans="3:11" x14ac:dyDescent="0.25">
      <c r="C8663" s="6"/>
      <c r="G8663" s="6"/>
      <c r="K8663" s="6"/>
    </row>
    <row r="8664" spans="3:11" x14ac:dyDescent="0.25">
      <c r="C8664" s="6"/>
      <c r="G8664" s="6"/>
      <c r="K8664" s="6"/>
    </row>
    <row r="8665" spans="3:11" x14ac:dyDescent="0.25">
      <c r="C8665" s="6"/>
      <c r="G8665" s="6"/>
      <c r="K8665" s="6"/>
    </row>
    <row r="8666" spans="3:11" x14ac:dyDescent="0.25">
      <c r="C8666" s="6"/>
      <c r="G8666" s="6"/>
      <c r="K8666" s="6"/>
    </row>
    <row r="8667" spans="3:11" x14ac:dyDescent="0.25">
      <c r="C8667" s="6"/>
      <c r="G8667" s="6"/>
      <c r="K8667" s="6"/>
    </row>
    <row r="8668" spans="3:11" x14ac:dyDescent="0.25">
      <c r="C8668" s="6"/>
      <c r="G8668" s="6"/>
      <c r="K8668" s="6"/>
    </row>
    <row r="8669" spans="3:11" x14ac:dyDescent="0.25">
      <c r="C8669" s="6"/>
      <c r="G8669" s="6"/>
      <c r="K8669" s="6"/>
    </row>
    <row r="8670" spans="3:11" x14ac:dyDescent="0.25">
      <c r="C8670" s="6"/>
      <c r="G8670" s="6"/>
      <c r="K8670" s="6"/>
    </row>
    <row r="8671" spans="3:11" x14ac:dyDescent="0.25">
      <c r="C8671" s="6"/>
      <c r="G8671" s="6"/>
      <c r="K8671" s="6"/>
    </row>
    <row r="8672" spans="3:11" x14ac:dyDescent="0.25">
      <c r="C8672" s="6"/>
      <c r="G8672" s="6"/>
      <c r="K8672" s="6"/>
    </row>
    <row r="8673" spans="3:11" x14ac:dyDescent="0.25">
      <c r="C8673" s="6"/>
      <c r="G8673" s="6"/>
      <c r="K8673" s="6"/>
    </row>
    <row r="8674" spans="3:11" x14ac:dyDescent="0.25">
      <c r="C8674" s="6"/>
      <c r="G8674" s="6"/>
      <c r="K8674" s="6"/>
    </row>
    <row r="8675" spans="3:11" x14ac:dyDescent="0.25">
      <c r="C8675" s="6"/>
      <c r="G8675" s="6"/>
      <c r="K8675" s="6"/>
    </row>
    <row r="8676" spans="3:11" x14ac:dyDescent="0.25">
      <c r="C8676" s="6"/>
      <c r="G8676" s="6"/>
      <c r="K8676" s="6"/>
    </row>
    <row r="8677" spans="3:11" x14ac:dyDescent="0.25">
      <c r="C8677" s="6"/>
      <c r="G8677" s="6"/>
      <c r="K8677" s="6"/>
    </row>
    <row r="8678" spans="3:11" x14ac:dyDescent="0.25">
      <c r="C8678" s="6"/>
      <c r="G8678" s="6"/>
      <c r="K8678" s="6"/>
    </row>
    <row r="8679" spans="3:11" x14ac:dyDescent="0.25">
      <c r="C8679" s="6"/>
      <c r="G8679" s="6"/>
      <c r="K8679" s="6"/>
    </row>
    <row r="8680" spans="3:11" x14ac:dyDescent="0.25">
      <c r="C8680" s="6"/>
      <c r="G8680" s="6"/>
      <c r="K8680" s="6"/>
    </row>
    <row r="8681" spans="3:11" x14ac:dyDescent="0.25">
      <c r="C8681" s="6"/>
      <c r="G8681" s="6"/>
      <c r="K8681" s="6"/>
    </row>
    <row r="8682" spans="3:11" x14ac:dyDescent="0.25">
      <c r="C8682" s="6"/>
      <c r="G8682" s="6"/>
      <c r="K8682" s="6"/>
    </row>
    <row r="8683" spans="3:11" x14ac:dyDescent="0.25">
      <c r="C8683" s="6"/>
      <c r="G8683" s="6"/>
      <c r="K8683" s="6"/>
    </row>
    <row r="8684" spans="3:11" x14ac:dyDescent="0.25">
      <c r="C8684" s="6"/>
      <c r="G8684" s="6"/>
      <c r="K8684" s="6"/>
    </row>
    <row r="8685" spans="3:11" x14ac:dyDescent="0.25">
      <c r="C8685" s="6"/>
      <c r="G8685" s="6"/>
      <c r="K8685" s="6"/>
    </row>
    <row r="8686" spans="3:11" x14ac:dyDescent="0.25">
      <c r="C8686" s="6"/>
      <c r="G8686" s="6"/>
      <c r="K8686" s="6"/>
    </row>
    <row r="8687" spans="3:11" x14ac:dyDescent="0.25">
      <c r="C8687" s="6"/>
      <c r="G8687" s="6"/>
      <c r="K8687" s="6"/>
    </row>
    <row r="8688" spans="3:11" x14ac:dyDescent="0.25">
      <c r="C8688" s="6"/>
      <c r="G8688" s="6"/>
      <c r="K8688" s="6"/>
    </row>
    <row r="8689" spans="3:11" x14ac:dyDescent="0.25">
      <c r="C8689" s="6"/>
      <c r="G8689" s="6"/>
      <c r="K8689" s="6"/>
    </row>
    <row r="8690" spans="3:11" x14ac:dyDescent="0.25">
      <c r="C8690" s="6"/>
      <c r="G8690" s="6"/>
      <c r="K8690" s="6"/>
    </row>
    <row r="8691" spans="3:11" x14ac:dyDescent="0.25">
      <c r="C8691" s="6"/>
      <c r="G8691" s="6"/>
      <c r="K8691" s="6"/>
    </row>
    <row r="8692" spans="3:11" x14ac:dyDescent="0.25">
      <c r="C8692" s="6"/>
      <c r="G8692" s="6"/>
      <c r="K8692" s="6"/>
    </row>
    <row r="8693" spans="3:11" x14ac:dyDescent="0.25">
      <c r="C8693" s="6"/>
      <c r="G8693" s="6"/>
      <c r="K8693" s="6"/>
    </row>
    <row r="8694" spans="3:11" x14ac:dyDescent="0.25">
      <c r="C8694" s="6"/>
      <c r="G8694" s="6"/>
      <c r="K8694" s="6"/>
    </row>
    <row r="8695" spans="3:11" x14ac:dyDescent="0.25">
      <c r="C8695" s="6"/>
      <c r="G8695" s="6"/>
      <c r="K8695" s="6"/>
    </row>
    <row r="8696" spans="3:11" x14ac:dyDescent="0.25">
      <c r="C8696" s="6"/>
      <c r="G8696" s="6"/>
      <c r="K8696" s="6"/>
    </row>
    <row r="8697" spans="3:11" x14ac:dyDescent="0.25">
      <c r="C8697" s="6"/>
      <c r="G8697" s="6"/>
      <c r="K8697" s="6"/>
    </row>
    <row r="8698" spans="3:11" x14ac:dyDescent="0.25">
      <c r="C8698" s="6"/>
      <c r="G8698" s="6"/>
      <c r="K8698" s="6"/>
    </row>
    <row r="8699" spans="3:11" x14ac:dyDescent="0.25">
      <c r="C8699" s="6"/>
      <c r="G8699" s="6"/>
      <c r="K8699" s="6"/>
    </row>
    <row r="8700" spans="3:11" x14ac:dyDescent="0.25">
      <c r="C8700" s="6"/>
      <c r="G8700" s="6"/>
      <c r="K8700" s="6"/>
    </row>
    <row r="8701" spans="3:11" x14ac:dyDescent="0.25">
      <c r="C8701" s="6"/>
      <c r="G8701" s="6"/>
      <c r="K8701" s="6"/>
    </row>
    <row r="8702" spans="3:11" x14ac:dyDescent="0.25">
      <c r="C8702" s="6"/>
      <c r="G8702" s="6"/>
      <c r="K8702" s="6"/>
    </row>
    <row r="8703" spans="3:11" x14ac:dyDescent="0.25">
      <c r="C8703" s="6"/>
      <c r="G8703" s="6"/>
      <c r="K8703" s="6"/>
    </row>
    <row r="8704" spans="3:11" x14ac:dyDescent="0.25">
      <c r="C8704" s="6"/>
      <c r="G8704" s="6"/>
      <c r="K8704" s="6"/>
    </row>
    <row r="8705" spans="3:11" x14ac:dyDescent="0.25">
      <c r="C8705" s="6"/>
      <c r="G8705" s="6"/>
      <c r="K8705" s="6"/>
    </row>
    <row r="8706" spans="3:11" x14ac:dyDescent="0.25">
      <c r="C8706" s="6"/>
      <c r="G8706" s="6"/>
      <c r="K8706" s="6"/>
    </row>
    <row r="8707" spans="3:11" x14ac:dyDescent="0.25">
      <c r="C8707" s="6"/>
      <c r="G8707" s="6"/>
      <c r="K8707" s="6"/>
    </row>
    <row r="8708" spans="3:11" x14ac:dyDescent="0.25">
      <c r="C8708" s="6"/>
      <c r="G8708" s="6"/>
      <c r="K8708" s="6"/>
    </row>
    <row r="8709" spans="3:11" x14ac:dyDescent="0.25">
      <c r="C8709" s="6"/>
      <c r="G8709" s="6"/>
      <c r="K8709" s="6"/>
    </row>
    <row r="8710" spans="3:11" x14ac:dyDescent="0.25">
      <c r="C8710" s="6"/>
      <c r="G8710" s="6"/>
      <c r="K8710" s="6"/>
    </row>
    <row r="8711" spans="3:11" x14ac:dyDescent="0.25">
      <c r="C8711" s="6"/>
      <c r="G8711" s="6"/>
      <c r="K8711" s="6"/>
    </row>
    <row r="8712" spans="3:11" x14ac:dyDescent="0.25">
      <c r="C8712" s="6"/>
      <c r="G8712" s="6"/>
      <c r="K8712" s="6"/>
    </row>
    <row r="8713" spans="3:11" x14ac:dyDescent="0.25">
      <c r="C8713" s="6"/>
      <c r="G8713" s="6"/>
      <c r="K8713" s="6"/>
    </row>
    <row r="8714" spans="3:11" x14ac:dyDescent="0.25">
      <c r="C8714" s="6"/>
      <c r="G8714" s="6"/>
      <c r="K8714" s="6"/>
    </row>
    <row r="8715" spans="3:11" x14ac:dyDescent="0.25">
      <c r="C8715" s="6"/>
      <c r="G8715" s="6"/>
      <c r="K8715" s="6"/>
    </row>
    <row r="8716" spans="3:11" x14ac:dyDescent="0.25">
      <c r="C8716" s="6"/>
      <c r="G8716" s="6"/>
      <c r="K8716" s="6"/>
    </row>
    <row r="8717" spans="3:11" x14ac:dyDescent="0.25">
      <c r="C8717" s="6"/>
      <c r="G8717" s="6"/>
      <c r="K8717" s="6"/>
    </row>
    <row r="8718" spans="3:11" x14ac:dyDescent="0.25">
      <c r="C8718" s="6"/>
      <c r="G8718" s="6"/>
      <c r="K8718" s="6"/>
    </row>
    <row r="8719" spans="3:11" x14ac:dyDescent="0.25">
      <c r="C8719" s="6"/>
      <c r="G8719" s="6"/>
      <c r="K8719" s="6"/>
    </row>
    <row r="8720" spans="3:11" x14ac:dyDescent="0.25">
      <c r="C8720" s="6"/>
      <c r="G8720" s="6"/>
      <c r="K8720" s="6"/>
    </row>
    <row r="8721" spans="3:11" x14ac:dyDescent="0.25">
      <c r="C8721" s="6"/>
      <c r="G8721" s="6"/>
      <c r="K8721" s="6"/>
    </row>
    <row r="8722" spans="3:11" x14ac:dyDescent="0.25">
      <c r="C8722" s="6"/>
      <c r="G8722" s="6"/>
      <c r="K8722" s="6"/>
    </row>
    <row r="8723" spans="3:11" x14ac:dyDescent="0.25">
      <c r="C8723" s="6"/>
      <c r="G8723" s="6"/>
      <c r="K8723" s="6"/>
    </row>
    <row r="8724" spans="3:11" x14ac:dyDescent="0.25">
      <c r="C8724" s="6"/>
      <c r="G8724" s="6"/>
      <c r="K8724" s="6"/>
    </row>
    <row r="8725" spans="3:11" x14ac:dyDescent="0.25">
      <c r="C8725" s="6"/>
      <c r="G8725" s="6"/>
      <c r="K8725" s="6"/>
    </row>
    <row r="8726" spans="3:11" x14ac:dyDescent="0.25">
      <c r="C8726" s="6"/>
      <c r="G8726" s="6"/>
      <c r="K8726" s="6"/>
    </row>
    <row r="8727" spans="3:11" x14ac:dyDescent="0.25">
      <c r="C8727" s="6"/>
      <c r="G8727" s="6"/>
      <c r="K8727" s="6"/>
    </row>
    <row r="8728" spans="3:11" x14ac:dyDescent="0.25">
      <c r="C8728" s="6"/>
      <c r="G8728" s="6"/>
      <c r="K8728" s="6"/>
    </row>
    <row r="8729" spans="3:11" x14ac:dyDescent="0.25">
      <c r="C8729" s="6"/>
      <c r="G8729" s="6"/>
      <c r="K8729" s="6"/>
    </row>
    <row r="8730" spans="3:11" x14ac:dyDescent="0.25">
      <c r="C8730" s="6"/>
      <c r="G8730" s="6"/>
      <c r="K8730" s="6"/>
    </row>
    <row r="8731" spans="3:11" x14ac:dyDescent="0.25">
      <c r="C8731" s="6"/>
      <c r="G8731" s="6"/>
      <c r="K8731" s="6"/>
    </row>
    <row r="8732" spans="3:11" x14ac:dyDescent="0.25">
      <c r="C8732" s="6"/>
      <c r="G8732" s="6"/>
      <c r="K8732" s="6"/>
    </row>
    <row r="8733" spans="3:11" x14ac:dyDescent="0.25">
      <c r="C8733" s="6"/>
      <c r="G8733" s="6"/>
      <c r="K8733" s="6"/>
    </row>
    <row r="8734" spans="3:11" x14ac:dyDescent="0.25">
      <c r="C8734" s="6"/>
      <c r="G8734" s="6"/>
      <c r="K8734" s="6"/>
    </row>
    <row r="8735" spans="3:11" x14ac:dyDescent="0.25">
      <c r="C8735" s="6"/>
      <c r="G8735" s="6"/>
      <c r="K8735" s="6"/>
    </row>
    <row r="8736" spans="3:11" x14ac:dyDescent="0.25">
      <c r="C8736" s="6"/>
      <c r="G8736" s="6"/>
      <c r="K8736" s="6"/>
    </row>
    <row r="8737" spans="3:11" x14ac:dyDescent="0.25">
      <c r="C8737" s="6"/>
      <c r="G8737" s="6"/>
      <c r="K8737" s="6"/>
    </row>
    <row r="8738" spans="3:11" x14ac:dyDescent="0.25">
      <c r="C8738" s="6"/>
      <c r="G8738" s="6"/>
      <c r="K8738" s="6"/>
    </row>
    <row r="8739" spans="3:11" x14ac:dyDescent="0.25">
      <c r="C8739" s="6"/>
      <c r="G8739" s="6"/>
      <c r="K8739" s="6"/>
    </row>
    <row r="8740" spans="3:11" x14ac:dyDescent="0.25">
      <c r="C8740" s="6"/>
      <c r="G8740" s="6"/>
      <c r="K8740" s="6"/>
    </row>
    <row r="8741" spans="3:11" x14ac:dyDescent="0.25">
      <c r="C8741" s="6"/>
      <c r="G8741" s="6"/>
      <c r="K8741" s="6"/>
    </row>
    <row r="8742" spans="3:11" x14ac:dyDescent="0.25">
      <c r="C8742" s="6"/>
      <c r="G8742" s="6"/>
      <c r="K8742" s="6"/>
    </row>
    <row r="8743" spans="3:11" x14ac:dyDescent="0.25">
      <c r="C8743" s="6"/>
      <c r="G8743" s="6"/>
      <c r="K8743" s="6"/>
    </row>
    <row r="8744" spans="3:11" x14ac:dyDescent="0.25">
      <c r="C8744" s="6"/>
      <c r="G8744" s="6"/>
      <c r="K8744" s="6"/>
    </row>
    <row r="8745" spans="3:11" x14ac:dyDescent="0.25">
      <c r="C8745" s="6"/>
      <c r="G8745" s="6"/>
      <c r="K8745" s="6"/>
    </row>
    <row r="8746" spans="3:11" x14ac:dyDescent="0.25">
      <c r="C8746" s="6"/>
      <c r="G8746" s="6"/>
      <c r="K8746" s="6"/>
    </row>
    <row r="8747" spans="3:11" x14ac:dyDescent="0.25">
      <c r="C8747" s="6"/>
      <c r="G8747" s="6"/>
      <c r="K8747" s="6"/>
    </row>
    <row r="8748" spans="3:11" x14ac:dyDescent="0.25">
      <c r="C8748" s="6"/>
      <c r="G8748" s="6"/>
      <c r="K8748" s="6"/>
    </row>
    <row r="8749" spans="3:11" x14ac:dyDescent="0.25">
      <c r="C8749" s="6"/>
      <c r="G8749" s="6"/>
      <c r="K8749" s="6"/>
    </row>
    <row r="8750" spans="3:11" x14ac:dyDescent="0.25">
      <c r="C8750" s="6"/>
      <c r="G8750" s="6"/>
      <c r="K8750" s="6"/>
    </row>
    <row r="8751" spans="3:11" x14ac:dyDescent="0.25">
      <c r="C8751" s="6"/>
      <c r="G8751" s="6"/>
      <c r="K8751" s="6"/>
    </row>
    <row r="8752" spans="3:11" x14ac:dyDescent="0.25">
      <c r="C8752" s="6"/>
      <c r="G8752" s="6"/>
      <c r="K8752" s="6"/>
    </row>
    <row r="8753" spans="3:11" x14ac:dyDescent="0.25">
      <c r="C8753" s="6"/>
      <c r="G8753" s="6"/>
      <c r="K8753" s="6"/>
    </row>
    <row r="8754" spans="3:11" x14ac:dyDescent="0.25">
      <c r="C8754" s="6"/>
      <c r="G8754" s="6"/>
      <c r="K8754" s="6"/>
    </row>
    <row r="8755" spans="3:11" x14ac:dyDescent="0.25">
      <c r="C8755" s="6"/>
      <c r="G8755" s="6"/>
      <c r="K8755" s="6"/>
    </row>
    <row r="8756" spans="3:11" x14ac:dyDescent="0.25">
      <c r="C8756" s="6"/>
      <c r="G8756" s="6"/>
      <c r="K8756" s="6"/>
    </row>
    <row r="8757" spans="3:11" x14ac:dyDescent="0.25">
      <c r="C8757" s="6"/>
      <c r="G8757" s="6"/>
      <c r="K8757" s="6"/>
    </row>
    <row r="8758" spans="3:11" x14ac:dyDescent="0.25">
      <c r="C8758" s="6"/>
      <c r="G8758" s="6"/>
      <c r="K8758" s="6"/>
    </row>
    <row r="8759" spans="3:11" x14ac:dyDescent="0.25">
      <c r="C8759" s="6"/>
      <c r="G8759" s="6"/>
      <c r="K8759" s="6"/>
    </row>
    <row r="8760" spans="3:11" x14ac:dyDescent="0.25">
      <c r="C8760" s="6"/>
      <c r="G8760" s="6"/>
      <c r="K8760" s="6"/>
    </row>
    <row r="8761" spans="3:11" x14ac:dyDescent="0.25">
      <c r="C8761" s="6"/>
      <c r="G8761" s="6"/>
      <c r="K8761" s="6"/>
    </row>
    <row r="8762" spans="3:11" x14ac:dyDescent="0.25">
      <c r="C8762" s="6"/>
      <c r="G8762" s="6"/>
      <c r="K8762" s="6"/>
    </row>
    <row r="8763" spans="3:11" x14ac:dyDescent="0.25">
      <c r="C8763" s="6"/>
      <c r="G8763" s="6"/>
      <c r="K8763" s="6"/>
    </row>
    <row r="8764" spans="3:11" x14ac:dyDescent="0.25">
      <c r="C8764" s="6"/>
      <c r="G8764" s="6"/>
      <c r="K8764" s="6"/>
    </row>
    <row r="8765" spans="3:11" x14ac:dyDescent="0.25">
      <c r="C8765" s="6"/>
      <c r="G8765" s="6"/>
      <c r="K8765" s="6"/>
    </row>
    <row r="8766" spans="3:11" x14ac:dyDescent="0.25">
      <c r="C8766" s="6"/>
      <c r="G8766" s="6"/>
      <c r="K8766" s="6"/>
    </row>
    <row r="8767" spans="3:11" x14ac:dyDescent="0.25">
      <c r="C8767" s="6"/>
      <c r="G8767" s="6"/>
      <c r="K8767" s="6"/>
    </row>
    <row r="8768" spans="3:11" x14ac:dyDescent="0.25">
      <c r="C8768" s="6"/>
      <c r="G8768" s="6"/>
      <c r="K8768" s="6"/>
    </row>
    <row r="8769" spans="3:11" x14ac:dyDescent="0.25">
      <c r="C8769" s="6"/>
      <c r="G8769" s="6"/>
      <c r="K8769" s="6"/>
    </row>
    <row r="8770" spans="3:11" x14ac:dyDescent="0.25">
      <c r="C8770" s="6"/>
      <c r="G8770" s="6"/>
      <c r="K8770" s="6"/>
    </row>
    <row r="8771" spans="3:11" x14ac:dyDescent="0.25">
      <c r="C8771" s="6"/>
      <c r="G8771" s="6"/>
      <c r="K8771" s="6"/>
    </row>
    <row r="8772" spans="3:11" x14ac:dyDescent="0.25">
      <c r="C8772" s="6"/>
      <c r="G8772" s="6"/>
      <c r="K8772" s="6"/>
    </row>
    <row r="8773" spans="3:11" x14ac:dyDescent="0.25">
      <c r="C8773" s="6"/>
      <c r="G8773" s="6"/>
      <c r="K8773" s="6"/>
    </row>
    <row r="8774" spans="3:11" x14ac:dyDescent="0.25">
      <c r="C8774" s="6"/>
      <c r="G8774" s="6"/>
      <c r="K8774" s="6"/>
    </row>
    <row r="8775" spans="3:11" x14ac:dyDescent="0.25">
      <c r="C8775" s="6"/>
      <c r="G8775" s="6"/>
      <c r="K8775" s="6"/>
    </row>
    <row r="8776" spans="3:11" x14ac:dyDescent="0.25">
      <c r="C8776" s="6"/>
      <c r="G8776" s="6"/>
      <c r="K8776" s="6"/>
    </row>
    <row r="8777" spans="3:11" x14ac:dyDescent="0.25">
      <c r="C8777" s="6"/>
      <c r="G8777" s="6"/>
      <c r="K8777" s="6"/>
    </row>
    <row r="8778" spans="3:11" x14ac:dyDescent="0.25">
      <c r="C8778" s="6"/>
      <c r="G8778" s="6"/>
      <c r="K8778" s="6"/>
    </row>
    <row r="8779" spans="3:11" x14ac:dyDescent="0.25">
      <c r="C8779" s="6"/>
      <c r="G8779" s="6"/>
      <c r="K8779" s="6"/>
    </row>
    <row r="8780" spans="3:11" x14ac:dyDescent="0.25">
      <c r="C8780" s="6"/>
      <c r="G8780" s="6"/>
      <c r="K8780" s="6"/>
    </row>
    <row r="8781" spans="3:11" x14ac:dyDescent="0.25">
      <c r="C8781" s="6"/>
      <c r="G8781" s="6"/>
      <c r="K8781" s="6"/>
    </row>
    <row r="8782" spans="3:11" x14ac:dyDescent="0.25">
      <c r="C8782" s="6"/>
      <c r="G8782" s="6"/>
      <c r="K8782" s="6"/>
    </row>
    <row r="8783" spans="3:11" x14ac:dyDescent="0.25">
      <c r="C8783" s="6"/>
      <c r="G8783" s="6"/>
      <c r="K8783" s="6"/>
    </row>
    <row r="8784" spans="3:11" x14ac:dyDescent="0.25">
      <c r="C8784" s="6"/>
      <c r="G8784" s="6"/>
      <c r="K8784" s="6"/>
    </row>
    <row r="8785" spans="3:11" x14ac:dyDescent="0.25">
      <c r="C8785" s="6"/>
      <c r="G8785" s="6"/>
      <c r="K8785" s="6"/>
    </row>
    <row r="8786" spans="3:11" x14ac:dyDescent="0.25">
      <c r="C8786" s="6"/>
      <c r="G8786" s="6"/>
      <c r="K8786" s="6"/>
    </row>
    <row r="8787" spans="3:11" x14ac:dyDescent="0.25">
      <c r="C8787" s="6"/>
      <c r="G8787" s="6"/>
      <c r="K8787" s="6"/>
    </row>
    <row r="8788" spans="3:11" x14ac:dyDescent="0.25">
      <c r="C8788" s="6"/>
      <c r="G8788" s="6"/>
      <c r="K8788" s="6"/>
    </row>
    <row r="8789" spans="3:11" x14ac:dyDescent="0.25">
      <c r="C8789" s="6"/>
      <c r="G8789" s="6"/>
      <c r="K8789" s="6"/>
    </row>
    <row r="8790" spans="3:11" x14ac:dyDescent="0.25">
      <c r="C8790" s="6"/>
      <c r="G8790" s="6"/>
      <c r="K8790" s="6"/>
    </row>
    <row r="8791" spans="3:11" x14ac:dyDescent="0.25">
      <c r="C8791" s="6"/>
      <c r="G8791" s="6"/>
      <c r="K8791" s="6"/>
    </row>
    <row r="8792" spans="3:11" x14ac:dyDescent="0.25">
      <c r="C8792" s="6"/>
      <c r="G8792" s="6"/>
      <c r="K8792" s="6"/>
    </row>
    <row r="8793" spans="3:11" x14ac:dyDescent="0.25">
      <c r="C8793" s="6"/>
      <c r="G8793" s="6"/>
      <c r="K8793" s="6"/>
    </row>
    <row r="8794" spans="3:11" x14ac:dyDescent="0.25">
      <c r="C8794" s="6"/>
      <c r="G8794" s="6"/>
      <c r="K8794" s="6"/>
    </row>
    <row r="8795" spans="3:11" x14ac:dyDescent="0.25">
      <c r="C8795" s="6"/>
      <c r="G8795" s="6"/>
      <c r="K8795" s="6"/>
    </row>
    <row r="8796" spans="3:11" x14ac:dyDescent="0.25">
      <c r="C8796" s="6"/>
      <c r="G8796" s="6"/>
      <c r="K8796" s="6"/>
    </row>
    <row r="8797" spans="3:11" x14ac:dyDescent="0.25">
      <c r="C8797" s="6"/>
      <c r="G8797" s="6"/>
      <c r="K8797" s="6"/>
    </row>
    <row r="8798" spans="3:11" x14ac:dyDescent="0.25">
      <c r="C8798" s="6"/>
      <c r="G8798" s="6"/>
      <c r="K8798" s="6"/>
    </row>
    <row r="8799" spans="3:11" x14ac:dyDescent="0.25">
      <c r="C8799" s="6"/>
      <c r="G8799" s="6"/>
      <c r="K8799" s="6"/>
    </row>
    <row r="8800" spans="3:11" x14ac:dyDescent="0.25">
      <c r="C8800" s="6"/>
      <c r="G8800" s="6"/>
      <c r="K8800" s="6"/>
    </row>
    <row r="8801" spans="3:11" x14ac:dyDescent="0.25">
      <c r="C8801" s="6"/>
      <c r="G8801" s="6"/>
      <c r="K8801" s="6"/>
    </row>
    <row r="8802" spans="3:11" x14ac:dyDescent="0.25">
      <c r="C8802" s="6"/>
      <c r="G8802" s="6"/>
      <c r="K8802" s="6"/>
    </row>
    <row r="8803" spans="3:11" x14ac:dyDescent="0.25">
      <c r="C8803" s="6"/>
      <c r="G8803" s="6"/>
      <c r="K8803" s="6"/>
    </row>
    <row r="8804" spans="3:11" x14ac:dyDescent="0.25">
      <c r="C8804" s="6"/>
      <c r="G8804" s="6"/>
      <c r="K8804" s="6"/>
    </row>
    <row r="8805" spans="3:11" x14ac:dyDescent="0.25">
      <c r="C8805" s="6"/>
      <c r="G8805" s="6"/>
      <c r="K8805" s="6"/>
    </row>
    <row r="8806" spans="3:11" x14ac:dyDescent="0.25">
      <c r="C8806" s="6"/>
      <c r="G8806" s="6"/>
      <c r="K8806" s="6"/>
    </row>
    <row r="8807" spans="3:11" x14ac:dyDescent="0.25">
      <c r="C8807" s="6"/>
      <c r="G8807" s="6"/>
      <c r="K8807" s="6"/>
    </row>
    <row r="8808" spans="3:11" x14ac:dyDescent="0.25">
      <c r="C8808" s="6"/>
      <c r="G8808" s="6"/>
      <c r="K8808" s="6"/>
    </row>
    <row r="8809" spans="3:11" x14ac:dyDescent="0.25">
      <c r="C8809" s="6"/>
      <c r="G8809" s="6"/>
      <c r="K8809" s="6"/>
    </row>
    <row r="8810" spans="3:11" x14ac:dyDescent="0.25">
      <c r="C8810" s="6"/>
      <c r="G8810" s="6"/>
      <c r="K8810" s="6"/>
    </row>
    <row r="8811" spans="3:11" x14ac:dyDescent="0.25">
      <c r="C8811" s="6"/>
      <c r="G8811" s="6"/>
      <c r="K8811" s="6"/>
    </row>
    <row r="8812" spans="3:11" x14ac:dyDescent="0.25">
      <c r="C8812" s="6"/>
      <c r="G8812" s="6"/>
      <c r="K8812" s="6"/>
    </row>
    <row r="8813" spans="3:11" x14ac:dyDescent="0.25">
      <c r="C8813" s="6"/>
      <c r="G8813" s="6"/>
      <c r="K8813" s="6"/>
    </row>
    <row r="8814" spans="3:11" x14ac:dyDescent="0.25">
      <c r="C8814" s="6"/>
      <c r="G8814" s="6"/>
      <c r="K8814" s="6"/>
    </row>
    <row r="8815" spans="3:11" x14ac:dyDescent="0.25">
      <c r="C8815" s="6"/>
      <c r="G8815" s="6"/>
      <c r="K8815" s="6"/>
    </row>
    <row r="8816" spans="3:11" x14ac:dyDescent="0.25">
      <c r="C8816" s="6"/>
      <c r="G8816" s="6"/>
      <c r="K8816" s="6"/>
    </row>
    <row r="8817" spans="3:11" x14ac:dyDescent="0.25">
      <c r="C8817" s="6"/>
      <c r="G8817" s="6"/>
      <c r="K8817" s="6"/>
    </row>
    <row r="8818" spans="3:11" x14ac:dyDescent="0.25">
      <c r="C8818" s="6"/>
      <c r="G8818" s="6"/>
      <c r="K8818" s="6"/>
    </row>
    <row r="8819" spans="3:11" x14ac:dyDescent="0.25">
      <c r="C8819" s="6"/>
      <c r="G8819" s="6"/>
      <c r="K8819" s="6"/>
    </row>
    <row r="8820" spans="3:11" x14ac:dyDescent="0.25">
      <c r="C8820" s="6"/>
      <c r="G8820" s="6"/>
      <c r="K8820" s="6"/>
    </row>
    <row r="8821" spans="3:11" x14ac:dyDescent="0.25">
      <c r="C8821" s="6"/>
      <c r="G8821" s="6"/>
      <c r="K8821" s="6"/>
    </row>
    <row r="8822" spans="3:11" x14ac:dyDescent="0.25">
      <c r="C8822" s="6"/>
      <c r="G8822" s="6"/>
      <c r="K8822" s="6"/>
    </row>
    <row r="8823" spans="3:11" x14ac:dyDescent="0.25">
      <c r="C8823" s="6"/>
      <c r="G8823" s="6"/>
      <c r="K8823" s="6"/>
    </row>
    <row r="8824" spans="3:11" x14ac:dyDescent="0.25">
      <c r="C8824" s="6"/>
      <c r="G8824" s="6"/>
      <c r="K8824" s="6"/>
    </row>
    <row r="8825" spans="3:11" x14ac:dyDescent="0.25">
      <c r="C8825" s="6"/>
      <c r="G8825" s="6"/>
      <c r="K8825" s="6"/>
    </row>
    <row r="8826" spans="3:11" x14ac:dyDescent="0.25">
      <c r="C8826" s="6"/>
      <c r="G8826" s="6"/>
      <c r="K8826" s="6"/>
    </row>
    <row r="8827" spans="3:11" x14ac:dyDescent="0.25">
      <c r="C8827" s="6"/>
      <c r="G8827" s="6"/>
      <c r="K8827" s="6"/>
    </row>
    <row r="8828" spans="3:11" x14ac:dyDescent="0.25">
      <c r="C8828" s="6"/>
      <c r="G8828" s="6"/>
      <c r="K8828" s="6"/>
    </row>
    <row r="8829" spans="3:11" x14ac:dyDescent="0.25">
      <c r="C8829" s="6"/>
      <c r="G8829" s="6"/>
      <c r="K8829" s="6"/>
    </row>
    <row r="8830" spans="3:11" x14ac:dyDescent="0.25">
      <c r="C8830" s="6"/>
      <c r="G8830" s="6"/>
      <c r="K8830" s="6"/>
    </row>
    <row r="8831" spans="3:11" x14ac:dyDescent="0.25">
      <c r="C8831" s="6"/>
      <c r="G8831" s="6"/>
      <c r="K8831" s="6"/>
    </row>
    <row r="8832" spans="3:11" x14ac:dyDescent="0.25">
      <c r="C8832" s="6"/>
      <c r="G8832" s="6"/>
      <c r="K8832" s="6"/>
    </row>
    <row r="8833" spans="3:11" x14ac:dyDescent="0.25">
      <c r="C8833" s="6"/>
      <c r="G8833" s="6"/>
      <c r="K8833" s="6"/>
    </row>
    <row r="8834" spans="3:11" x14ac:dyDescent="0.25">
      <c r="C8834" s="6"/>
      <c r="G8834" s="6"/>
      <c r="K8834" s="6"/>
    </row>
    <row r="8835" spans="3:11" x14ac:dyDescent="0.25">
      <c r="C8835" s="6"/>
      <c r="G8835" s="6"/>
      <c r="K8835" s="6"/>
    </row>
    <row r="8836" spans="3:11" x14ac:dyDescent="0.25">
      <c r="C8836" s="6"/>
      <c r="G8836" s="6"/>
      <c r="K8836" s="6"/>
    </row>
    <row r="8837" spans="3:11" x14ac:dyDescent="0.25">
      <c r="C8837" s="6"/>
      <c r="G8837" s="6"/>
      <c r="K8837" s="6"/>
    </row>
    <row r="8838" spans="3:11" x14ac:dyDescent="0.25">
      <c r="C8838" s="6"/>
      <c r="G8838" s="6"/>
      <c r="K8838" s="6"/>
    </row>
    <row r="8839" spans="3:11" x14ac:dyDescent="0.25">
      <c r="C8839" s="6"/>
      <c r="G8839" s="6"/>
      <c r="K8839" s="6"/>
    </row>
    <row r="8840" spans="3:11" x14ac:dyDescent="0.25">
      <c r="C8840" s="6"/>
      <c r="G8840" s="6"/>
      <c r="K8840" s="6"/>
    </row>
    <row r="8841" spans="3:11" x14ac:dyDescent="0.25">
      <c r="C8841" s="6"/>
      <c r="G8841" s="6"/>
      <c r="K8841" s="6"/>
    </row>
    <row r="8842" spans="3:11" x14ac:dyDescent="0.25">
      <c r="C8842" s="6"/>
      <c r="G8842" s="6"/>
      <c r="K8842" s="6"/>
    </row>
    <row r="8843" spans="3:11" x14ac:dyDescent="0.25">
      <c r="C8843" s="6"/>
      <c r="G8843" s="6"/>
      <c r="K8843" s="6"/>
    </row>
    <row r="8844" spans="3:11" x14ac:dyDescent="0.25">
      <c r="C8844" s="6"/>
      <c r="G8844" s="6"/>
      <c r="K8844" s="6"/>
    </row>
    <row r="8845" spans="3:11" x14ac:dyDescent="0.25">
      <c r="C8845" s="6"/>
      <c r="G8845" s="6"/>
      <c r="K8845" s="6"/>
    </row>
    <row r="8846" spans="3:11" x14ac:dyDescent="0.25">
      <c r="C8846" s="6"/>
      <c r="G8846" s="6"/>
      <c r="K8846" s="6"/>
    </row>
    <row r="8847" spans="3:11" x14ac:dyDescent="0.25">
      <c r="C8847" s="6"/>
      <c r="G8847" s="6"/>
      <c r="K8847" s="6"/>
    </row>
    <row r="8848" spans="3:11" x14ac:dyDescent="0.25">
      <c r="C8848" s="6"/>
      <c r="G8848" s="6"/>
      <c r="K8848" s="6"/>
    </row>
    <row r="8849" spans="3:11" x14ac:dyDescent="0.25">
      <c r="C8849" s="6"/>
      <c r="G8849" s="6"/>
      <c r="K8849" s="6"/>
    </row>
    <row r="8850" spans="3:11" x14ac:dyDescent="0.25">
      <c r="C8850" s="6"/>
      <c r="G8850" s="6"/>
      <c r="K8850" s="6"/>
    </row>
    <row r="8851" spans="3:11" x14ac:dyDescent="0.25">
      <c r="C8851" s="6"/>
      <c r="G8851" s="6"/>
      <c r="K8851" s="6"/>
    </row>
    <row r="8852" spans="3:11" x14ac:dyDescent="0.25">
      <c r="C8852" s="6"/>
      <c r="G8852" s="6"/>
      <c r="K8852" s="6"/>
    </row>
    <row r="8853" spans="3:11" x14ac:dyDescent="0.25">
      <c r="C8853" s="6"/>
      <c r="G8853" s="6"/>
      <c r="K8853" s="6"/>
    </row>
    <row r="8854" spans="3:11" x14ac:dyDescent="0.25">
      <c r="C8854" s="6"/>
      <c r="G8854" s="6"/>
      <c r="K8854" s="6"/>
    </row>
    <row r="8855" spans="3:11" x14ac:dyDescent="0.25">
      <c r="C8855" s="6"/>
      <c r="G8855" s="6"/>
      <c r="K8855" s="6"/>
    </row>
    <row r="8856" spans="3:11" x14ac:dyDescent="0.25">
      <c r="C8856" s="6"/>
      <c r="G8856" s="6"/>
      <c r="K8856" s="6"/>
    </row>
    <row r="8857" spans="3:11" x14ac:dyDescent="0.25">
      <c r="C8857" s="6"/>
      <c r="G8857" s="6"/>
      <c r="K8857" s="6"/>
    </row>
    <row r="8858" spans="3:11" x14ac:dyDescent="0.25">
      <c r="C8858" s="6"/>
      <c r="G8858" s="6"/>
      <c r="K8858" s="6"/>
    </row>
    <row r="8859" spans="3:11" x14ac:dyDescent="0.25">
      <c r="C8859" s="6"/>
      <c r="G8859" s="6"/>
      <c r="K8859" s="6"/>
    </row>
    <row r="8860" spans="3:11" x14ac:dyDescent="0.25">
      <c r="C8860" s="6"/>
      <c r="G8860" s="6"/>
      <c r="K8860" s="6"/>
    </row>
    <row r="8861" spans="3:11" x14ac:dyDescent="0.25">
      <c r="C8861" s="6"/>
      <c r="G8861" s="6"/>
      <c r="K8861" s="6"/>
    </row>
    <row r="8862" spans="3:11" x14ac:dyDescent="0.25">
      <c r="C8862" s="6"/>
      <c r="G8862" s="6"/>
      <c r="K8862" s="6"/>
    </row>
    <row r="8863" spans="3:11" x14ac:dyDescent="0.25">
      <c r="C8863" s="6"/>
      <c r="G8863" s="6"/>
      <c r="K8863" s="6"/>
    </row>
    <row r="8864" spans="3:11" x14ac:dyDescent="0.25">
      <c r="C8864" s="6"/>
      <c r="G8864" s="6"/>
      <c r="K8864" s="6"/>
    </row>
    <row r="8865" spans="3:11" x14ac:dyDescent="0.25">
      <c r="C8865" s="6"/>
      <c r="G8865" s="6"/>
      <c r="K8865" s="6"/>
    </row>
    <row r="8866" spans="3:11" x14ac:dyDescent="0.25">
      <c r="C8866" s="6"/>
      <c r="G8866" s="6"/>
      <c r="K8866" s="6"/>
    </row>
    <row r="8867" spans="3:11" x14ac:dyDescent="0.25">
      <c r="C8867" s="6"/>
      <c r="G8867" s="6"/>
      <c r="K8867" s="6"/>
    </row>
    <row r="8868" spans="3:11" x14ac:dyDescent="0.25">
      <c r="C8868" s="6"/>
      <c r="G8868" s="6"/>
      <c r="K8868" s="6"/>
    </row>
    <row r="8869" spans="3:11" x14ac:dyDescent="0.25">
      <c r="C8869" s="6"/>
      <c r="G8869" s="6"/>
      <c r="K8869" s="6"/>
    </row>
    <row r="8870" spans="3:11" x14ac:dyDescent="0.25">
      <c r="C8870" s="6"/>
      <c r="G8870" s="6"/>
      <c r="K8870" s="6"/>
    </row>
    <row r="8871" spans="3:11" x14ac:dyDescent="0.25">
      <c r="C8871" s="6"/>
      <c r="G8871" s="6"/>
      <c r="K8871" s="6"/>
    </row>
    <row r="8872" spans="3:11" x14ac:dyDescent="0.25">
      <c r="C8872" s="6"/>
      <c r="G8872" s="6"/>
      <c r="K8872" s="6"/>
    </row>
    <row r="8873" spans="3:11" x14ac:dyDescent="0.25">
      <c r="C8873" s="6"/>
      <c r="G8873" s="6"/>
      <c r="K8873" s="6"/>
    </row>
    <row r="8874" spans="3:11" x14ac:dyDescent="0.25">
      <c r="C8874" s="6"/>
      <c r="G8874" s="6"/>
      <c r="K8874" s="6"/>
    </row>
    <row r="8875" spans="3:11" x14ac:dyDescent="0.25">
      <c r="C8875" s="6"/>
      <c r="G8875" s="6"/>
      <c r="K8875" s="6"/>
    </row>
    <row r="8876" spans="3:11" x14ac:dyDescent="0.25">
      <c r="C8876" s="6"/>
      <c r="G8876" s="6"/>
      <c r="K8876" s="6"/>
    </row>
    <row r="8877" spans="3:11" x14ac:dyDescent="0.25">
      <c r="C8877" s="6"/>
      <c r="G8877" s="6"/>
      <c r="K8877" s="6"/>
    </row>
    <row r="8878" spans="3:11" x14ac:dyDescent="0.25">
      <c r="C8878" s="6"/>
      <c r="G8878" s="6"/>
      <c r="K8878" s="6"/>
    </row>
    <row r="8879" spans="3:11" x14ac:dyDescent="0.25">
      <c r="C8879" s="6"/>
      <c r="G8879" s="6"/>
      <c r="K8879" s="6"/>
    </row>
    <row r="8880" spans="3:11" x14ac:dyDescent="0.25">
      <c r="C8880" s="6"/>
      <c r="G8880" s="6"/>
      <c r="K8880" s="6"/>
    </row>
    <row r="8881" spans="3:11" x14ac:dyDescent="0.25">
      <c r="C8881" s="6"/>
      <c r="G8881" s="6"/>
      <c r="K8881" s="6"/>
    </row>
    <row r="8882" spans="3:11" x14ac:dyDescent="0.25">
      <c r="C8882" s="6"/>
      <c r="G8882" s="6"/>
      <c r="K8882" s="6"/>
    </row>
    <row r="8883" spans="3:11" x14ac:dyDescent="0.25">
      <c r="C8883" s="6"/>
      <c r="G8883" s="6"/>
      <c r="K8883" s="6"/>
    </row>
    <row r="8884" spans="3:11" x14ac:dyDescent="0.25">
      <c r="C8884" s="6"/>
      <c r="G8884" s="6"/>
      <c r="K8884" s="6"/>
    </row>
    <row r="8885" spans="3:11" x14ac:dyDescent="0.25">
      <c r="C8885" s="6"/>
      <c r="G8885" s="6"/>
      <c r="K8885" s="6"/>
    </row>
    <row r="8886" spans="3:11" x14ac:dyDescent="0.25">
      <c r="C8886" s="6"/>
      <c r="G8886" s="6"/>
      <c r="K8886" s="6"/>
    </row>
    <row r="8887" spans="3:11" x14ac:dyDescent="0.25">
      <c r="C8887" s="6"/>
      <c r="G8887" s="6"/>
      <c r="K8887" s="6"/>
    </row>
    <row r="8888" spans="3:11" x14ac:dyDescent="0.25">
      <c r="C8888" s="6"/>
      <c r="G8888" s="6"/>
      <c r="K8888" s="6"/>
    </row>
    <row r="8889" spans="3:11" x14ac:dyDescent="0.25">
      <c r="C8889" s="6"/>
      <c r="G8889" s="6"/>
      <c r="K8889" s="6"/>
    </row>
    <row r="8890" spans="3:11" x14ac:dyDescent="0.25">
      <c r="C8890" s="6"/>
      <c r="G8890" s="6"/>
      <c r="K8890" s="6"/>
    </row>
    <row r="8891" spans="3:11" x14ac:dyDescent="0.25">
      <c r="C8891" s="6"/>
      <c r="G8891" s="6"/>
      <c r="K8891" s="6"/>
    </row>
    <row r="8892" spans="3:11" x14ac:dyDescent="0.25">
      <c r="C8892" s="6"/>
      <c r="G8892" s="6"/>
      <c r="K8892" s="6"/>
    </row>
    <row r="8893" spans="3:11" x14ac:dyDescent="0.25">
      <c r="C8893" s="6"/>
      <c r="G8893" s="6"/>
      <c r="K8893" s="6"/>
    </row>
    <row r="8894" spans="3:11" x14ac:dyDescent="0.25">
      <c r="C8894" s="6"/>
      <c r="G8894" s="6"/>
      <c r="K8894" s="6"/>
    </row>
    <row r="8895" spans="3:11" x14ac:dyDescent="0.25">
      <c r="C8895" s="6"/>
      <c r="G8895" s="6"/>
      <c r="K8895" s="6"/>
    </row>
    <row r="8896" spans="3:11" x14ac:dyDescent="0.25">
      <c r="C8896" s="6"/>
      <c r="G8896" s="6"/>
      <c r="K8896" s="6"/>
    </row>
    <row r="8897" spans="3:11" x14ac:dyDescent="0.25">
      <c r="C8897" s="6"/>
      <c r="G8897" s="6"/>
      <c r="K8897" s="6"/>
    </row>
    <row r="8898" spans="3:11" x14ac:dyDescent="0.25">
      <c r="C8898" s="6"/>
      <c r="G8898" s="6"/>
      <c r="K8898" s="6"/>
    </row>
    <row r="8899" spans="3:11" x14ac:dyDescent="0.25">
      <c r="C8899" s="6"/>
      <c r="G8899" s="6"/>
      <c r="K8899" s="6"/>
    </row>
    <row r="8900" spans="3:11" x14ac:dyDescent="0.25">
      <c r="C8900" s="6"/>
      <c r="G8900" s="6"/>
      <c r="K8900" s="6"/>
    </row>
    <row r="8901" spans="3:11" x14ac:dyDescent="0.25">
      <c r="C8901" s="6"/>
      <c r="G8901" s="6"/>
      <c r="K8901" s="6"/>
    </row>
    <row r="8902" spans="3:11" x14ac:dyDescent="0.25">
      <c r="C8902" s="6"/>
      <c r="G8902" s="6"/>
      <c r="K8902" s="6"/>
    </row>
    <row r="8903" spans="3:11" x14ac:dyDescent="0.25">
      <c r="C8903" s="6"/>
      <c r="G8903" s="6"/>
      <c r="K8903" s="6"/>
    </row>
    <row r="8904" spans="3:11" x14ac:dyDescent="0.25">
      <c r="C8904" s="6"/>
      <c r="G8904" s="6"/>
      <c r="K8904" s="6"/>
    </row>
    <row r="8905" spans="3:11" x14ac:dyDescent="0.25">
      <c r="C8905" s="6"/>
      <c r="G8905" s="6"/>
      <c r="K8905" s="6"/>
    </row>
    <row r="8906" spans="3:11" x14ac:dyDescent="0.25">
      <c r="C8906" s="6"/>
      <c r="G8906" s="6"/>
      <c r="K8906" s="6"/>
    </row>
    <row r="8907" spans="3:11" x14ac:dyDescent="0.25">
      <c r="C8907" s="6"/>
      <c r="G8907" s="6"/>
      <c r="K8907" s="6"/>
    </row>
    <row r="8908" spans="3:11" x14ac:dyDescent="0.25">
      <c r="C8908" s="6"/>
      <c r="G8908" s="6"/>
      <c r="K8908" s="6"/>
    </row>
    <row r="8909" spans="3:11" x14ac:dyDescent="0.25">
      <c r="C8909" s="6"/>
      <c r="G8909" s="6"/>
      <c r="K8909" s="6"/>
    </row>
    <row r="8910" spans="3:11" x14ac:dyDescent="0.25">
      <c r="C8910" s="6"/>
      <c r="G8910" s="6"/>
      <c r="K8910" s="6"/>
    </row>
    <row r="8911" spans="3:11" x14ac:dyDescent="0.25">
      <c r="C8911" s="6"/>
      <c r="G8911" s="6"/>
      <c r="K8911" s="6"/>
    </row>
    <row r="8912" spans="3:11" x14ac:dyDescent="0.25">
      <c r="C8912" s="6"/>
      <c r="G8912" s="6"/>
      <c r="K8912" s="6"/>
    </row>
    <row r="8913" spans="3:11" x14ac:dyDescent="0.25">
      <c r="C8913" s="6"/>
      <c r="G8913" s="6"/>
      <c r="K8913" s="6"/>
    </row>
    <row r="8914" spans="3:11" x14ac:dyDescent="0.25">
      <c r="C8914" s="6"/>
      <c r="G8914" s="6"/>
      <c r="K8914" s="6"/>
    </row>
    <row r="8915" spans="3:11" x14ac:dyDescent="0.25">
      <c r="C8915" s="6"/>
      <c r="G8915" s="6"/>
      <c r="K8915" s="6"/>
    </row>
    <row r="8916" spans="3:11" x14ac:dyDescent="0.25">
      <c r="C8916" s="6"/>
      <c r="G8916" s="6"/>
      <c r="K8916" s="6"/>
    </row>
    <row r="8917" spans="3:11" x14ac:dyDescent="0.25">
      <c r="C8917" s="6"/>
      <c r="G8917" s="6"/>
      <c r="K8917" s="6"/>
    </row>
    <row r="8918" spans="3:11" x14ac:dyDescent="0.25">
      <c r="C8918" s="6"/>
      <c r="G8918" s="6"/>
      <c r="K8918" s="6"/>
    </row>
    <row r="8919" spans="3:11" x14ac:dyDescent="0.25">
      <c r="C8919" s="6"/>
      <c r="G8919" s="6"/>
      <c r="K8919" s="6"/>
    </row>
    <row r="8920" spans="3:11" x14ac:dyDescent="0.25">
      <c r="C8920" s="6"/>
      <c r="G8920" s="6"/>
      <c r="K8920" s="6"/>
    </row>
    <row r="8921" spans="3:11" x14ac:dyDescent="0.25">
      <c r="C8921" s="6"/>
      <c r="G8921" s="6"/>
      <c r="K8921" s="6"/>
    </row>
    <row r="8922" spans="3:11" x14ac:dyDescent="0.25">
      <c r="C8922" s="6"/>
      <c r="G8922" s="6"/>
      <c r="K8922" s="6"/>
    </row>
    <row r="8923" spans="3:11" x14ac:dyDescent="0.25">
      <c r="C8923" s="6"/>
      <c r="G8923" s="6"/>
      <c r="K8923" s="6"/>
    </row>
    <row r="8924" spans="3:11" x14ac:dyDescent="0.25">
      <c r="C8924" s="6"/>
      <c r="G8924" s="6"/>
      <c r="K8924" s="6"/>
    </row>
    <row r="8925" spans="3:11" x14ac:dyDescent="0.25">
      <c r="C8925" s="6"/>
      <c r="G8925" s="6"/>
      <c r="K8925" s="6"/>
    </row>
    <row r="8926" spans="3:11" x14ac:dyDescent="0.25">
      <c r="C8926" s="6"/>
      <c r="G8926" s="6"/>
      <c r="K8926" s="6"/>
    </row>
    <row r="8927" spans="3:11" x14ac:dyDescent="0.25">
      <c r="C8927" s="6"/>
      <c r="G8927" s="6"/>
      <c r="K8927" s="6"/>
    </row>
    <row r="8928" spans="3:11" x14ac:dyDescent="0.25">
      <c r="C8928" s="6"/>
      <c r="G8928" s="6"/>
      <c r="K8928" s="6"/>
    </row>
    <row r="8929" spans="3:11" x14ac:dyDescent="0.25">
      <c r="C8929" s="6"/>
      <c r="G8929" s="6"/>
      <c r="K8929" s="6"/>
    </row>
    <row r="8930" spans="3:11" x14ac:dyDescent="0.25">
      <c r="C8930" s="6"/>
      <c r="G8930" s="6"/>
      <c r="K8930" s="6"/>
    </row>
    <row r="8931" spans="3:11" x14ac:dyDescent="0.25">
      <c r="C8931" s="6"/>
      <c r="G8931" s="6"/>
      <c r="K8931" s="6"/>
    </row>
    <row r="8932" spans="3:11" x14ac:dyDescent="0.25">
      <c r="C8932" s="6"/>
      <c r="G8932" s="6"/>
      <c r="K8932" s="6"/>
    </row>
    <row r="8933" spans="3:11" x14ac:dyDescent="0.25">
      <c r="C8933" s="6"/>
      <c r="G8933" s="6"/>
      <c r="K8933" s="6"/>
    </row>
    <row r="8934" spans="3:11" x14ac:dyDescent="0.25">
      <c r="C8934" s="6"/>
      <c r="G8934" s="6"/>
      <c r="K8934" s="6"/>
    </row>
    <row r="8935" spans="3:11" x14ac:dyDescent="0.25">
      <c r="C8935" s="6"/>
      <c r="G8935" s="6"/>
      <c r="K8935" s="6"/>
    </row>
    <row r="8936" spans="3:11" x14ac:dyDescent="0.25">
      <c r="C8936" s="6"/>
      <c r="G8936" s="6"/>
      <c r="K8936" s="6"/>
    </row>
    <row r="8937" spans="3:11" x14ac:dyDescent="0.25">
      <c r="C8937" s="6"/>
      <c r="G8937" s="6"/>
      <c r="K8937" s="6"/>
    </row>
    <row r="8938" spans="3:11" x14ac:dyDescent="0.25">
      <c r="C8938" s="6"/>
      <c r="G8938" s="6"/>
      <c r="K8938" s="6"/>
    </row>
    <row r="8939" spans="3:11" x14ac:dyDescent="0.25">
      <c r="C8939" s="6"/>
      <c r="G8939" s="6"/>
      <c r="K8939" s="6"/>
    </row>
    <row r="8940" spans="3:11" x14ac:dyDescent="0.25">
      <c r="C8940" s="6"/>
      <c r="G8940" s="6"/>
      <c r="K8940" s="6"/>
    </row>
    <row r="8941" spans="3:11" x14ac:dyDescent="0.25">
      <c r="C8941" s="6"/>
      <c r="G8941" s="6"/>
      <c r="K8941" s="6"/>
    </row>
    <row r="8942" spans="3:11" x14ac:dyDescent="0.25">
      <c r="C8942" s="6"/>
      <c r="G8942" s="6"/>
      <c r="K8942" s="6"/>
    </row>
    <row r="8943" spans="3:11" x14ac:dyDescent="0.25">
      <c r="C8943" s="6"/>
      <c r="G8943" s="6"/>
      <c r="K8943" s="6"/>
    </row>
    <row r="8944" spans="3:11" x14ac:dyDescent="0.25">
      <c r="C8944" s="6"/>
      <c r="G8944" s="6"/>
      <c r="K8944" s="6"/>
    </row>
    <row r="8945" spans="3:11" x14ac:dyDescent="0.25">
      <c r="C8945" s="6"/>
      <c r="G8945" s="6"/>
      <c r="K8945" s="6"/>
    </row>
    <row r="8946" spans="3:11" x14ac:dyDescent="0.25">
      <c r="C8946" s="6"/>
      <c r="G8946" s="6"/>
      <c r="K8946" s="6"/>
    </row>
    <row r="8947" spans="3:11" x14ac:dyDescent="0.25">
      <c r="C8947" s="6"/>
      <c r="G8947" s="6"/>
      <c r="K8947" s="6"/>
    </row>
    <row r="8948" spans="3:11" x14ac:dyDescent="0.25">
      <c r="C8948" s="6"/>
      <c r="G8948" s="6"/>
      <c r="K8948" s="6"/>
    </row>
    <row r="8949" spans="3:11" x14ac:dyDescent="0.25">
      <c r="C8949" s="6"/>
      <c r="G8949" s="6"/>
      <c r="K8949" s="6"/>
    </row>
    <row r="8950" spans="3:11" x14ac:dyDescent="0.25">
      <c r="C8950" s="6"/>
      <c r="G8950" s="6"/>
      <c r="K8950" s="6"/>
    </row>
    <row r="8951" spans="3:11" x14ac:dyDescent="0.25">
      <c r="C8951" s="6"/>
      <c r="G8951" s="6"/>
      <c r="K8951" s="6"/>
    </row>
    <row r="8952" spans="3:11" x14ac:dyDescent="0.25">
      <c r="C8952" s="6"/>
      <c r="G8952" s="6"/>
      <c r="K8952" s="6"/>
    </row>
    <row r="8953" spans="3:11" x14ac:dyDescent="0.25">
      <c r="C8953" s="6"/>
      <c r="G8953" s="6"/>
      <c r="K8953" s="6"/>
    </row>
    <row r="8954" spans="3:11" x14ac:dyDescent="0.25">
      <c r="C8954" s="6"/>
      <c r="G8954" s="6"/>
      <c r="K8954" s="6"/>
    </row>
    <row r="8955" spans="3:11" x14ac:dyDescent="0.25">
      <c r="C8955" s="6"/>
      <c r="G8955" s="6"/>
      <c r="K8955" s="6"/>
    </row>
    <row r="8956" spans="3:11" x14ac:dyDescent="0.25">
      <c r="C8956" s="6"/>
      <c r="G8956" s="6"/>
      <c r="K8956" s="6"/>
    </row>
    <row r="8957" spans="3:11" x14ac:dyDescent="0.25">
      <c r="C8957" s="6"/>
      <c r="G8957" s="6"/>
      <c r="K8957" s="6"/>
    </row>
    <row r="8958" spans="3:11" x14ac:dyDescent="0.25">
      <c r="C8958" s="6"/>
      <c r="G8958" s="6"/>
      <c r="K8958" s="6"/>
    </row>
    <row r="8959" spans="3:11" x14ac:dyDescent="0.25">
      <c r="C8959" s="6"/>
      <c r="G8959" s="6"/>
      <c r="K8959" s="6"/>
    </row>
    <row r="8960" spans="3:11" x14ac:dyDescent="0.25">
      <c r="C8960" s="6"/>
      <c r="G8960" s="6"/>
      <c r="K8960" s="6"/>
    </row>
    <row r="8961" spans="3:11" x14ac:dyDescent="0.25">
      <c r="C8961" s="6"/>
      <c r="G8961" s="6"/>
      <c r="K8961" s="6"/>
    </row>
    <row r="8962" spans="3:11" x14ac:dyDescent="0.25">
      <c r="C8962" s="6"/>
      <c r="G8962" s="6"/>
      <c r="K8962" s="6"/>
    </row>
    <row r="8963" spans="3:11" x14ac:dyDescent="0.25">
      <c r="C8963" s="6"/>
      <c r="G8963" s="6"/>
      <c r="K8963" s="6"/>
    </row>
    <row r="8964" spans="3:11" x14ac:dyDescent="0.25">
      <c r="C8964" s="6"/>
      <c r="G8964" s="6"/>
      <c r="K8964" s="6"/>
    </row>
    <row r="8965" spans="3:11" x14ac:dyDescent="0.25">
      <c r="C8965" s="6"/>
      <c r="G8965" s="6"/>
      <c r="K8965" s="6"/>
    </row>
    <row r="8966" spans="3:11" x14ac:dyDescent="0.25">
      <c r="C8966" s="6"/>
      <c r="G8966" s="6"/>
      <c r="K8966" s="6"/>
    </row>
    <row r="8967" spans="3:11" x14ac:dyDescent="0.25">
      <c r="C8967" s="6"/>
      <c r="G8967" s="6"/>
      <c r="K8967" s="6"/>
    </row>
    <row r="8968" spans="3:11" x14ac:dyDescent="0.25">
      <c r="C8968" s="6"/>
      <c r="G8968" s="6"/>
      <c r="K8968" s="6"/>
    </row>
    <row r="8969" spans="3:11" x14ac:dyDescent="0.25">
      <c r="C8969" s="6"/>
      <c r="G8969" s="6"/>
      <c r="K8969" s="6"/>
    </row>
    <row r="8970" spans="3:11" x14ac:dyDescent="0.25">
      <c r="C8970" s="6"/>
      <c r="G8970" s="6"/>
      <c r="K8970" s="6"/>
    </row>
    <row r="8971" spans="3:11" x14ac:dyDescent="0.25">
      <c r="C8971" s="6"/>
      <c r="G8971" s="6"/>
      <c r="K8971" s="6"/>
    </row>
    <row r="8972" spans="3:11" x14ac:dyDescent="0.25">
      <c r="C8972" s="6"/>
      <c r="G8972" s="6"/>
      <c r="K8972" s="6"/>
    </row>
    <row r="8973" spans="3:11" x14ac:dyDescent="0.25">
      <c r="C8973" s="6"/>
      <c r="G8973" s="6"/>
      <c r="K8973" s="6"/>
    </row>
    <row r="8974" spans="3:11" x14ac:dyDescent="0.25">
      <c r="C8974" s="6"/>
      <c r="G8974" s="6"/>
      <c r="K8974" s="6"/>
    </row>
    <row r="8975" spans="3:11" x14ac:dyDescent="0.25">
      <c r="C8975" s="6"/>
      <c r="G8975" s="6"/>
      <c r="K8975" s="6"/>
    </row>
    <row r="8976" spans="3:11" x14ac:dyDescent="0.25">
      <c r="C8976" s="6"/>
      <c r="G8976" s="6"/>
      <c r="K8976" s="6"/>
    </row>
    <row r="8977" spans="3:11" x14ac:dyDescent="0.25">
      <c r="C8977" s="6"/>
      <c r="G8977" s="6"/>
      <c r="K8977" s="6"/>
    </row>
    <row r="8978" spans="3:11" x14ac:dyDescent="0.25">
      <c r="C8978" s="6"/>
      <c r="G8978" s="6"/>
      <c r="K8978" s="6"/>
    </row>
    <row r="8979" spans="3:11" x14ac:dyDescent="0.25">
      <c r="C8979" s="6"/>
      <c r="G8979" s="6"/>
      <c r="K8979" s="6"/>
    </row>
    <row r="8980" spans="3:11" x14ac:dyDescent="0.25">
      <c r="C8980" s="6"/>
      <c r="G8980" s="6"/>
      <c r="K8980" s="6"/>
    </row>
    <row r="8981" spans="3:11" x14ac:dyDescent="0.25">
      <c r="C8981" s="6"/>
      <c r="G8981" s="6"/>
      <c r="K8981" s="6"/>
    </row>
    <row r="8982" spans="3:11" x14ac:dyDescent="0.25">
      <c r="C8982" s="6"/>
      <c r="G8982" s="6"/>
      <c r="K8982" s="6"/>
    </row>
    <row r="8983" spans="3:11" x14ac:dyDescent="0.25">
      <c r="C8983" s="6"/>
      <c r="G8983" s="6"/>
      <c r="K8983" s="6"/>
    </row>
    <row r="8984" spans="3:11" x14ac:dyDescent="0.25">
      <c r="C8984" s="6"/>
      <c r="G8984" s="6"/>
      <c r="K8984" s="6"/>
    </row>
    <row r="8985" spans="3:11" x14ac:dyDescent="0.25">
      <c r="C8985" s="6"/>
      <c r="G8985" s="6"/>
      <c r="K8985" s="6"/>
    </row>
    <row r="8986" spans="3:11" x14ac:dyDescent="0.25">
      <c r="C8986" s="6"/>
      <c r="G8986" s="6"/>
      <c r="K8986" s="6"/>
    </row>
    <row r="8987" spans="3:11" x14ac:dyDescent="0.25">
      <c r="C8987" s="6"/>
      <c r="G8987" s="6"/>
      <c r="K8987" s="6"/>
    </row>
    <row r="8988" spans="3:11" x14ac:dyDescent="0.25">
      <c r="C8988" s="6"/>
      <c r="G8988" s="6"/>
      <c r="K8988" s="6"/>
    </row>
    <row r="8989" spans="3:11" x14ac:dyDescent="0.25">
      <c r="C8989" s="6"/>
      <c r="G8989" s="6"/>
      <c r="K8989" s="6"/>
    </row>
    <row r="8990" spans="3:11" x14ac:dyDescent="0.25">
      <c r="C8990" s="6"/>
      <c r="G8990" s="6"/>
      <c r="K8990" s="6"/>
    </row>
    <row r="8991" spans="3:11" x14ac:dyDescent="0.25">
      <c r="C8991" s="6"/>
      <c r="G8991" s="6"/>
      <c r="K8991" s="6"/>
    </row>
    <row r="8992" spans="3:11" x14ac:dyDescent="0.25">
      <c r="C8992" s="6"/>
      <c r="G8992" s="6"/>
      <c r="K8992" s="6"/>
    </row>
    <row r="8993" spans="3:11" x14ac:dyDescent="0.25">
      <c r="C8993" s="6"/>
      <c r="G8993" s="6"/>
      <c r="K8993" s="6"/>
    </row>
    <row r="8994" spans="3:11" x14ac:dyDescent="0.25">
      <c r="C8994" s="6"/>
      <c r="G8994" s="6"/>
      <c r="K8994" s="6"/>
    </row>
    <row r="8995" spans="3:11" x14ac:dyDescent="0.25">
      <c r="C8995" s="6"/>
      <c r="G8995" s="6"/>
      <c r="K8995" s="6"/>
    </row>
    <row r="8996" spans="3:11" x14ac:dyDescent="0.25">
      <c r="C8996" s="6"/>
      <c r="G8996" s="6"/>
      <c r="K8996" s="6"/>
    </row>
    <row r="8997" spans="3:11" x14ac:dyDescent="0.25">
      <c r="C8997" s="6"/>
      <c r="G8997" s="6"/>
      <c r="K8997" s="6"/>
    </row>
    <row r="8998" spans="3:11" x14ac:dyDescent="0.25">
      <c r="C8998" s="6"/>
      <c r="G8998" s="6"/>
      <c r="K8998" s="6"/>
    </row>
    <row r="8999" spans="3:11" x14ac:dyDescent="0.25">
      <c r="C8999" s="6"/>
      <c r="G8999" s="6"/>
      <c r="K8999" s="6"/>
    </row>
    <row r="9000" spans="3:11" x14ac:dyDescent="0.25">
      <c r="C9000" s="6"/>
      <c r="G9000" s="6"/>
      <c r="K9000" s="6"/>
    </row>
    <row r="9001" spans="3:11" x14ac:dyDescent="0.25">
      <c r="C9001" s="6"/>
      <c r="G9001" s="6"/>
      <c r="K9001" s="6"/>
    </row>
    <row r="9002" spans="3:11" x14ac:dyDescent="0.25">
      <c r="C9002" s="6"/>
      <c r="G9002" s="6"/>
      <c r="K9002" s="6"/>
    </row>
    <row r="9003" spans="3:11" x14ac:dyDescent="0.25">
      <c r="C9003" s="6"/>
      <c r="G9003" s="6"/>
      <c r="K9003" s="6"/>
    </row>
    <row r="9004" spans="3:11" x14ac:dyDescent="0.25">
      <c r="C9004" s="6"/>
      <c r="G9004" s="6"/>
      <c r="K9004" s="6"/>
    </row>
    <row r="9005" spans="3:11" x14ac:dyDescent="0.25">
      <c r="C9005" s="6"/>
      <c r="G9005" s="6"/>
      <c r="K9005" s="6"/>
    </row>
    <row r="9006" spans="3:11" x14ac:dyDescent="0.25">
      <c r="C9006" s="6"/>
      <c r="G9006" s="6"/>
      <c r="K9006" s="6"/>
    </row>
    <row r="9007" spans="3:11" x14ac:dyDescent="0.25">
      <c r="C9007" s="6"/>
      <c r="G9007" s="6"/>
      <c r="K9007" s="6"/>
    </row>
    <row r="9008" spans="3:11" x14ac:dyDescent="0.25">
      <c r="C9008" s="6"/>
      <c r="G9008" s="6"/>
      <c r="K9008" s="6"/>
    </row>
    <row r="9009" spans="3:11" x14ac:dyDescent="0.25">
      <c r="C9009" s="6"/>
      <c r="G9009" s="6"/>
      <c r="K9009" s="6"/>
    </row>
    <row r="9010" spans="3:11" x14ac:dyDescent="0.25">
      <c r="C9010" s="6"/>
      <c r="G9010" s="6"/>
      <c r="K9010" s="6"/>
    </row>
    <row r="9011" spans="3:11" x14ac:dyDescent="0.25">
      <c r="C9011" s="6"/>
      <c r="G9011" s="6"/>
      <c r="K9011" s="6"/>
    </row>
    <row r="9012" spans="3:11" x14ac:dyDescent="0.25">
      <c r="C9012" s="6"/>
      <c r="G9012" s="6"/>
      <c r="K9012" s="6"/>
    </row>
    <row r="9013" spans="3:11" x14ac:dyDescent="0.25">
      <c r="C9013" s="6"/>
      <c r="G9013" s="6"/>
      <c r="K9013" s="6"/>
    </row>
    <row r="9014" spans="3:11" x14ac:dyDescent="0.25">
      <c r="C9014" s="6"/>
      <c r="G9014" s="6"/>
      <c r="K9014" s="6"/>
    </row>
    <row r="9015" spans="3:11" x14ac:dyDescent="0.25">
      <c r="C9015" s="6"/>
      <c r="G9015" s="6"/>
      <c r="K9015" s="6"/>
    </row>
    <row r="9016" spans="3:11" x14ac:dyDescent="0.25">
      <c r="C9016" s="6"/>
      <c r="G9016" s="6"/>
      <c r="K9016" s="6"/>
    </row>
    <row r="9017" spans="3:11" x14ac:dyDescent="0.25">
      <c r="C9017" s="6"/>
      <c r="G9017" s="6"/>
      <c r="K9017" s="6"/>
    </row>
    <row r="9018" spans="3:11" x14ac:dyDescent="0.25">
      <c r="C9018" s="6"/>
      <c r="G9018" s="6"/>
      <c r="K9018" s="6"/>
    </row>
    <row r="9019" spans="3:11" x14ac:dyDescent="0.25">
      <c r="C9019" s="6"/>
      <c r="G9019" s="6"/>
      <c r="K9019" s="6"/>
    </row>
    <row r="9020" spans="3:11" x14ac:dyDescent="0.25">
      <c r="C9020" s="6"/>
      <c r="G9020" s="6"/>
      <c r="K9020" s="6"/>
    </row>
    <row r="9021" spans="3:11" x14ac:dyDescent="0.25">
      <c r="C9021" s="6"/>
      <c r="G9021" s="6"/>
      <c r="K9021" s="6"/>
    </row>
    <row r="9022" spans="3:11" x14ac:dyDescent="0.25">
      <c r="C9022" s="6"/>
      <c r="G9022" s="6"/>
      <c r="K9022" s="6"/>
    </row>
    <row r="9023" spans="3:11" x14ac:dyDescent="0.25">
      <c r="C9023" s="6"/>
      <c r="G9023" s="6"/>
      <c r="K9023" s="6"/>
    </row>
    <row r="9024" spans="3:11" x14ac:dyDescent="0.25">
      <c r="C9024" s="6"/>
      <c r="G9024" s="6"/>
      <c r="K9024" s="6"/>
    </row>
    <row r="9025" spans="3:11" x14ac:dyDescent="0.25">
      <c r="C9025" s="6"/>
      <c r="G9025" s="6"/>
      <c r="K9025" s="6"/>
    </row>
    <row r="9026" spans="3:11" x14ac:dyDescent="0.25">
      <c r="C9026" s="6"/>
      <c r="G9026" s="6"/>
      <c r="K9026" s="6"/>
    </row>
    <row r="9027" spans="3:11" x14ac:dyDescent="0.25">
      <c r="C9027" s="6"/>
      <c r="G9027" s="6"/>
      <c r="K9027" s="6"/>
    </row>
    <row r="9028" spans="3:11" x14ac:dyDescent="0.25">
      <c r="C9028" s="6"/>
      <c r="G9028" s="6"/>
      <c r="K9028" s="6"/>
    </row>
    <row r="9029" spans="3:11" x14ac:dyDescent="0.25">
      <c r="C9029" s="6"/>
      <c r="G9029" s="6"/>
      <c r="K9029" s="6"/>
    </row>
    <row r="9030" spans="3:11" x14ac:dyDescent="0.25">
      <c r="C9030" s="6"/>
      <c r="G9030" s="6"/>
      <c r="K9030" s="6"/>
    </row>
    <row r="9031" spans="3:11" x14ac:dyDescent="0.25">
      <c r="C9031" s="6"/>
      <c r="G9031" s="6"/>
      <c r="K9031" s="6"/>
    </row>
    <row r="9032" spans="3:11" x14ac:dyDescent="0.25">
      <c r="C9032" s="6"/>
      <c r="G9032" s="6"/>
      <c r="K9032" s="6"/>
    </row>
    <row r="9033" spans="3:11" x14ac:dyDescent="0.25">
      <c r="C9033" s="6"/>
      <c r="G9033" s="6"/>
      <c r="K9033" s="6"/>
    </row>
    <row r="9034" spans="3:11" x14ac:dyDescent="0.25">
      <c r="C9034" s="6"/>
      <c r="G9034" s="6"/>
      <c r="K9034" s="6"/>
    </row>
    <row r="9035" spans="3:11" x14ac:dyDescent="0.25">
      <c r="C9035" s="6"/>
      <c r="G9035" s="6"/>
      <c r="K9035" s="6"/>
    </row>
    <row r="9036" spans="3:11" x14ac:dyDescent="0.25">
      <c r="C9036" s="6"/>
      <c r="G9036" s="6"/>
      <c r="K9036" s="6"/>
    </row>
    <row r="9037" spans="3:11" x14ac:dyDescent="0.25">
      <c r="C9037" s="6"/>
      <c r="G9037" s="6"/>
      <c r="K9037" s="6"/>
    </row>
    <row r="9038" spans="3:11" x14ac:dyDescent="0.25">
      <c r="C9038" s="6"/>
      <c r="G9038" s="6"/>
      <c r="K9038" s="6"/>
    </row>
    <row r="9039" spans="3:11" x14ac:dyDescent="0.25">
      <c r="C9039" s="6"/>
      <c r="G9039" s="6"/>
      <c r="K9039" s="6"/>
    </row>
    <row r="9040" spans="3:11" x14ac:dyDescent="0.25">
      <c r="C9040" s="6"/>
      <c r="G9040" s="6"/>
      <c r="K9040" s="6"/>
    </row>
    <row r="9041" spans="3:11" x14ac:dyDescent="0.25">
      <c r="C9041" s="6"/>
      <c r="G9041" s="6"/>
      <c r="K9041" s="6"/>
    </row>
    <row r="9042" spans="3:11" x14ac:dyDescent="0.25">
      <c r="C9042" s="6"/>
      <c r="G9042" s="6"/>
      <c r="K9042" s="6"/>
    </row>
    <row r="9043" spans="3:11" x14ac:dyDescent="0.25">
      <c r="C9043" s="6"/>
      <c r="G9043" s="6"/>
      <c r="K9043" s="6"/>
    </row>
    <row r="9044" spans="3:11" x14ac:dyDescent="0.25">
      <c r="C9044" s="6"/>
      <c r="G9044" s="6"/>
      <c r="K9044" s="6"/>
    </row>
    <row r="9045" spans="3:11" x14ac:dyDescent="0.25">
      <c r="C9045" s="6"/>
      <c r="G9045" s="6"/>
      <c r="K9045" s="6"/>
    </row>
    <row r="9046" spans="3:11" x14ac:dyDescent="0.25">
      <c r="C9046" s="6"/>
      <c r="G9046" s="6"/>
      <c r="K9046" s="6"/>
    </row>
    <row r="9047" spans="3:11" x14ac:dyDescent="0.25">
      <c r="C9047" s="6"/>
      <c r="G9047" s="6"/>
      <c r="K9047" s="6"/>
    </row>
    <row r="9048" spans="3:11" x14ac:dyDescent="0.25">
      <c r="C9048" s="6"/>
      <c r="G9048" s="6"/>
      <c r="K9048" s="6"/>
    </row>
    <row r="9049" spans="3:11" x14ac:dyDescent="0.25">
      <c r="C9049" s="6"/>
      <c r="G9049" s="6"/>
      <c r="K9049" s="6"/>
    </row>
    <row r="9050" spans="3:11" x14ac:dyDescent="0.25">
      <c r="C9050" s="6"/>
      <c r="G9050" s="6"/>
      <c r="K9050" s="6"/>
    </row>
    <row r="9051" spans="3:11" x14ac:dyDescent="0.25">
      <c r="C9051" s="6"/>
      <c r="G9051" s="6"/>
      <c r="K9051" s="6"/>
    </row>
    <row r="9052" spans="3:11" x14ac:dyDescent="0.25">
      <c r="C9052" s="6"/>
      <c r="G9052" s="6"/>
      <c r="K9052" s="6"/>
    </row>
    <row r="9053" spans="3:11" x14ac:dyDescent="0.25">
      <c r="C9053" s="6"/>
      <c r="G9053" s="6"/>
      <c r="K9053" s="6"/>
    </row>
    <row r="9054" spans="3:11" x14ac:dyDescent="0.25">
      <c r="C9054" s="6"/>
      <c r="G9054" s="6"/>
      <c r="K9054" s="6"/>
    </row>
    <row r="9055" spans="3:11" x14ac:dyDescent="0.25">
      <c r="C9055" s="6"/>
      <c r="G9055" s="6"/>
      <c r="K9055" s="6"/>
    </row>
    <row r="9056" spans="3:11" x14ac:dyDescent="0.25">
      <c r="C9056" s="6"/>
      <c r="G9056" s="6"/>
      <c r="K9056" s="6"/>
    </row>
    <row r="9057" spans="3:11" x14ac:dyDescent="0.25">
      <c r="C9057" s="6"/>
      <c r="G9057" s="6"/>
      <c r="K9057" s="6"/>
    </row>
    <row r="9058" spans="3:11" x14ac:dyDescent="0.25">
      <c r="C9058" s="6"/>
      <c r="G9058" s="6"/>
      <c r="K9058" s="6"/>
    </row>
    <row r="9059" spans="3:11" x14ac:dyDescent="0.25">
      <c r="C9059" s="6"/>
      <c r="G9059" s="6"/>
      <c r="K9059" s="6"/>
    </row>
    <row r="9060" spans="3:11" x14ac:dyDescent="0.25">
      <c r="C9060" s="6"/>
      <c r="G9060" s="6"/>
      <c r="K9060" s="6"/>
    </row>
    <row r="9061" spans="3:11" x14ac:dyDescent="0.25">
      <c r="C9061" s="6"/>
      <c r="G9061" s="6"/>
      <c r="K9061" s="6"/>
    </row>
    <row r="9062" spans="3:11" x14ac:dyDescent="0.25">
      <c r="C9062" s="6"/>
      <c r="G9062" s="6"/>
      <c r="K9062" s="6"/>
    </row>
    <row r="9063" spans="3:11" x14ac:dyDescent="0.25">
      <c r="C9063" s="6"/>
      <c r="G9063" s="6"/>
      <c r="K9063" s="6"/>
    </row>
    <row r="9064" spans="3:11" x14ac:dyDescent="0.25">
      <c r="C9064" s="6"/>
      <c r="G9064" s="6"/>
      <c r="K9064" s="6"/>
    </row>
    <row r="9065" spans="3:11" x14ac:dyDescent="0.25">
      <c r="C9065" s="6"/>
      <c r="G9065" s="6"/>
      <c r="K9065" s="6"/>
    </row>
    <row r="9066" spans="3:11" x14ac:dyDescent="0.25">
      <c r="C9066" s="6"/>
      <c r="G9066" s="6"/>
      <c r="K9066" s="6"/>
    </row>
    <row r="9067" spans="3:11" x14ac:dyDescent="0.25">
      <c r="C9067" s="6"/>
      <c r="G9067" s="6"/>
      <c r="K9067" s="6"/>
    </row>
    <row r="9068" spans="3:11" x14ac:dyDescent="0.25">
      <c r="C9068" s="6"/>
      <c r="G9068" s="6"/>
      <c r="K9068" s="6"/>
    </row>
    <row r="9069" spans="3:11" x14ac:dyDescent="0.25">
      <c r="C9069" s="6"/>
      <c r="G9069" s="6"/>
      <c r="K9069" s="6"/>
    </row>
    <row r="9070" spans="3:11" x14ac:dyDescent="0.25">
      <c r="C9070" s="6"/>
      <c r="G9070" s="6"/>
      <c r="K9070" s="6"/>
    </row>
    <row r="9071" spans="3:11" x14ac:dyDescent="0.25">
      <c r="C9071" s="6"/>
      <c r="G9071" s="6"/>
      <c r="K9071" s="6"/>
    </row>
    <row r="9072" spans="3:11" x14ac:dyDescent="0.25">
      <c r="C9072" s="6"/>
      <c r="G9072" s="6"/>
      <c r="K9072" s="6"/>
    </row>
    <row r="9073" spans="3:11" x14ac:dyDescent="0.25">
      <c r="C9073" s="6"/>
      <c r="G9073" s="6"/>
      <c r="K9073" s="6"/>
    </row>
    <row r="9074" spans="3:11" x14ac:dyDescent="0.25">
      <c r="C9074" s="6"/>
      <c r="G9074" s="6"/>
      <c r="K9074" s="6"/>
    </row>
    <row r="9075" spans="3:11" x14ac:dyDescent="0.25">
      <c r="C9075" s="6"/>
      <c r="G9075" s="6"/>
      <c r="K9075" s="6"/>
    </row>
    <row r="9076" spans="3:11" x14ac:dyDescent="0.25">
      <c r="C9076" s="6"/>
      <c r="G9076" s="6"/>
      <c r="K9076" s="6"/>
    </row>
    <row r="9077" spans="3:11" x14ac:dyDescent="0.25">
      <c r="C9077" s="6"/>
      <c r="G9077" s="6"/>
      <c r="K9077" s="6"/>
    </row>
    <row r="9078" spans="3:11" x14ac:dyDescent="0.25">
      <c r="C9078" s="6"/>
      <c r="G9078" s="6"/>
      <c r="K9078" s="6"/>
    </row>
    <row r="9079" spans="3:11" x14ac:dyDescent="0.25">
      <c r="C9079" s="6"/>
      <c r="G9079" s="6"/>
      <c r="K9079" s="6"/>
    </row>
    <row r="9080" spans="3:11" x14ac:dyDescent="0.25">
      <c r="C9080" s="6"/>
      <c r="G9080" s="6"/>
      <c r="K9080" s="6"/>
    </row>
    <row r="9081" spans="3:11" x14ac:dyDescent="0.25">
      <c r="C9081" s="6"/>
      <c r="G9081" s="6"/>
      <c r="K9081" s="6"/>
    </row>
    <row r="9082" spans="3:11" x14ac:dyDescent="0.25">
      <c r="C9082" s="6"/>
      <c r="G9082" s="6"/>
      <c r="K9082" s="6"/>
    </row>
    <row r="9083" spans="3:11" x14ac:dyDescent="0.25">
      <c r="C9083" s="6"/>
      <c r="G9083" s="6"/>
      <c r="K9083" s="6"/>
    </row>
    <row r="9084" spans="3:11" x14ac:dyDescent="0.25">
      <c r="C9084" s="6"/>
      <c r="G9084" s="6"/>
      <c r="K9084" s="6"/>
    </row>
    <row r="9085" spans="3:11" x14ac:dyDescent="0.25">
      <c r="C9085" s="6"/>
      <c r="G9085" s="6"/>
      <c r="K9085" s="6"/>
    </row>
    <row r="9086" spans="3:11" x14ac:dyDescent="0.25">
      <c r="C9086" s="6"/>
      <c r="G9086" s="6"/>
      <c r="K9086" s="6"/>
    </row>
    <row r="9087" spans="3:11" x14ac:dyDescent="0.25">
      <c r="C9087" s="6"/>
      <c r="G9087" s="6"/>
      <c r="K9087" s="6"/>
    </row>
    <row r="9088" spans="3:11" x14ac:dyDescent="0.25">
      <c r="C9088" s="6"/>
      <c r="G9088" s="6"/>
      <c r="K9088" s="6"/>
    </row>
    <row r="9089" spans="3:11" x14ac:dyDescent="0.25">
      <c r="C9089" s="6"/>
      <c r="G9089" s="6"/>
      <c r="K9089" s="6"/>
    </row>
    <row r="9090" spans="3:11" x14ac:dyDescent="0.25">
      <c r="C9090" s="6"/>
      <c r="G9090" s="6"/>
      <c r="K9090" s="6"/>
    </row>
    <row r="9091" spans="3:11" x14ac:dyDescent="0.25">
      <c r="C9091" s="6"/>
      <c r="G9091" s="6"/>
      <c r="K9091" s="6"/>
    </row>
    <row r="9092" spans="3:11" x14ac:dyDescent="0.25">
      <c r="C9092" s="6"/>
      <c r="G9092" s="6"/>
      <c r="K9092" s="6"/>
    </row>
    <row r="9093" spans="3:11" x14ac:dyDescent="0.25">
      <c r="C9093" s="6"/>
      <c r="G9093" s="6"/>
      <c r="K9093" s="6"/>
    </row>
    <row r="9094" spans="3:11" x14ac:dyDescent="0.25">
      <c r="C9094" s="6"/>
      <c r="G9094" s="6"/>
      <c r="K9094" s="6"/>
    </row>
    <row r="9095" spans="3:11" x14ac:dyDescent="0.25">
      <c r="C9095" s="6"/>
      <c r="G9095" s="6"/>
      <c r="K9095" s="6"/>
    </row>
    <row r="9096" spans="3:11" x14ac:dyDescent="0.25">
      <c r="C9096" s="6"/>
      <c r="G9096" s="6"/>
      <c r="K9096" s="6"/>
    </row>
    <row r="9097" spans="3:11" x14ac:dyDescent="0.25">
      <c r="C9097" s="6"/>
      <c r="G9097" s="6"/>
      <c r="K9097" s="6"/>
    </row>
    <row r="9098" spans="3:11" x14ac:dyDescent="0.25">
      <c r="C9098" s="6"/>
      <c r="G9098" s="6"/>
      <c r="K9098" s="6"/>
    </row>
    <row r="9099" spans="3:11" x14ac:dyDescent="0.25">
      <c r="C9099" s="6"/>
      <c r="G9099" s="6"/>
      <c r="K9099" s="6"/>
    </row>
    <row r="9100" spans="3:11" x14ac:dyDescent="0.25">
      <c r="C9100" s="6"/>
      <c r="G9100" s="6"/>
      <c r="K9100" s="6"/>
    </row>
    <row r="9101" spans="3:11" x14ac:dyDescent="0.25">
      <c r="C9101" s="6"/>
      <c r="G9101" s="6"/>
      <c r="K9101" s="6"/>
    </row>
    <row r="9102" spans="3:11" x14ac:dyDescent="0.25">
      <c r="C9102" s="6"/>
      <c r="G9102" s="6"/>
      <c r="K9102" s="6"/>
    </row>
    <row r="9103" spans="3:11" x14ac:dyDescent="0.25">
      <c r="C9103" s="6"/>
      <c r="G9103" s="6"/>
      <c r="K9103" s="6"/>
    </row>
    <row r="9104" spans="3:11" x14ac:dyDescent="0.25">
      <c r="C9104" s="6"/>
      <c r="G9104" s="6"/>
      <c r="K9104" s="6"/>
    </row>
    <row r="9105" spans="3:11" x14ac:dyDescent="0.25">
      <c r="C9105" s="6"/>
      <c r="G9105" s="6"/>
      <c r="K9105" s="6"/>
    </row>
    <row r="9106" spans="3:11" x14ac:dyDescent="0.25">
      <c r="C9106" s="6"/>
      <c r="G9106" s="6"/>
      <c r="K9106" s="6"/>
    </row>
    <row r="9107" spans="3:11" x14ac:dyDescent="0.25">
      <c r="C9107" s="6"/>
      <c r="G9107" s="6"/>
      <c r="K9107" s="6"/>
    </row>
    <row r="9108" spans="3:11" x14ac:dyDescent="0.25">
      <c r="C9108" s="6"/>
      <c r="G9108" s="6"/>
      <c r="K9108" s="6"/>
    </row>
    <row r="9109" spans="3:11" x14ac:dyDescent="0.25">
      <c r="C9109" s="6"/>
      <c r="G9109" s="6"/>
      <c r="K9109" s="6"/>
    </row>
    <row r="9110" spans="3:11" x14ac:dyDescent="0.25">
      <c r="C9110" s="6"/>
      <c r="G9110" s="6"/>
      <c r="K9110" s="6"/>
    </row>
    <row r="9111" spans="3:11" x14ac:dyDescent="0.25">
      <c r="C9111" s="6"/>
      <c r="G9111" s="6"/>
      <c r="K9111" s="6"/>
    </row>
    <row r="9112" spans="3:11" x14ac:dyDescent="0.25">
      <c r="C9112" s="6"/>
      <c r="G9112" s="6"/>
      <c r="K9112" s="6"/>
    </row>
    <row r="9113" spans="3:11" x14ac:dyDescent="0.25">
      <c r="C9113" s="6"/>
      <c r="G9113" s="6"/>
      <c r="K9113" s="6"/>
    </row>
    <row r="9114" spans="3:11" x14ac:dyDescent="0.25">
      <c r="C9114" s="6"/>
      <c r="G9114" s="6"/>
      <c r="K9114" s="6"/>
    </row>
    <row r="9115" spans="3:11" x14ac:dyDescent="0.25">
      <c r="C9115" s="6"/>
      <c r="G9115" s="6"/>
      <c r="K9115" s="6"/>
    </row>
    <row r="9116" spans="3:11" x14ac:dyDescent="0.25">
      <c r="C9116" s="6"/>
      <c r="G9116" s="6"/>
      <c r="K9116" s="6"/>
    </row>
    <row r="9117" spans="3:11" x14ac:dyDescent="0.25">
      <c r="C9117" s="6"/>
      <c r="G9117" s="6"/>
      <c r="K9117" s="6"/>
    </row>
    <row r="9118" spans="3:11" x14ac:dyDescent="0.25">
      <c r="C9118" s="6"/>
      <c r="G9118" s="6"/>
      <c r="K9118" s="6"/>
    </row>
    <row r="9119" spans="3:11" x14ac:dyDescent="0.25">
      <c r="C9119" s="6"/>
      <c r="G9119" s="6"/>
      <c r="K9119" s="6"/>
    </row>
    <row r="9120" spans="3:11" x14ac:dyDescent="0.25">
      <c r="C9120" s="6"/>
      <c r="G9120" s="6"/>
      <c r="K9120" s="6"/>
    </row>
    <row r="9121" spans="3:11" x14ac:dyDescent="0.25">
      <c r="C9121" s="6"/>
      <c r="G9121" s="6"/>
      <c r="K9121" s="6"/>
    </row>
    <row r="9122" spans="3:11" x14ac:dyDescent="0.25">
      <c r="C9122" s="6"/>
      <c r="G9122" s="6"/>
      <c r="K9122" s="6"/>
    </row>
    <row r="9123" spans="3:11" x14ac:dyDescent="0.25">
      <c r="C9123" s="6"/>
      <c r="G9123" s="6"/>
      <c r="K9123" s="6"/>
    </row>
    <row r="9124" spans="3:11" x14ac:dyDescent="0.25">
      <c r="C9124" s="6"/>
      <c r="G9124" s="6"/>
      <c r="K9124" s="6"/>
    </row>
    <row r="9125" spans="3:11" x14ac:dyDescent="0.25">
      <c r="C9125" s="6"/>
      <c r="G9125" s="6"/>
      <c r="K9125" s="6"/>
    </row>
    <row r="9126" spans="3:11" x14ac:dyDescent="0.25">
      <c r="C9126" s="6"/>
      <c r="G9126" s="6"/>
      <c r="K9126" s="6"/>
    </row>
    <row r="9127" spans="3:11" x14ac:dyDescent="0.25">
      <c r="C9127" s="6"/>
      <c r="G9127" s="6"/>
      <c r="K9127" s="6"/>
    </row>
    <row r="9128" spans="3:11" x14ac:dyDescent="0.25">
      <c r="C9128" s="6"/>
      <c r="G9128" s="6"/>
      <c r="K9128" s="6"/>
    </row>
    <row r="9129" spans="3:11" x14ac:dyDescent="0.25">
      <c r="C9129" s="6"/>
      <c r="G9129" s="6"/>
      <c r="K9129" s="6"/>
    </row>
    <row r="9130" spans="3:11" x14ac:dyDescent="0.25">
      <c r="C9130" s="6"/>
      <c r="G9130" s="6"/>
      <c r="K9130" s="6"/>
    </row>
    <row r="9131" spans="3:11" x14ac:dyDescent="0.25">
      <c r="C9131" s="6"/>
      <c r="G9131" s="6"/>
      <c r="K9131" s="6"/>
    </row>
    <row r="9132" spans="3:11" x14ac:dyDescent="0.25">
      <c r="C9132" s="6"/>
      <c r="G9132" s="6"/>
      <c r="K9132" s="6"/>
    </row>
    <row r="9133" spans="3:11" x14ac:dyDescent="0.25">
      <c r="C9133" s="6"/>
      <c r="G9133" s="6"/>
      <c r="K9133" s="6"/>
    </row>
    <row r="9134" spans="3:11" x14ac:dyDescent="0.25">
      <c r="C9134" s="6"/>
      <c r="G9134" s="6"/>
      <c r="K9134" s="6"/>
    </row>
    <row r="9135" spans="3:11" x14ac:dyDescent="0.25">
      <c r="C9135" s="6"/>
      <c r="G9135" s="6"/>
      <c r="K9135" s="6"/>
    </row>
    <row r="9136" spans="3:11" x14ac:dyDescent="0.25">
      <c r="C9136" s="6"/>
      <c r="G9136" s="6"/>
      <c r="K9136" s="6"/>
    </row>
    <row r="9137" spans="3:11" x14ac:dyDescent="0.25">
      <c r="C9137" s="6"/>
      <c r="G9137" s="6"/>
      <c r="K9137" s="6"/>
    </row>
    <row r="9138" spans="3:11" x14ac:dyDescent="0.25">
      <c r="C9138" s="6"/>
      <c r="G9138" s="6"/>
      <c r="K9138" s="6"/>
    </row>
    <row r="9139" spans="3:11" x14ac:dyDescent="0.25">
      <c r="C9139" s="6"/>
      <c r="G9139" s="6"/>
      <c r="K9139" s="6"/>
    </row>
    <row r="9140" spans="3:11" x14ac:dyDescent="0.25">
      <c r="C9140" s="6"/>
      <c r="G9140" s="6"/>
      <c r="K9140" s="6"/>
    </row>
    <row r="9141" spans="3:11" x14ac:dyDescent="0.25">
      <c r="C9141" s="6"/>
      <c r="G9141" s="6"/>
      <c r="K9141" s="6"/>
    </row>
    <row r="9142" spans="3:11" x14ac:dyDescent="0.25">
      <c r="C9142" s="6"/>
      <c r="G9142" s="6"/>
      <c r="K9142" s="6"/>
    </row>
    <row r="9143" spans="3:11" x14ac:dyDescent="0.25">
      <c r="C9143" s="6"/>
      <c r="G9143" s="6"/>
      <c r="K9143" s="6"/>
    </row>
    <row r="9144" spans="3:11" x14ac:dyDescent="0.25">
      <c r="C9144" s="6"/>
      <c r="G9144" s="6"/>
      <c r="K9144" s="6"/>
    </row>
    <row r="9145" spans="3:11" x14ac:dyDescent="0.25">
      <c r="C9145" s="6"/>
      <c r="G9145" s="6"/>
      <c r="K9145" s="6"/>
    </row>
    <row r="9146" spans="3:11" x14ac:dyDescent="0.25">
      <c r="C9146" s="6"/>
      <c r="G9146" s="6"/>
      <c r="K9146" s="6"/>
    </row>
    <row r="9147" spans="3:11" x14ac:dyDescent="0.25">
      <c r="C9147" s="6"/>
      <c r="G9147" s="6"/>
      <c r="K9147" s="6"/>
    </row>
    <row r="9148" spans="3:11" x14ac:dyDescent="0.25">
      <c r="C9148" s="6"/>
      <c r="G9148" s="6"/>
      <c r="K9148" s="6"/>
    </row>
    <row r="9149" spans="3:11" x14ac:dyDescent="0.25">
      <c r="C9149" s="6"/>
      <c r="G9149" s="6"/>
      <c r="K9149" s="6"/>
    </row>
    <row r="9150" spans="3:11" x14ac:dyDescent="0.25">
      <c r="C9150" s="6"/>
      <c r="G9150" s="6"/>
      <c r="K9150" s="6"/>
    </row>
    <row r="9151" spans="3:11" x14ac:dyDescent="0.25">
      <c r="C9151" s="6"/>
      <c r="G9151" s="6"/>
      <c r="K9151" s="6"/>
    </row>
    <row r="9152" spans="3:11" x14ac:dyDescent="0.25">
      <c r="C9152" s="6"/>
      <c r="G9152" s="6"/>
      <c r="K9152" s="6"/>
    </row>
    <row r="9153" spans="3:11" x14ac:dyDescent="0.25">
      <c r="C9153" s="6"/>
      <c r="G9153" s="6"/>
      <c r="K9153" s="6"/>
    </row>
    <row r="9154" spans="3:11" x14ac:dyDescent="0.25">
      <c r="C9154" s="6"/>
      <c r="G9154" s="6"/>
      <c r="K9154" s="6"/>
    </row>
    <row r="9155" spans="3:11" x14ac:dyDescent="0.25">
      <c r="C9155" s="6"/>
      <c r="G9155" s="6"/>
      <c r="K9155" s="6"/>
    </row>
    <row r="9156" spans="3:11" x14ac:dyDescent="0.25">
      <c r="C9156" s="6"/>
      <c r="G9156" s="6"/>
      <c r="K9156" s="6"/>
    </row>
    <row r="9157" spans="3:11" x14ac:dyDescent="0.25">
      <c r="C9157" s="6"/>
      <c r="G9157" s="6"/>
      <c r="K9157" s="6"/>
    </row>
    <row r="9158" spans="3:11" x14ac:dyDescent="0.25">
      <c r="C9158" s="6"/>
      <c r="G9158" s="6"/>
      <c r="K9158" s="6"/>
    </row>
    <row r="9159" spans="3:11" x14ac:dyDescent="0.25">
      <c r="C9159" s="6"/>
      <c r="G9159" s="6"/>
      <c r="K9159" s="6"/>
    </row>
    <row r="9160" spans="3:11" x14ac:dyDescent="0.25">
      <c r="C9160" s="6"/>
      <c r="G9160" s="6"/>
      <c r="K9160" s="6"/>
    </row>
    <row r="9161" spans="3:11" x14ac:dyDescent="0.25">
      <c r="C9161" s="6"/>
      <c r="G9161" s="6"/>
      <c r="K9161" s="6"/>
    </row>
    <row r="9162" spans="3:11" x14ac:dyDescent="0.25">
      <c r="C9162" s="6"/>
      <c r="G9162" s="6"/>
      <c r="K9162" s="6"/>
    </row>
    <row r="9163" spans="3:11" x14ac:dyDescent="0.25">
      <c r="C9163" s="6"/>
      <c r="G9163" s="6"/>
      <c r="K9163" s="6"/>
    </row>
    <row r="9164" spans="3:11" x14ac:dyDescent="0.25">
      <c r="C9164" s="6"/>
      <c r="G9164" s="6"/>
      <c r="K9164" s="6"/>
    </row>
    <row r="9165" spans="3:11" x14ac:dyDescent="0.25">
      <c r="C9165" s="6"/>
      <c r="G9165" s="6"/>
      <c r="K9165" s="6"/>
    </row>
    <row r="9166" spans="3:11" x14ac:dyDescent="0.25">
      <c r="C9166" s="6"/>
      <c r="G9166" s="6"/>
      <c r="K9166" s="6"/>
    </row>
    <row r="9167" spans="3:11" x14ac:dyDescent="0.25">
      <c r="C9167" s="6"/>
      <c r="G9167" s="6"/>
      <c r="K9167" s="6"/>
    </row>
    <row r="9168" spans="3:11" x14ac:dyDescent="0.25">
      <c r="C9168" s="6"/>
      <c r="G9168" s="6"/>
      <c r="K9168" s="6"/>
    </row>
    <row r="9169" spans="3:11" x14ac:dyDescent="0.25">
      <c r="C9169" s="6"/>
      <c r="G9169" s="6"/>
      <c r="K9169" s="6"/>
    </row>
    <row r="9170" spans="3:11" x14ac:dyDescent="0.25">
      <c r="C9170" s="6"/>
      <c r="G9170" s="6"/>
      <c r="K9170" s="6"/>
    </row>
    <row r="9171" spans="3:11" x14ac:dyDescent="0.25">
      <c r="C9171" s="6"/>
      <c r="G9171" s="6"/>
      <c r="K9171" s="6"/>
    </row>
    <row r="9172" spans="3:11" x14ac:dyDescent="0.25">
      <c r="C9172" s="6"/>
      <c r="G9172" s="6"/>
      <c r="K9172" s="6"/>
    </row>
    <row r="9173" spans="3:11" x14ac:dyDescent="0.25">
      <c r="C9173" s="6"/>
      <c r="G9173" s="6"/>
      <c r="K9173" s="6"/>
    </row>
    <row r="9174" spans="3:11" x14ac:dyDescent="0.25">
      <c r="C9174" s="6"/>
      <c r="G9174" s="6"/>
      <c r="K9174" s="6"/>
    </row>
    <row r="9175" spans="3:11" x14ac:dyDescent="0.25">
      <c r="C9175" s="6"/>
      <c r="G9175" s="6"/>
      <c r="K9175" s="6"/>
    </row>
    <row r="9176" spans="3:11" x14ac:dyDescent="0.25">
      <c r="C9176" s="6"/>
      <c r="G9176" s="6"/>
      <c r="K9176" s="6"/>
    </row>
    <row r="9177" spans="3:11" x14ac:dyDescent="0.25">
      <c r="C9177" s="6"/>
      <c r="G9177" s="6"/>
      <c r="K9177" s="6"/>
    </row>
    <row r="9178" spans="3:11" x14ac:dyDescent="0.25">
      <c r="C9178" s="6"/>
      <c r="G9178" s="6"/>
      <c r="K9178" s="6"/>
    </row>
    <row r="9179" spans="3:11" x14ac:dyDescent="0.25">
      <c r="C9179" s="6"/>
      <c r="G9179" s="6"/>
      <c r="K9179" s="6"/>
    </row>
    <row r="9180" spans="3:11" x14ac:dyDescent="0.25">
      <c r="C9180" s="6"/>
      <c r="G9180" s="6"/>
      <c r="K9180" s="6"/>
    </row>
    <row r="9181" spans="3:11" x14ac:dyDescent="0.25">
      <c r="C9181" s="6"/>
      <c r="G9181" s="6"/>
      <c r="K9181" s="6"/>
    </row>
    <row r="9182" spans="3:11" x14ac:dyDescent="0.25">
      <c r="C9182" s="6"/>
      <c r="G9182" s="6"/>
      <c r="K9182" s="6"/>
    </row>
    <row r="9183" spans="3:11" x14ac:dyDescent="0.25">
      <c r="C9183" s="6"/>
      <c r="G9183" s="6"/>
      <c r="K9183" s="6"/>
    </row>
    <row r="9184" spans="3:11" x14ac:dyDescent="0.25">
      <c r="C9184" s="6"/>
      <c r="G9184" s="6"/>
      <c r="K9184" s="6"/>
    </row>
    <row r="9185" spans="3:11" x14ac:dyDescent="0.25">
      <c r="C9185" s="6"/>
      <c r="G9185" s="6"/>
      <c r="K9185" s="6"/>
    </row>
    <row r="9186" spans="3:11" x14ac:dyDescent="0.25">
      <c r="C9186" s="6"/>
      <c r="G9186" s="6"/>
      <c r="K9186" s="6"/>
    </row>
    <row r="9187" spans="3:11" x14ac:dyDescent="0.25">
      <c r="C9187" s="6"/>
      <c r="G9187" s="6"/>
      <c r="K9187" s="6"/>
    </row>
    <row r="9188" spans="3:11" x14ac:dyDescent="0.25">
      <c r="C9188" s="6"/>
      <c r="G9188" s="6"/>
      <c r="K9188" s="6"/>
    </row>
    <row r="9189" spans="3:11" x14ac:dyDescent="0.25">
      <c r="C9189" s="6"/>
      <c r="G9189" s="6"/>
      <c r="K9189" s="6"/>
    </row>
    <row r="9190" spans="3:11" x14ac:dyDescent="0.25">
      <c r="C9190" s="6"/>
      <c r="G9190" s="6"/>
      <c r="K9190" s="6"/>
    </row>
    <row r="9191" spans="3:11" x14ac:dyDescent="0.25">
      <c r="C9191" s="6"/>
      <c r="G9191" s="6"/>
      <c r="K9191" s="6"/>
    </row>
    <row r="9192" spans="3:11" x14ac:dyDescent="0.25">
      <c r="C9192" s="6"/>
      <c r="G9192" s="6"/>
      <c r="K9192" s="6"/>
    </row>
    <row r="9193" spans="3:11" x14ac:dyDescent="0.25">
      <c r="C9193" s="6"/>
      <c r="G9193" s="6"/>
      <c r="K9193" s="6"/>
    </row>
    <row r="9194" spans="3:11" x14ac:dyDescent="0.25">
      <c r="C9194" s="6"/>
      <c r="G9194" s="6"/>
      <c r="K9194" s="6"/>
    </row>
    <row r="9195" spans="3:11" x14ac:dyDescent="0.25">
      <c r="C9195" s="6"/>
      <c r="G9195" s="6"/>
      <c r="K9195" s="6"/>
    </row>
    <row r="9196" spans="3:11" x14ac:dyDescent="0.25">
      <c r="C9196" s="6"/>
      <c r="G9196" s="6"/>
      <c r="K9196" s="6"/>
    </row>
    <row r="9197" spans="3:11" x14ac:dyDescent="0.25">
      <c r="C9197" s="6"/>
      <c r="G9197" s="6"/>
      <c r="K9197" s="6"/>
    </row>
    <row r="9198" spans="3:11" x14ac:dyDescent="0.25">
      <c r="C9198" s="6"/>
      <c r="G9198" s="6"/>
      <c r="K9198" s="6"/>
    </row>
    <row r="9199" spans="3:11" x14ac:dyDescent="0.25">
      <c r="C9199" s="6"/>
      <c r="G9199" s="6"/>
      <c r="K9199" s="6"/>
    </row>
    <row r="9200" spans="3:11" x14ac:dyDescent="0.25">
      <c r="C9200" s="6"/>
      <c r="G9200" s="6"/>
      <c r="K9200" s="6"/>
    </row>
    <row r="9201" spans="3:11" x14ac:dyDescent="0.25">
      <c r="C9201" s="6"/>
      <c r="G9201" s="6"/>
      <c r="K9201" s="6"/>
    </row>
    <row r="9202" spans="3:11" x14ac:dyDescent="0.25">
      <c r="C9202" s="6"/>
      <c r="G9202" s="6"/>
      <c r="K9202" s="6"/>
    </row>
    <row r="9203" spans="3:11" x14ac:dyDescent="0.25">
      <c r="C9203" s="6"/>
      <c r="G9203" s="6"/>
      <c r="K9203" s="6"/>
    </row>
    <row r="9204" spans="3:11" x14ac:dyDescent="0.25">
      <c r="C9204" s="6"/>
      <c r="G9204" s="6"/>
      <c r="K9204" s="6"/>
    </row>
    <row r="9205" spans="3:11" x14ac:dyDescent="0.25">
      <c r="C9205" s="6"/>
      <c r="G9205" s="6"/>
      <c r="K9205" s="6"/>
    </row>
    <row r="9206" spans="3:11" x14ac:dyDescent="0.25">
      <c r="C9206" s="6"/>
      <c r="G9206" s="6"/>
      <c r="K9206" s="6"/>
    </row>
    <row r="9207" spans="3:11" x14ac:dyDescent="0.25">
      <c r="C9207" s="6"/>
      <c r="G9207" s="6"/>
      <c r="K9207" s="6"/>
    </row>
    <row r="9208" spans="3:11" x14ac:dyDescent="0.25">
      <c r="C9208" s="6"/>
      <c r="G9208" s="6"/>
      <c r="K9208" s="6"/>
    </row>
    <row r="9209" spans="3:11" x14ac:dyDescent="0.25">
      <c r="C9209" s="6"/>
      <c r="G9209" s="6"/>
      <c r="K9209" s="6"/>
    </row>
    <row r="9210" spans="3:11" x14ac:dyDescent="0.25">
      <c r="C9210" s="6"/>
      <c r="G9210" s="6"/>
      <c r="K9210" s="6"/>
    </row>
    <row r="9211" spans="3:11" x14ac:dyDescent="0.25">
      <c r="C9211" s="6"/>
      <c r="G9211" s="6"/>
      <c r="K9211" s="6"/>
    </row>
    <row r="9212" spans="3:11" x14ac:dyDescent="0.25">
      <c r="C9212" s="6"/>
      <c r="G9212" s="6"/>
      <c r="K9212" s="6"/>
    </row>
    <row r="9213" spans="3:11" x14ac:dyDescent="0.25">
      <c r="C9213" s="6"/>
      <c r="G9213" s="6"/>
      <c r="K9213" s="6"/>
    </row>
    <row r="9214" spans="3:11" x14ac:dyDescent="0.25">
      <c r="C9214" s="6"/>
      <c r="G9214" s="6"/>
      <c r="K9214" s="6"/>
    </row>
    <row r="9215" spans="3:11" x14ac:dyDescent="0.25">
      <c r="C9215" s="6"/>
      <c r="G9215" s="6"/>
      <c r="K9215" s="6"/>
    </row>
    <row r="9216" spans="3:11" x14ac:dyDescent="0.25">
      <c r="C9216" s="6"/>
      <c r="G9216" s="6"/>
      <c r="K9216" s="6"/>
    </row>
    <row r="9217" spans="3:11" x14ac:dyDescent="0.25">
      <c r="C9217" s="6"/>
      <c r="G9217" s="6"/>
      <c r="K9217" s="6"/>
    </row>
    <row r="9218" spans="3:11" x14ac:dyDescent="0.25">
      <c r="C9218" s="6"/>
      <c r="G9218" s="6"/>
      <c r="K9218" s="6"/>
    </row>
    <row r="9219" spans="3:11" x14ac:dyDescent="0.25">
      <c r="C9219" s="6"/>
      <c r="G9219" s="6"/>
      <c r="K9219" s="6"/>
    </row>
    <row r="9220" spans="3:11" x14ac:dyDescent="0.25">
      <c r="C9220" s="6"/>
      <c r="G9220" s="6"/>
      <c r="K9220" s="6"/>
    </row>
    <row r="9221" spans="3:11" x14ac:dyDescent="0.25">
      <c r="C9221" s="6"/>
      <c r="G9221" s="6"/>
      <c r="K9221" s="6"/>
    </row>
    <row r="9222" spans="3:11" x14ac:dyDescent="0.25">
      <c r="C9222" s="6"/>
      <c r="G9222" s="6"/>
      <c r="K9222" s="6"/>
    </row>
    <row r="9223" spans="3:11" x14ac:dyDescent="0.25">
      <c r="C9223" s="6"/>
      <c r="G9223" s="6"/>
      <c r="K9223" s="6"/>
    </row>
    <row r="9224" spans="3:11" x14ac:dyDescent="0.25">
      <c r="C9224" s="6"/>
      <c r="G9224" s="6"/>
      <c r="K9224" s="6"/>
    </row>
    <row r="9225" spans="3:11" x14ac:dyDescent="0.25">
      <c r="C9225" s="6"/>
      <c r="G9225" s="6"/>
      <c r="K9225" s="6"/>
    </row>
    <row r="9226" spans="3:11" x14ac:dyDescent="0.25">
      <c r="C9226" s="6"/>
      <c r="G9226" s="6"/>
      <c r="K9226" s="6"/>
    </row>
    <row r="9227" spans="3:11" x14ac:dyDescent="0.25">
      <c r="C9227" s="6"/>
      <c r="G9227" s="6"/>
      <c r="K9227" s="6"/>
    </row>
    <row r="9228" spans="3:11" x14ac:dyDescent="0.25">
      <c r="C9228" s="6"/>
      <c r="G9228" s="6"/>
      <c r="K9228" s="6"/>
    </row>
    <row r="9229" spans="3:11" x14ac:dyDescent="0.25">
      <c r="C9229" s="6"/>
      <c r="G9229" s="6"/>
      <c r="K9229" s="6"/>
    </row>
    <row r="9230" spans="3:11" x14ac:dyDescent="0.25">
      <c r="C9230" s="6"/>
      <c r="G9230" s="6"/>
      <c r="K9230" s="6"/>
    </row>
    <row r="9231" spans="3:11" x14ac:dyDescent="0.25">
      <c r="C9231" s="6"/>
      <c r="G9231" s="6"/>
      <c r="K9231" s="6"/>
    </row>
    <row r="9232" spans="3:11" x14ac:dyDescent="0.25">
      <c r="C9232" s="6"/>
      <c r="G9232" s="6"/>
      <c r="K9232" s="6"/>
    </row>
    <row r="9233" spans="3:11" x14ac:dyDescent="0.25">
      <c r="C9233" s="6"/>
      <c r="G9233" s="6"/>
      <c r="K9233" s="6"/>
    </row>
    <row r="9234" spans="3:11" x14ac:dyDescent="0.25">
      <c r="C9234" s="6"/>
      <c r="G9234" s="6"/>
      <c r="K9234" s="6"/>
    </row>
    <row r="9235" spans="3:11" x14ac:dyDescent="0.25">
      <c r="C9235" s="6"/>
      <c r="G9235" s="6"/>
      <c r="K9235" s="6"/>
    </row>
    <row r="9236" spans="3:11" x14ac:dyDescent="0.25">
      <c r="C9236" s="6"/>
      <c r="G9236" s="6"/>
      <c r="K9236" s="6"/>
    </row>
    <row r="9237" spans="3:11" x14ac:dyDescent="0.25">
      <c r="C9237" s="6"/>
      <c r="G9237" s="6"/>
      <c r="K9237" s="6"/>
    </row>
    <row r="9238" spans="3:11" x14ac:dyDescent="0.25">
      <c r="C9238" s="6"/>
      <c r="G9238" s="6"/>
      <c r="K9238" s="6"/>
    </row>
    <row r="9239" spans="3:11" x14ac:dyDescent="0.25">
      <c r="C9239" s="6"/>
      <c r="G9239" s="6"/>
      <c r="K9239" s="6"/>
    </row>
    <row r="9240" spans="3:11" x14ac:dyDescent="0.25">
      <c r="C9240" s="6"/>
      <c r="G9240" s="6"/>
      <c r="K9240" s="6"/>
    </row>
    <row r="9241" spans="3:11" x14ac:dyDescent="0.25">
      <c r="C9241" s="6"/>
      <c r="G9241" s="6"/>
      <c r="K9241" s="6"/>
    </row>
    <row r="9242" spans="3:11" x14ac:dyDescent="0.25">
      <c r="C9242" s="6"/>
      <c r="G9242" s="6"/>
      <c r="K9242" s="6"/>
    </row>
    <row r="9243" spans="3:11" x14ac:dyDescent="0.25">
      <c r="C9243" s="6"/>
      <c r="G9243" s="6"/>
      <c r="K9243" s="6"/>
    </row>
    <row r="9244" spans="3:11" x14ac:dyDescent="0.25">
      <c r="C9244" s="6"/>
      <c r="G9244" s="6"/>
      <c r="K9244" s="6"/>
    </row>
    <row r="9245" spans="3:11" x14ac:dyDescent="0.25">
      <c r="C9245" s="6"/>
      <c r="G9245" s="6"/>
      <c r="K9245" s="6"/>
    </row>
    <row r="9246" spans="3:11" x14ac:dyDescent="0.25">
      <c r="C9246" s="6"/>
      <c r="G9246" s="6"/>
      <c r="K9246" s="6"/>
    </row>
    <row r="9247" spans="3:11" x14ac:dyDescent="0.25">
      <c r="C9247" s="6"/>
      <c r="G9247" s="6"/>
      <c r="K9247" s="6"/>
    </row>
    <row r="9248" spans="3:11" x14ac:dyDescent="0.25">
      <c r="C9248" s="6"/>
      <c r="G9248" s="6"/>
      <c r="K9248" s="6"/>
    </row>
    <row r="9249" spans="3:11" x14ac:dyDescent="0.25">
      <c r="C9249" s="6"/>
      <c r="G9249" s="6"/>
      <c r="K9249" s="6"/>
    </row>
    <row r="9250" spans="3:11" x14ac:dyDescent="0.25">
      <c r="C9250" s="6"/>
      <c r="G9250" s="6"/>
      <c r="K9250" s="6"/>
    </row>
    <row r="9251" spans="3:11" x14ac:dyDescent="0.25">
      <c r="C9251" s="6"/>
      <c r="G9251" s="6"/>
      <c r="K9251" s="6"/>
    </row>
    <row r="9252" spans="3:11" x14ac:dyDescent="0.25">
      <c r="C9252" s="6"/>
      <c r="G9252" s="6"/>
      <c r="K9252" s="6"/>
    </row>
    <row r="9253" spans="3:11" x14ac:dyDescent="0.25">
      <c r="C9253" s="6"/>
      <c r="G9253" s="6"/>
      <c r="K9253" s="6"/>
    </row>
    <row r="9254" spans="3:11" x14ac:dyDescent="0.25">
      <c r="C9254" s="6"/>
      <c r="G9254" s="6"/>
      <c r="K9254" s="6"/>
    </row>
    <row r="9255" spans="3:11" x14ac:dyDescent="0.25">
      <c r="C9255" s="6"/>
      <c r="G9255" s="6"/>
      <c r="K9255" s="6"/>
    </row>
    <row r="9256" spans="3:11" x14ac:dyDescent="0.25">
      <c r="C9256" s="6"/>
      <c r="G9256" s="6"/>
      <c r="K9256" s="6"/>
    </row>
    <row r="9257" spans="3:11" x14ac:dyDescent="0.25">
      <c r="C9257" s="6"/>
      <c r="G9257" s="6"/>
      <c r="K9257" s="6"/>
    </row>
    <row r="9258" spans="3:11" x14ac:dyDescent="0.25">
      <c r="C9258" s="6"/>
      <c r="G9258" s="6"/>
      <c r="K9258" s="6"/>
    </row>
    <row r="9259" spans="3:11" x14ac:dyDescent="0.25">
      <c r="C9259" s="6"/>
      <c r="G9259" s="6"/>
      <c r="K9259" s="6"/>
    </row>
    <row r="9260" spans="3:11" x14ac:dyDescent="0.25">
      <c r="C9260" s="6"/>
      <c r="G9260" s="6"/>
      <c r="K9260" s="6"/>
    </row>
    <row r="9261" spans="3:11" x14ac:dyDescent="0.25">
      <c r="C9261" s="6"/>
      <c r="G9261" s="6"/>
      <c r="K9261" s="6"/>
    </row>
    <row r="9262" spans="3:11" x14ac:dyDescent="0.25">
      <c r="C9262" s="6"/>
      <c r="G9262" s="6"/>
      <c r="K9262" s="6"/>
    </row>
    <row r="9263" spans="3:11" x14ac:dyDescent="0.25">
      <c r="C9263" s="6"/>
      <c r="G9263" s="6"/>
      <c r="K9263" s="6"/>
    </row>
    <row r="9264" spans="3:11" x14ac:dyDescent="0.25">
      <c r="C9264" s="6"/>
      <c r="G9264" s="6"/>
      <c r="K9264" s="6"/>
    </row>
    <row r="9265" spans="3:11" x14ac:dyDescent="0.25">
      <c r="C9265" s="6"/>
      <c r="G9265" s="6"/>
      <c r="K9265" s="6"/>
    </row>
    <row r="9266" spans="3:11" x14ac:dyDescent="0.25">
      <c r="C9266" s="6"/>
      <c r="G9266" s="6"/>
      <c r="K9266" s="6"/>
    </row>
    <row r="9267" spans="3:11" x14ac:dyDescent="0.25">
      <c r="C9267" s="6"/>
      <c r="G9267" s="6"/>
      <c r="K9267" s="6"/>
    </row>
    <row r="9268" spans="3:11" x14ac:dyDescent="0.25">
      <c r="C9268" s="6"/>
      <c r="G9268" s="6"/>
      <c r="K9268" s="6"/>
    </row>
    <row r="9269" spans="3:11" x14ac:dyDescent="0.25">
      <c r="C9269" s="6"/>
      <c r="G9269" s="6"/>
      <c r="K9269" s="6"/>
    </row>
    <row r="9270" spans="3:11" x14ac:dyDescent="0.25">
      <c r="C9270" s="6"/>
      <c r="G9270" s="6"/>
      <c r="K9270" s="6"/>
    </row>
    <row r="9271" spans="3:11" x14ac:dyDescent="0.25">
      <c r="C9271" s="6"/>
      <c r="G9271" s="6"/>
      <c r="K9271" s="6"/>
    </row>
    <row r="9272" spans="3:11" x14ac:dyDescent="0.25">
      <c r="C9272" s="6"/>
      <c r="G9272" s="6"/>
      <c r="K9272" s="6"/>
    </row>
    <row r="9273" spans="3:11" x14ac:dyDescent="0.25">
      <c r="C9273" s="6"/>
      <c r="G9273" s="6"/>
      <c r="K9273" s="6"/>
    </row>
    <row r="9274" spans="3:11" x14ac:dyDescent="0.25">
      <c r="C9274" s="6"/>
      <c r="G9274" s="6"/>
      <c r="K9274" s="6"/>
    </row>
    <row r="9275" spans="3:11" x14ac:dyDescent="0.25">
      <c r="C9275" s="6"/>
      <c r="G9275" s="6"/>
      <c r="K9275" s="6"/>
    </row>
    <row r="9276" spans="3:11" x14ac:dyDescent="0.25">
      <c r="C9276" s="6"/>
      <c r="G9276" s="6"/>
      <c r="K9276" s="6"/>
    </row>
    <row r="9277" spans="3:11" x14ac:dyDescent="0.25">
      <c r="C9277" s="6"/>
      <c r="G9277" s="6"/>
      <c r="K9277" s="6"/>
    </row>
    <row r="9278" spans="3:11" x14ac:dyDescent="0.25">
      <c r="C9278" s="6"/>
      <c r="G9278" s="6"/>
      <c r="K9278" s="6"/>
    </row>
    <row r="9279" spans="3:11" x14ac:dyDescent="0.25">
      <c r="C9279" s="6"/>
      <c r="G9279" s="6"/>
      <c r="K9279" s="6"/>
    </row>
    <row r="9280" spans="3:11" x14ac:dyDescent="0.25">
      <c r="C9280" s="6"/>
      <c r="G9280" s="6"/>
      <c r="K9280" s="6"/>
    </row>
    <row r="9281" spans="3:11" x14ac:dyDescent="0.25">
      <c r="C9281" s="6"/>
      <c r="G9281" s="6"/>
      <c r="K9281" s="6"/>
    </row>
    <row r="9282" spans="3:11" x14ac:dyDescent="0.25">
      <c r="C9282" s="6"/>
      <c r="G9282" s="6"/>
      <c r="K9282" s="6"/>
    </row>
    <row r="9283" spans="3:11" x14ac:dyDescent="0.25">
      <c r="C9283" s="6"/>
      <c r="G9283" s="6"/>
      <c r="K9283" s="6"/>
    </row>
    <row r="9284" spans="3:11" x14ac:dyDescent="0.25">
      <c r="C9284" s="6"/>
      <c r="G9284" s="6"/>
      <c r="K9284" s="6"/>
    </row>
    <row r="9285" spans="3:11" x14ac:dyDescent="0.25">
      <c r="C9285" s="6"/>
      <c r="G9285" s="6"/>
      <c r="K9285" s="6"/>
    </row>
    <row r="9286" spans="3:11" x14ac:dyDescent="0.25">
      <c r="C9286" s="6"/>
      <c r="G9286" s="6"/>
      <c r="K9286" s="6"/>
    </row>
    <row r="9287" spans="3:11" x14ac:dyDescent="0.25">
      <c r="C9287" s="6"/>
      <c r="G9287" s="6"/>
      <c r="K9287" s="6"/>
    </row>
    <row r="9288" spans="3:11" x14ac:dyDescent="0.25">
      <c r="C9288" s="6"/>
      <c r="G9288" s="6"/>
      <c r="K9288" s="6"/>
    </row>
    <row r="9289" spans="3:11" x14ac:dyDescent="0.25">
      <c r="C9289" s="6"/>
      <c r="G9289" s="6"/>
      <c r="K9289" s="6"/>
    </row>
    <row r="9290" spans="3:11" x14ac:dyDescent="0.25">
      <c r="C9290" s="6"/>
      <c r="G9290" s="6"/>
      <c r="K9290" s="6"/>
    </row>
    <row r="9291" spans="3:11" x14ac:dyDescent="0.25">
      <c r="C9291" s="6"/>
      <c r="G9291" s="6"/>
      <c r="K9291" s="6"/>
    </row>
    <row r="9292" spans="3:11" x14ac:dyDescent="0.25">
      <c r="C9292" s="6"/>
      <c r="G9292" s="6"/>
      <c r="K9292" s="6"/>
    </row>
    <row r="9293" spans="3:11" x14ac:dyDescent="0.25">
      <c r="C9293" s="6"/>
      <c r="G9293" s="6"/>
      <c r="K9293" s="6"/>
    </row>
    <row r="9294" spans="3:11" x14ac:dyDescent="0.25">
      <c r="C9294" s="6"/>
      <c r="G9294" s="6"/>
      <c r="K9294" s="6"/>
    </row>
    <row r="9295" spans="3:11" x14ac:dyDescent="0.25">
      <c r="C9295" s="6"/>
      <c r="G9295" s="6"/>
      <c r="K9295" s="6"/>
    </row>
    <row r="9296" spans="3:11" x14ac:dyDescent="0.25">
      <c r="C9296" s="6"/>
      <c r="G9296" s="6"/>
      <c r="K9296" s="6"/>
    </row>
    <row r="9297" spans="3:11" x14ac:dyDescent="0.25">
      <c r="C9297" s="6"/>
      <c r="G9297" s="6"/>
      <c r="K9297" s="6"/>
    </row>
    <row r="9298" spans="3:11" x14ac:dyDescent="0.25">
      <c r="C9298" s="6"/>
      <c r="G9298" s="6"/>
      <c r="K9298" s="6"/>
    </row>
    <row r="9299" spans="3:11" x14ac:dyDescent="0.25">
      <c r="C9299" s="6"/>
      <c r="G9299" s="6"/>
      <c r="K9299" s="6"/>
    </row>
    <row r="9300" spans="3:11" x14ac:dyDescent="0.25">
      <c r="C9300" s="6"/>
      <c r="G9300" s="6"/>
      <c r="K9300" s="6"/>
    </row>
    <row r="9301" spans="3:11" x14ac:dyDescent="0.25">
      <c r="C9301" s="6"/>
      <c r="G9301" s="6"/>
      <c r="K9301" s="6"/>
    </row>
    <row r="9302" spans="3:11" x14ac:dyDescent="0.25">
      <c r="C9302" s="6"/>
      <c r="G9302" s="6"/>
      <c r="K9302" s="6"/>
    </row>
    <row r="9303" spans="3:11" x14ac:dyDescent="0.25">
      <c r="C9303" s="6"/>
      <c r="G9303" s="6"/>
      <c r="K9303" s="6"/>
    </row>
    <row r="9304" spans="3:11" x14ac:dyDescent="0.25">
      <c r="C9304" s="6"/>
      <c r="G9304" s="6"/>
      <c r="K9304" s="6"/>
    </row>
    <row r="9305" spans="3:11" x14ac:dyDescent="0.25">
      <c r="C9305" s="6"/>
      <c r="G9305" s="6"/>
      <c r="K9305" s="6"/>
    </row>
    <row r="9306" spans="3:11" x14ac:dyDescent="0.25">
      <c r="C9306" s="6"/>
      <c r="G9306" s="6"/>
      <c r="K9306" s="6"/>
    </row>
    <row r="9307" spans="3:11" x14ac:dyDescent="0.25">
      <c r="C9307" s="6"/>
      <c r="G9307" s="6"/>
      <c r="K9307" s="6"/>
    </row>
    <row r="9308" spans="3:11" x14ac:dyDescent="0.25">
      <c r="C9308" s="6"/>
      <c r="G9308" s="6"/>
      <c r="K9308" s="6"/>
    </row>
    <row r="9309" spans="3:11" x14ac:dyDescent="0.25">
      <c r="C9309" s="6"/>
      <c r="G9309" s="6"/>
      <c r="K9309" s="6"/>
    </row>
    <row r="9310" spans="3:11" x14ac:dyDescent="0.25">
      <c r="C9310" s="6"/>
      <c r="G9310" s="6"/>
      <c r="K9310" s="6"/>
    </row>
    <row r="9311" spans="3:11" x14ac:dyDescent="0.25">
      <c r="C9311" s="6"/>
      <c r="G9311" s="6"/>
      <c r="K9311" s="6"/>
    </row>
    <row r="9312" spans="3:11" x14ac:dyDescent="0.25">
      <c r="C9312" s="6"/>
      <c r="G9312" s="6"/>
      <c r="K9312" s="6"/>
    </row>
    <row r="9313" spans="3:11" x14ac:dyDescent="0.25">
      <c r="C9313" s="6"/>
      <c r="G9313" s="6"/>
      <c r="K9313" s="6"/>
    </row>
    <row r="9314" spans="3:11" x14ac:dyDescent="0.25">
      <c r="C9314" s="6"/>
      <c r="G9314" s="6"/>
      <c r="K9314" s="6"/>
    </row>
    <row r="9315" spans="3:11" x14ac:dyDescent="0.25">
      <c r="C9315" s="6"/>
      <c r="G9315" s="6"/>
      <c r="K9315" s="6"/>
    </row>
    <row r="9316" spans="3:11" x14ac:dyDescent="0.25">
      <c r="C9316" s="6"/>
      <c r="G9316" s="6"/>
      <c r="K9316" s="6"/>
    </row>
    <row r="9317" spans="3:11" x14ac:dyDescent="0.25">
      <c r="C9317" s="6"/>
      <c r="G9317" s="6"/>
      <c r="K9317" s="6"/>
    </row>
    <row r="9318" spans="3:11" x14ac:dyDescent="0.25">
      <c r="C9318" s="6"/>
      <c r="G9318" s="6"/>
      <c r="K9318" s="6"/>
    </row>
    <row r="9319" spans="3:11" x14ac:dyDescent="0.25">
      <c r="C9319" s="6"/>
      <c r="G9319" s="6"/>
      <c r="K9319" s="6"/>
    </row>
    <row r="9320" spans="3:11" x14ac:dyDescent="0.25">
      <c r="C9320" s="6"/>
      <c r="G9320" s="6"/>
      <c r="K9320" s="6"/>
    </row>
    <row r="9321" spans="3:11" x14ac:dyDescent="0.25">
      <c r="C9321" s="6"/>
      <c r="G9321" s="6"/>
      <c r="K9321" s="6"/>
    </row>
    <row r="9322" spans="3:11" x14ac:dyDescent="0.25">
      <c r="C9322" s="6"/>
      <c r="G9322" s="6"/>
      <c r="K9322" s="6"/>
    </row>
    <row r="9323" spans="3:11" x14ac:dyDescent="0.25">
      <c r="C9323" s="6"/>
      <c r="G9323" s="6"/>
      <c r="K9323" s="6"/>
    </row>
    <row r="9324" spans="3:11" x14ac:dyDescent="0.25">
      <c r="C9324" s="6"/>
      <c r="G9324" s="6"/>
      <c r="K9324" s="6"/>
    </row>
    <row r="9325" spans="3:11" x14ac:dyDescent="0.25">
      <c r="C9325" s="6"/>
      <c r="G9325" s="6"/>
      <c r="K9325" s="6"/>
    </row>
    <row r="9326" spans="3:11" x14ac:dyDescent="0.25">
      <c r="C9326" s="6"/>
      <c r="G9326" s="6"/>
      <c r="K9326" s="6"/>
    </row>
    <row r="9327" spans="3:11" x14ac:dyDescent="0.25">
      <c r="C9327" s="6"/>
      <c r="G9327" s="6"/>
      <c r="K9327" s="6"/>
    </row>
    <row r="9328" spans="3:11" x14ac:dyDescent="0.25">
      <c r="C9328" s="6"/>
      <c r="G9328" s="6"/>
      <c r="K9328" s="6"/>
    </row>
    <row r="9329" spans="3:11" x14ac:dyDescent="0.25">
      <c r="C9329" s="6"/>
      <c r="G9329" s="6"/>
      <c r="K9329" s="6"/>
    </row>
    <row r="9330" spans="3:11" x14ac:dyDescent="0.25">
      <c r="C9330" s="6"/>
      <c r="G9330" s="6"/>
      <c r="K9330" s="6"/>
    </row>
    <row r="9331" spans="3:11" x14ac:dyDescent="0.25">
      <c r="C9331" s="6"/>
      <c r="G9331" s="6"/>
      <c r="K9331" s="6"/>
    </row>
    <row r="9332" spans="3:11" x14ac:dyDescent="0.25">
      <c r="C9332" s="6"/>
      <c r="G9332" s="6"/>
      <c r="K9332" s="6"/>
    </row>
    <row r="9333" spans="3:11" x14ac:dyDescent="0.25">
      <c r="C9333" s="6"/>
      <c r="G9333" s="6"/>
      <c r="K9333" s="6"/>
    </row>
    <row r="9334" spans="3:11" x14ac:dyDescent="0.25">
      <c r="C9334" s="6"/>
      <c r="G9334" s="6"/>
      <c r="K9334" s="6"/>
    </row>
    <row r="9335" spans="3:11" x14ac:dyDescent="0.25">
      <c r="C9335" s="6"/>
      <c r="G9335" s="6"/>
      <c r="K9335" s="6"/>
    </row>
    <row r="9336" spans="3:11" x14ac:dyDescent="0.25">
      <c r="C9336" s="6"/>
      <c r="G9336" s="6"/>
      <c r="K9336" s="6"/>
    </row>
    <row r="9337" spans="3:11" x14ac:dyDescent="0.25">
      <c r="C9337" s="6"/>
      <c r="G9337" s="6"/>
      <c r="K9337" s="6"/>
    </row>
    <row r="9338" spans="3:11" x14ac:dyDescent="0.25">
      <c r="C9338" s="6"/>
      <c r="G9338" s="6"/>
      <c r="K9338" s="6"/>
    </row>
    <row r="9339" spans="3:11" x14ac:dyDescent="0.25">
      <c r="C9339" s="6"/>
      <c r="G9339" s="6"/>
      <c r="K9339" s="6"/>
    </row>
    <row r="9340" spans="3:11" x14ac:dyDescent="0.25">
      <c r="C9340" s="6"/>
      <c r="G9340" s="6"/>
      <c r="K9340" s="6"/>
    </row>
    <row r="9341" spans="3:11" x14ac:dyDescent="0.25">
      <c r="C9341" s="6"/>
      <c r="G9341" s="6"/>
      <c r="K9341" s="6"/>
    </row>
    <row r="9342" spans="3:11" x14ac:dyDescent="0.25">
      <c r="C9342" s="6"/>
      <c r="G9342" s="6"/>
      <c r="K9342" s="6"/>
    </row>
    <row r="9343" spans="3:11" x14ac:dyDescent="0.25">
      <c r="C9343" s="6"/>
      <c r="G9343" s="6"/>
      <c r="K9343" s="6"/>
    </row>
    <row r="9344" spans="3:11" x14ac:dyDescent="0.25">
      <c r="C9344" s="6"/>
      <c r="G9344" s="6"/>
      <c r="K9344" s="6"/>
    </row>
    <row r="9345" spans="3:11" x14ac:dyDescent="0.25">
      <c r="C9345" s="6"/>
      <c r="G9345" s="6"/>
      <c r="K9345" s="6"/>
    </row>
    <row r="9346" spans="3:11" x14ac:dyDescent="0.25">
      <c r="C9346" s="6"/>
      <c r="G9346" s="6"/>
      <c r="K9346" s="6"/>
    </row>
    <row r="9347" spans="3:11" x14ac:dyDescent="0.25">
      <c r="C9347" s="6"/>
      <c r="G9347" s="6"/>
      <c r="K9347" s="6"/>
    </row>
    <row r="9348" spans="3:11" x14ac:dyDescent="0.25">
      <c r="C9348" s="6"/>
      <c r="G9348" s="6"/>
      <c r="K9348" s="6"/>
    </row>
    <row r="9349" spans="3:11" x14ac:dyDescent="0.25">
      <c r="C9349" s="6"/>
      <c r="G9349" s="6"/>
      <c r="K9349" s="6"/>
    </row>
    <row r="9350" spans="3:11" x14ac:dyDescent="0.25">
      <c r="C9350" s="6"/>
      <c r="G9350" s="6"/>
      <c r="K9350" s="6"/>
    </row>
    <row r="9351" spans="3:11" x14ac:dyDescent="0.25">
      <c r="C9351" s="6"/>
      <c r="G9351" s="6"/>
      <c r="K9351" s="6"/>
    </row>
    <row r="9352" spans="3:11" x14ac:dyDescent="0.25">
      <c r="C9352" s="6"/>
      <c r="G9352" s="6"/>
      <c r="K9352" s="6"/>
    </row>
    <row r="9353" spans="3:11" x14ac:dyDescent="0.25">
      <c r="C9353" s="6"/>
      <c r="G9353" s="6"/>
      <c r="K9353" s="6"/>
    </row>
    <row r="9354" spans="3:11" x14ac:dyDescent="0.25">
      <c r="C9354" s="6"/>
      <c r="G9354" s="6"/>
      <c r="K9354" s="6"/>
    </row>
    <row r="9355" spans="3:11" x14ac:dyDescent="0.25">
      <c r="C9355" s="6"/>
      <c r="G9355" s="6"/>
      <c r="K9355" s="6"/>
    </row>
    <row r="9356" spans="3:11" x14ac:dyDescent="0.25">
      <c r="C9356" s="6"/>
      <c r="G9356" s="6"/>
      <c r="K9356" s="6"/>
    </row>
    <row r="9357" spans="3:11" x14ac:dyDescent="0.25">
      <c r="C9357" s="6"/>
      <c r="G9357" s="6"/>
      <c r="K9357" s="6"/>
    </row>
    <row r="9358" spans="3:11" x14ac:dyDescent="0.25">
      <c r="C9358" s="6"/>
      <c r="G9358" s="6"/>
      <c r="K9358" s="6"/>
    </row>
    <row r="9359" spans="3:11" x14ac:dyDescent="0.25">
      <c r="C9359" s="6"/>
      <c r="G9359" s="6"/>
      <c r="K9359" s="6"/>
    </row>
    <row r="9360" spans="3:11" x14ac:dyDescent="0.25">
      <c r="C9360" s="6"/>
      <c r="G9360" s="6"/>
      <c r="K9360" s="6"/>
    </row>
    <row r="9361" spans="3:11" x14ac:dyDescent="0.25">
      <c r="C9361" s="6"/>
      <c r="G9361" s="6"/>
      <c r="K9361" s="6"/>
    </row>
    <row r="9362" spans="3:11" x14ac:dyDescent="0.25">
      <c r="C9362" s="6"/>
      <c r="G9362" s="6"/>
      <c r="K9362" s="6"/>
    </row>
    <row r="9363" spans="3:11" x14ac:dyDescent="0.25">
      <c r="C9363" s="6"/>
      <c r="G9363" s="6"/>
      <c r="K9363" s="6"/>
    </row>
    <row r="9364" spans="3:11" x14ac:dyDescent="0.25">
      <c r="C9364" s="6"/>
      <c r="G9364" s="6"/>
      <c r="K9364" s="6"/>
    </row>
    <row r="9365" spans="3:11" x14ac:dyDescent="0.25">
      <c r="C9365" s="6"/>
      <c r="G9365" s="6"/>
      <c r="K9365" s="6"/>
    </row>
    <row r="9366" spans="3:11" x14ac:dyDescent="0.25">
      <c r="C9366" s="6"/>
      <c r="G9366" s="6"/>
      <c r="K9366" s="6"/>
    </row>
    <row r="9367" spans="3:11" x14ac:dyDescent="0.25">
      <c r="C9367" s="6"/>
      <c r="G9367" s="6"/>
      <c r="K9367" s="6"/>
    </row>
    <row r="9368" spans="3:11" x14ac:dyDescent="0.25">
      <c r="C9368" s="6"/>
      <c r="G9368" s="6"/>
      <c r="K9368" s="6"/>
    </row>
    <row r="9369" spans="3:11" x14ac:dyDescent="0.25">
      <c r="C9369" s="6"/>
      <c r="G9369" s="6"/>
      <c r="K9369" s="6"/>
    </row>
    <row r="9370" spans="3:11" x14ac:dyDescent="0.25">
      <c r="C9370" s="6"/>
      <c r="G9370" s="6"/>
      <c r="K9370" s="6"/>
    </row>
    <row r="9371" spans="3:11" x14ac:dyDescent="0.25">
      <c r="C9371" s="6"/>
      <c r="G9371" s="6"/>
      <c r="K9371" s="6"/>
    </row>
    <row r="9372" spans="3:11" x14ac:dyDescent="0.25">
      <c r="C9372" s="6"/>
      <c r="G9372" s="6"/>
      <c r="K9372" s="6"/>
    </row>
    <row r="9373" spans="3:11" x14ac:dyDescent="0.25">
      <c r="C9373" s="6"/>
      <c r="G9373" s="6"/>
      <c r="K9373" s="6"/>
    </row>
    <row r="9374" spans="3:11" x14ac:dyDescent="0.25">
      <c r="C9374" s="6"/>
      <c r="G9374" s="6"/>
      <c r="K9374" s="6"/>
    </row>
    <row r="9375" spans="3:11" x14ac:dyDescent="0.25">
      <c r="C9375" s="6"/>
      <c r="G9375" s="6"/>
      <c r="K9375" s="6"/>
    </row>
    <row r="9376" spans="3:11" x14ac:dyDescent="0.25">
      <c r="C9376" s="6"/>
      <c r="G9376" s="6"/>
      <c r="K9376" s="6"/>
    </row>
    <row r="9377" spans="3:11" x14ac:dyDescent="0.25">
      <c r="C9377" s="6"/>
      <c r="G9377" s="6"/>
      <c r="K9377" s="6"/>
    </row>
    <row r="9378" spans="3:11" x14ac:dyDescent="0.25">
      <c r="C9378" s="6"/>
      <c r="G9378" s="6"/>
      <c r="K9378" s="6"/>
    </row>
    <row r="9379" spans="3:11" x14ac:dyDescent="0.25">
      <c r="C9379" s="6"/>
      <c r="G9379" s="6"/>
      <c r="K9379" s="6"/>
    </row>
    <row r="9380" spans="3:11" x14ac:dyDescent="0.25">
      <c r="C9380" s="6"/>
      <c r="G9380" s="6"/>
      <c r="K9380" s="6"/>
    </row>
    <row r="9381" spans="3:11" x14ac:dyDescent="0.25">
      <c r="C9381" s="6"/>
      <c r="G9381" s="6"/>
      <c r="K9381" s="6"/>
    </row>
    <row r="9382" spans="3:11" x14ac:dyDescent="0.25">
      <c r="C9382" s="6"/>
      <c r="G9382" s="6"/>
      <c r="K9382" s="6"/>
    </row>
    <row r="9383" spans="3:11" x14ac:dyDescent="0.25">
      <c r="C9383" s="6"/>
      <c r="G9383" s="6"/>
      <c r="K9383" s="6"/>
    </row>
    <row r="9384" spans="3:11" x14ac:dyDescent="0.25">
      <c r="C9384" s="6"/>
      <c r="G9384" s="6"/>
      <c r="K9384" s="6"/>
    </row>
    <row r="9385" spans="3:11" x14ac:dyDescent="0.25">
      <c r="C9385" s="6"/>
      <c r="G9385" s="6"/>
      <c r="K9385" s="6"/>
    </row>
    <row r="9386" spans="3:11" x14ac:dyDescent="0.25">
      <c r="C9386" s="6"/>
      <c r="G9386" s="6"/>
      <c r="K9386" s="6"/>
    </row>
    <row r="9387" spans="3:11" x14ac:dyDescent="0.25">
      <c r="C9387" s="6"/>
      <c r="G9387" s="6"/>
      <c r="K9387" s="6"/>
    </row>
    <row r="9388" spans="3:11" x14ac:dyDescent="0.25">
      <c r="C9388" s="6"/>
      <c r="G9388" s="6"/>
      <c r="K9388" s="6"/>
    </row>
    <row r="9389" spans="3:11" x14ac:dyDescent="0.25">
      <c r="C9389" s="6"/>
      <c r="G9389" s="6"/>
      <c r="K9389" s="6"/>
    </row>
    <row r="9390" spans="3:11" x14ac:dyDescent="0.25">
      <c r="C9390" s="6"/>
      <c r="G9390" s="6"/>
      <c r="K9390" s="6"/>
    </row>
    <row r="9391" spans="3:11" x14ac:dyDescent="0.25">
      <c r="C9391" s="6"/>
      <c r="G9391" s="6"/>
      <c r="K9391" s="6"/>
    </row>
    <row r="9392" spans="3:11" x14ac:dyDescent="0.25">
      <c r="C9392" s="6"/>
      <c r="G9392" s="6"/>
      <c r="K9392" s="6"/>
    </row>
    <row r="9393" spans="3:11" x14ac:dyDescent="0.25">
      <c r="C9393" s="6"/>
      <c r="G9393" s="6"/>
      <c r="K9393" s="6"/>
    </row>
    <row r="9394" spans="3:11" x14ac:dyDescent="0.25">
      <c r="C9394" s="6"/>
      <c r="G9394" s="6"/>
      <c r="K9394" s="6"/>
    </row>
    <row r="9395" spans="3:11" x14ac:dyDescent="0.25">
      <c r="C9395" s="6"/>
      <c r="G9395" s="6"/>
      <c r="K9395" s="6"/>
    </row>
    <row r="9396" spans="3:11" x14ac:dyDescent="0.25">
      <c r="C9396" s="6"/>
      <c r="G9396" s="6"/>
      <c r="K9396" s="6"/>
    </row>
    <row r="9397" spans="3:11" x14ac:dyDescent="0.25">
      <c r="C9397" s="6"/>
      <c r="G9397" s="6"/>
      <c r="K9397" s="6"/>
    </row>
    <row r="9398" spans="3:11" x14ac:dyDescent="0.25">
      <c r="C9398" s="6"/>
      <c r="G9398" s="6"/>
      <c r="K9398" s="6"/>
    </row>
    <row r="9399" spans="3:11" x14ac:dyDescent="0.25">
      <c r="C9399" s="6"/>
      <c r="G9399" s="6"/>
      <c r="K9399" s="6"/>
    </row>
    <row r="9400" spans="3:11" x14ac:dyDescent="0.25">
      <c r="C9400" s="6"/>
      <c r="G9400" s="6"/>
      <c r="K9400" s="6"/>
    </row>
    <row r="9401" spans="3:11" x14ac:dyDescent="0.25">
      <c r="C9401" s="6"/>
      <c r="G9401" s="6"/>
      <c r="K9401" s="6"/>
    </row>
    <row r="9402" spans="3:11" x14ac:dyDescent="0.25">
      <c r="C9402" s="6"/>
      <c r="G9402" s="6"/>
      <c r="K9402" s="6"/>
    </row>
    <row r="9403" spans="3:11" x14ac:dyDescent="0.25">
      <c r="C9403" s="6"/>
      <c r="G9403" s="6"/>
      <c r="K9403" s="6"/>
    </row>
    <row r="9404" spans="3:11" x14ac:dyDescent="0.25">
      <c r="C9404" s="6"/>
      <c r="G9404" s="6"/>
      <c r="K9404" s="6"/>
    </row>
    <row r="9405" spans="3:11" x14ac:dyDescent="0.25">
      <c r="C9405" s="6"/>
      <c r="G9405" s="6"/>
      <c r="K9405" s="6"/>
    </row>
    <row r="9406" spans="3:11" x14ac:dyDescent="0.25">
      <c r="C9406" s="6"/>
      <c r="G9406" s="6"/>
      <c r="K9406" s="6"/>
    </row>
    <row r="9407" spans="3:11" x14ac:dyDescent="0.25">
      <c r="C9407" s="6"/>
      <c r="G9407" s="6"/>
      <c r="K9407" s="6"/>
    </row>
    <row r="9408" spans="3:11" x14ac:dyDescent="0.25">
      <c r="C9408" s="6"/>
      <c r="G9408" s="6"/>
      <c r="K9408" s="6"/>
    </row>
    <row r="9409" spans="3:11" x14ac:dyDescent="0.25">
      <c r="C9409" s="6"/>
      <c r="G9409" s="6"/>
      <c r="K9409" s="6"/>
    </row>
    <row r="9410" spans="3:11" x14ac:dyDescent="0.25">
      <c r="C9410" s="6"/>
      <c r="G9410" s="6"/>
      <c r="K9410" s="6"/>
    </row>
    <row r="9411" spans="3:11" x14ac:dyDescent="0.25">
      <c r="C9411" s="6"/>
      <c r="G9411" s="6"/>
      <c r="K9411" s="6"/>
    </row>
    <row r="9412" spans="3:11" x14ac:dyDescent="0.25">
      <c r="C9412" s="6"/>
      <c r="G9412" s="6"/>
      <c r="K9412" s="6"/>
    </row>
    <row r="9413" spans="3:11" x14ac:dyDescent="0.25">
      <c r="C9413" s="6"/>
      <c r="G9413" s="6"/>
      <c r="K9413" s="6"/>
    </row>
    <row r="9414" spans="3:11" x14ac:dyDescent="0.25">
      <c r="C9414" s="6"/>
      <c r="G9414" s="6"/>
      <c r="K9414" s="6"/>
    </row>
    <row r="9415" spans="3:11" x14ac:dyDescent="0.25">
      <c r="C9415" s="6"/>
      <c r="G9415" s="6"/>
      <c r="K9415" s="6"/>
    </row>
    <row r="9416" spans="3:11" x14ac:dyDescent="0.25">
      <c r="C9416" s="6"/>
      <c r="G9416" s="6"/>
      <c r="K9416" s="6"/>
    </row>
    <row r="9417" spans="3:11" x14ac:dyDescent="0.25">
      <c r="C9417" s="6"/>
      <c r="G9417" s="6"/>
      <c r="K9417" s="6"/>
    </row>
    <row r="9418" spans="3:11" x14ac:dyDescent="0.25">
      <c r="C9418" s="6"/>
      <c r="G9418" s="6"/>
      <c r="K9418" s="6"/>
    </row>
    <row r="9419" spans="3:11" x14ac:dyDescent="0.25">
      <c r="C9419" s="6"/>
      <c r="G9419" s="6"/>
      <c r="K9419" s="6"/>
    </row>
    <row r="9420" spans="3:11" x14ac:dyDescent="0.25">
      <c r="C9420" s="6"/>
      <c r="G9420" s="6"/>
      <c r="K9420" s="6"/>
    </row>
    <row r="9421" spans="3:11" x14ac:dyDescent="0.25">
      <c r="C9421" s="6"/>
      <c r="G9421" s="6"/>
      <c r="K9421" s="6"/>
    </row>
    <row r="9422" spans="3:11" x14ac:dyDescent="0.25">
      <c r="C9422" s="6"/>
      <c r="G9422" s="6"/>
      <c r="K9422" s="6"/>
    </row>
    <row r="9423" spans="3:11" x14ac:dyDescent="0.25">
      <c r="C9423" s="6"/>
      <c r="G9423" s="6"/>
      <c r="K9423" s="6"/>
    </row>
    <row r="9424" spans="3:11" x14ac:dyDescent="0.25">
      <c r="C9424" s="6"/>
      <c r="G9424" s="6"/>
      <c r="K9424" s="6"/>
    </row>
    <row r="9425" spans="3:11" x14ac:dyDescent="0.25">
      <c r="C9425" s="6"/>
      <c r="G9425" s="6"/>
      <c r="K9425" s="6"/>
    </row>
    <row r="9426" spans="3:11" x14ac:dyDescent="0.25">
      <c r="C9426" s="6"/>
      <c r="G9426" s="6"/>
      <c r="K9426" s="6"/>
    </row>
    <row r="9427" spans="3:11" x14ac:dyDescent="0.25">
      <c r="C9427" s="6"/>
      <c r="G9427" s="6"/>
      <c r="K9427" s="6"/>
    </row>
    <row r="9428" spans="3:11" x14ac:dyDescent="0.25">
      <c r="C9428" s="6"/>
      <c r="G9428" s="6"/>
      <c r="K9428" s="6"/>
    </row>
    <row r="9429" spans="3:11" x14ac:dyDescent="0.25">
      <c r="C9429" s="6"/>
      <c r="G9429" s="6"/>
      <c r="K9429" s="6"/>
    </row>
    <row r="9430" spans="3:11" x14ac:dyDescent="0.25">
      <c r="C9430" s="6"/>
      <c r="G9430" s="6"/>
      <c r="K9430" s="6"/>
    </row>
    <row r="9431" spans="3:11" x14ac:dyDescent="0.25">
      <c r="C9431" s="6"/>
      <c r="G9431" s="6"/>
      <c r="K9431" s="6"/>
    </row>
    <row r="9432" spans="3:11" x14ac:dyDescent="0.25">
      <c r="C9432" s="6"/>
      <c r="G9432" s="6"/>
      <c r="K9432" s="6"/>
    </row>
    <row r="9433" spans="3:11" x14ac:dyDescent="0.25">
      <c r="C9433" s="6"/>
      <c r="G9433" s="6"/>
      <c r="K9433" s="6"/>
    </row>
    <row r="9434" spans="3:11" x14ac:dyDescent="0.25">
      <c r="C9434" s="6"/>
      <c r="G9434" s="6"/>
      <c r="K9434" s="6"/>
    </row>
    <row r="9435" spans="3:11" x14ac:dyDescent="0.25">
      <c r="C9435" s="6"/>
      <c r="G9435" s="6"/>
      <c r="K9435" s="6"/>
    </row>
    <row r="9436" spans="3:11" x14ac:dyDescent="0.25">
      <c r="C9436" s="6"/>
      <c r="G9436" s="6"/>
      <c r="K9436" s="6"/>
    </row>
    <row r="9437" spans="3:11" x14ac:dyDescent="0.25">
      <c r="C9437" s="6"/>
      <c r="G9437" s="6"/>
      <c r="K9437" s="6"/>
    </row>
    <row r="9438" spans="3:11" x14ac:dyDescent="0.25">
      <c r="C9438" s="6"/>
      <c r="G9438" s="6"/>
      <c r="K9438" s="6"/>
    </row>
    <row r="9439" spans="3:11" x14ac:dyDescent="0.25">
      <c r="C9439" s="6"/>
      <c r="G9439" s="6"/>
      <c r="K9439" s="6"/>
    </row>
    <row r="9440" spans="3:11" x14ac:dyDescent="0.25">
      <c r="C9440" s="6"/>
      <c r="G9440" s="6"/>
      <c r="K9440" s="6"/>
    </row>
    <row r="9441" spans="3:11" x14ac:dyDescent="0.25">
      <c r="C9441" s="6"/>
      <c r="G9441" s="6"/>
      <c r="K9441" s="6"/>
    </row>
    <row r="9442" spans="3:11" x14ac:dyDescent="0.25">
      <c r="C9442" s="6"/>
      <c r="G9442" s="6"/>
      <c r="K9442" s="6"/>
    </row>
    <row r="9443" spans="3:11" x14ac:dyDescent="0.25">
      <c r="C9443" s="6"/>
      <c r="G9443" s="6"/>
      <c r="K9443" s="6"/>
    </row>
    <row r="9444" spans="3:11" x14ac:dyDescent="0.25">
      <c r="C9444" s="6"/>
      <c r="G9444" s="6"/>
      <c r="K9444" s="6"/>
    </row>
    <row r="9445" spans="3:11" x14ac:dyDescent="0.25">
      <c r="C9445" s="6"/>
      <c r="G9445" s="6"/>
      <c r="K9445" s="6"/>
    </row>
    <row r="9446" spans="3:11" x14ac:dyDescent="0.25">
      <c r="C9446" s="6"/>
      <c r="G9446" s="6"/>
      <c r="K9446" s="6"/>
    </row>
    <row r="9447" spans="3:11" x14ac:dyDescent="0.25">
      <c r="C9447" s="6"/>
      <c r="G9447" s="6"/>
      <c r="K9447" s="6"/>
    </row>
    <row r="9448" spans="3:11" x14ac:dyDescent="0.25">
      <c r="C9448" s="6"/>
      <c r="G9448" s="6"/>
      <c r="K9448" s="6"/>
    </row>
    <row r="9449" spans="3:11" x14ac:dyDescent="0.25">
      <c r="C9449" s="6"/>
      <c r="G9449" s="6"/>
      <c r="K9449" s="6"/>
    </row>
    <row r="9450" spans="3:11" x14ac:dyDescent="0.25">
      <c r="C9450" s="6"/>
      <c r="G9450" s="6"/>
      <c r="K9450" s="6"/>
    </row>
    <row r="9451" spans="3:11" x14ac:dyDescent="0.25">
      <c r="C9451" s="6"/>
      <c r="G9451" s="6"/>
      <c r="K9451" s="6"/>
    </row>
    <row r="9452" spans="3:11" x14ac:dyDescent="0.25">
      <c r="C9452" s="6"/>
      <c r="G9452" s="6"/>
      <c r="K9452" s="6"/>
    </row>
    <row r="9453" spans="3:11" x14ac:dyDescent="0.25">
      <c r="C9453" s="6"/>
      <c r="G9453" s="6"/>
      <c r="K9453" s="6"/>
    </row>
    <row r="9454" spans="3:11" x14ac:dyDescent="0.25">
      <c r="C9454" s="6"/>
      <c r="G9454" s="6"/>
      <c r="K9454" s="6"/>
    </row>
    <row r="9455" spans="3:11" x14ac:dyDescent="0.25">
      <c r="C9455" s="6"/>
      <c r="G9455" s="6"/>
      <c r="K9455" s="6"/>
    </row>
    <row r="9456" spans="3:11" x14ac:dyDescent="0.25">
      <c r="C9456" s="6"/>
      <c r="G9456" s="6"/>
      <c r="K9456" s="6"/>
    </row>
    <row r="9457" spans="3:11" x14ac:dyDescent="0.25">
      <c r="C9457" s="6"/>
      <c r="G9457" s="6"/>
      <c r="K9457" s="6"/>
    </row>
    <row r="9458" spans="3:11" x14ac:dyDescent="0.25">
      <c r="C9458" s="6"/>
      <c r="G9458" s="6"/>
      <c r="K9458" s="6"/>
    </row>
    <row r="9459" spans="3:11" x14ac:dyDescent="0.25">
      <c r="C9459" s="6"/>
      <c r="G9459" s="6"/>
      <c r="K9459" s="6"/>
    </row>
    <row r="9460" spans="3:11" x14ac:dyDescent="0.25">
      <c r="C9460" s="6"/>
      <c r="G9460" s="6"/>
      <c r="K9460" s="6"/>
    </row>
    <row r="9461" spans="3:11" x14ac:dyDescent="0.25">
      <c r="C9461" s="6"/>
      <c r="G9461" s="6"/>
      <c r="K9461" s="6"/>
    </row>
    <row r="9462" spans="3:11" x14ac:dyDescent="0.25">
      <c r="C9462" s="6"/>
      <c r="G9462" s="6"/>
      <c r="K9462" s="6"/>
    </row>
    <row r="9463" spans="3:11" x14ac:dyDescent="0.25">
      <c r="C9463" s="6"/>
      <c r="G9463" s="6"/>
      <c r="K9463" s="6"/>
    </row>
    <row r="9464" spans="3:11" x14ac:dyDescent="0.25">
      <c r="C9464" s="6"/>
      <c r="G9464" s="6"/>
      <c r="K9464" s="6"/>
    </row>
    <row r="9465" spans="3:11" x14ac:dyDescent="0.25">
      <c r="C9465" s="6"/>
      <c r="G9465" s="6"/>
      <c r="K9465" s="6"/>
    </row>
    <row r="9466" spans="3:11" x14ac:dyDescent="0.25">
      <c r="C9466" s="6"/>
      <c r="G9466" s="6"/>
      <c r="K9466" s="6"/>
    </row>
    <row r="9467" spans="3:11" x14ac:dyDescent="0.25">
      <c r="C9467" s="6"/>
      <c r="G9467" s="6"/>
      <c r="K9467" s="6"/>
    </row>
    <row r="9468" spans="3:11" x14ac:dyDescent="0.25">
      <c r="C9468" s="6"/>
      <c r="G9468" s="6"/>
      <c r="K9468" s="6"/>
    </row>
    <row r="9469" spans="3:11" x14ac:dyDescent="0.25">
      <c r="C9469" s="6"/>
      <c r="G9469" s="6"/>
      <c r="K9469" s="6"/>
    </row>
    <row r="9470" spans="3:11" x14ac:dyDescent="0.25">
      <c r="C9470" s="6"/>
      <c r="G9470" s="6"/>
      <c r="K9470" s="6"/>
    </row>
    <row r="9471" spans="3:11" x14ac:dyDescent="0.25">
      <c r="C9471" s="6"/>
      <c r="G9471" s="6"/>
      <c r="K9471" s="6"/>
    </row>
    <row r="9472" spans="3:11" x14ac:dyDescent="0.25">
      <c r="C9472" s="6"/>
      <c r="G9472" s="6"/>
      <c r="K9472" s="6"/>
    </row>
    <row r="9473" spans="3:11" x14ac:dyDescent="0.25">
      <c r="C9473" s="6"/>
      <c r="G9473" s="6"/>
      <c r="K9473" s="6"/>
    </row>
    <row r="9474" spans="3:11" x14ac:dyDescent="0.25">
      <c r="C9474" s="6"/>
      <c r="G9474" s="6"/>
      <c r="K9474" s="6"/>
    </row>
    <row r="9475" spans="3:11" x14ac:dyDescent="0.25">
      <c r="C9475" s="6"/>
      <c r="G9475" s="6"/>
      <c r="K9475" s="6"/>
    </row>
    <row r="9476" spans="3:11" x14ac:dyDescent="0.25">
      <c r="C9476" s="6"/>
      <c r="G9476" s="6"/>
      <c r="K9476" s="6"/>
    </row>
    <row r="9477" spans="3:11" x14ac:dyDescent="0.25">
      <c r="C9477" s="6"/>
      <c r="G9477" s="6"/>
      <c r="K9477" s="6"/>
    </row>
    <row r="9478" spans="3:11" x14ac:dyDescent="0.25">
      <c r="C9478" s="6"/>
      <c r="G9478" s="6"/>
      <c r="K9478" s="6"/>
    </row>
    <row r="9479" spans="3:11" x14ac:dyDescent="0.25">
      <c r="C9479" s="6"/>
      <c r="G9479" s="6"/>
      <c r="K9479" s="6"/>
    </row>
    <row r="9480" spans="3:11" x14ac:dyDescent="0.25">
      <c r="C9480" s="6"/>
      <c r="G9480" s="6"/>
      <c r="K9480" s="6"/>
    </row>
    <row r="9481" spans="3:11" x14ac:dyDescent="0.25">
      <c r="C9481" s="6"/>
      <c r="G9481" s="6"/>
      <c r="K9481" s="6"/>
    </row>
    <row r="9482" spans="3:11" x14ac:dyDescent="0.25">
      <c r="C9482" s="6"/>
      <c r="G9482" s="6"/>
      <c r="K9482" s="6"/>
    </row>
    <row r="9483" spans="3:11" x14ac:dyDescent="0.25">
      <c r="C9483" s="6"/>
      <c r="G9483" s="6"/>
      <c r="K9483" s="6"/>
    </row>
    <row r="9484" spans="3:11" x14ac:dyDescent="0.25">
      <c r="C9484" s="6"/>
      <c r="G9484" s="6"/>
      <c r="K9484" s="6"/>
    </row>
    <row r="9485" spans="3:11" x14ac:dyDescent="0.25">
      <c r="C9485" s="6"/>
      <c r="G9485" s="6"/>
      <c r="K9485" s="6"/>
    </row>
    <row r="9486" spans="3:11" x14ac:dyDescent="0.25">
      <c r="C9486" s="6"/>
      <c r="G9486" s="6"/>
      <c r="K9486" s="6"/>
    </row>
    <row r="9487" spans="3:11" x14ac:dyDescent="0.25">
      <c r="C9487" s="6"/>
      <c r="G9487" s="6"/>
      <c r="K9487" s="6"/>
    </row>
    <row r="9488" spans="3:11" x14ac:dyDescent="0.25">
      <c r="C9488" s="6"/>
      <c r="G9488" s="6"/>
      <c r="K9488" s="6"/>
    </row>
    <row r="9489" spans="3:11" x14ac:dyDescent="0.25">
      <c r="C9489" s="6"/>
      <c r="G9489" s="6"/>
      <c r="K9489" s="6"/>
    </row>
    <row r="9490" spans="3:11" x14ac:dyDescent="0.25">
      <c r="C9490" s="6"/>
      <c r="G9490" s="6"/>
      <c r="K9490" s="6"/>
    </row>
    <row r="9491" spans="3:11" x14ac:dyDescent="0.25">
      <c r="C9491" s="6"/>
      <c r="G9491" s="6"/>
      <c r="K9491" s="6"/>
    </row>
    <row r="9492" spans="3:11" x14ac:dyDescent="0.25">
      <c r="C9492" s="6"/>
      <c r="G9492" s="6"/>
      <c r="K9492" s="6"/>
    </row>
    <row r="9493" spans="3:11" x14ac:dyDescent="0.25">
      <c r="C9493" s="6"/>
      <c r="G9493" s="6"/>
      <c r="K9493" s="6"/>
    </row>
    <row r="9494" spans="3:11" x14ac:dyDescent="0.25">
      <c r="C9494" s="6"/>
      <c r="G9494" s="6"/>
      <c r="K9494" s="6"/>
    </row>
    <row r="9495" spans="3:11" x14ac:dyDescent="0.25">
      <c r="C9495" s="6"/>
      <c r="G9495" s="6"/>
      <c r="K9495" s="6"/>
    </row>
    <row r="9496" spans="3:11" x14ac:dyDescent="0.25">
      <c r="C9496" s="6"/>
      <c r="G9496" s="6"/>
      <c r="K9496" s="6"/>
    </row>
    <row r="9497" spans="3:11" x14ac:dyDescent="0.25">
      <c r="C9497" s="6"/>
      <c r="G9497" s="6"/>
      <c r="K9497" s="6"/>
    </row>
    <row r="9498" spans="3:11" x14ac:dyDescent="0.25">
      <c r="C9498" s="6"/>
      <c r="G9498" s="6"/>
      <c r="K9498" s="6"/>
    </row>
    <row r="9499" spans="3:11" x14ac:dyDescent="0.25">
      <c r="C9499" s="6"/>
      <c r="G9499" s="6"/>
      <c r="K9499" s="6"/>
    </row>
    <row r="9500" spans="3:11" x14ac:dyDescent="0.25">
      <c r="C9500" s="6"/>
      <c r="G9500" s="6"/>
      <c r="K9500" s="6"/>
    </row>
    <row r="9501" spans="3:11" x14ac:dyDescent="0.25">
      <c r="C9501" s="6"/>
      <c r="G9501" s="6"/>
      <c r="K9501" s="6"/>
    </row>
    <row r="9502" spans="3:11" x14ac:dyDescent="0.25">
      <c r="C9502" s="6"/>
      <c r="G9502" s="6"/>
      <c r="K9502" s="6"/>
    </row>
    <row r="9503" spans="3:11" x14ac:dyDescent="0.25">
      <c r="C9503" s="6"/>
      <c r="G9503" s="6"/>
      <c r="K9503" s="6"/>
    </row>
    <row r="9504" spans="3:11" x14ac:dyDescent="0.25">
      <c r="C9504" s="6"/>
      <c r="G9504" s="6"/>
      <c r="K9504" s="6"/>
    </row>
    <row r="9505" spans="3:11" x14ac:dyDescent="0.25">
      <c r="C9505" s="6"/>
      <c r="G9505" s="6"/>
      <c r="K9505" s="6"/>
    </row>
    <row r="9506" spans="3:11" x14ac:dyDescent="0.25">
      <c r="C9506" s="6"/>
      <c r="G9506" s="6"/>
      <c r="K9506" s="6"/>
    </row>
    <row r="9507" spans="3:11" x14ac:dyDescent="0.25">
      <c r="C9507" s="6"/>
      <c r="G9507" s="6"/>
      <c r="K9507" s="6"/>
    </row>
    <row r="9508" spans="3:11" x14ac:dyDescent="0.25">
      <c r="C9508" s="6"/>
      <c r="G9508" s="6"/>
      <c r="K9508" s="6"/>
    </row>
    <row r="9509" spans="3:11" x14ac:dyDescent="0.25">
      <c r="C9509" s="6"/>
      <c r="G9509" s="6"/>
      <c r="K9509" s="6"/>
    </row>
    <row r="9510" spans="3:11" x14ac:dyDescent="0.25">
      <c r="C9510" s="6"/>
      <c r="G9510" s="6"/>
      <c r="K9510" s="6"/>
    </row>
    <row r="9511" spans="3:11" x14ac:dyDescent="0.25">
      <c r="C9511" s="6"/>
      <c r="G9511" s="6"/>
      <c r="K9511" s="6"/>
    </row>
    <row r="9512" spans="3:11" x14ac:dyDescent="0.25">
      <c r="C9512" s="6"/>
      <c r="G9512" s="6"/>
      <c r="K9512" s="6"/>
    </row>
    <row r="9513" spans="3:11" x14ac:dyDescent="0.25">
      <c r="C9513" s="6"/>
      <c r="G9513" s="6"/>
      <c r="K9513" s="6"/>
    </row>
    <row r="9514" spans="3:11" x14ac:dyDescent="0.25">
      <c r="C9514" s="6"/>
      <c r="G9514" s="6"/>
      <c r="K9514" s="6"/>
    </row>
    <row r="9515" spans="3:11" x14ac:dyDescent="0.25">
      <c r="C9515" s="6"/>
      <c r="G9515" s="6"/>
      <c r="K9515" s="6"/>
    </row>
    <row r="9516" spans="3:11" x14ac:dyDescent="0.25">
      <c r="C9516" s="6"/>
      <c r="G9516" s="6"/>
      <c r="K9516" s="6"/>
    </row>
    <row r="9517" spans="3:11" x14ac:dyDescent="0.25">
      <c r="C9517" s="6"/>
      <c r="G9517" s="6"/>
      <c r="K9517" s="6"/>
    </row>
    <row r="9518" spans="3:11" x14ac:dyDescent="0.25">
      <c r="C9518" s="6"/>
      <c r="G9518" s="6"/>
      <c r="K9518" s="6"/>
    </row>
    <row r="9519" spans="3:11" x14ac:dyDescent="0.25">
      <c r="C9519" s="6"/>
      <c r="G9519" s="6"/>
      <c r="K9519" s="6"/>
    </row>
    <row r="9520" spans="3:11" x14ac:dyDescent="0.25">
      <c r="C9520" s="6"/>
      <c r="G9520" s="6"/>
      <c r="K9520" s="6"/>
    </row>
    <row r="9521" spans="3:11" x14ac:dyDescent="0.25">
      <c r="C9521" s="6"/>
      <c r="G9521" s="6"/>
      <c r="K9521" s="6"/>
    </row>
    <row r="9522" spans="3:11" x14ac:dyDescent="0.25">
      <c r="C9522" s="6"/>
      <c r="G9522" s="6"/>
      <c r="K9522" s="6"/>
    </row>
    <row r="9523" spans="3:11" x14ac:dyDescent="0.25">
      <c r="C9523" s="6"/>
      <c r="G9523" s="6"/>
      <c r="K9523" s="6"/>
    </row>
    <row r="9524" spans="3:11" x14ac:dyDescent="0.25">
      <c r="C9524" s="6"/>
      <c r="G9524" s="6"/>
      <c r="K9524" s="6"/>
    </row>
    <row r="9525" spans="3:11" x14ac:dyDescent="0.25">
      <c r="C9525" s="6"/>
      <c r="G9525" s="6"/>
      <c r="K9525" s="6"/>
    </row>
    <row r="9526" spans="3:11" x14ac:dyDescent="0.25">
      <c r="C9526" s="6"/>
      <c r="G9526" s="6"/>
      <c r="K9526" s="6"/>
    </row>
    <row r="9527" spans="3:11" x14ac:dyDescent="0.25">
      <c r="C9527" s="6"/>
      <c r="G9527" s="6"/>
      <c r="K9527" s="6"/>
    </row>
    <row r="9528" spans="3:11" x14ac:dyDescent="0.25">
      <c r="C9528" s="6"/>
      <c r="G9528" s="6"/>
      <c r="K9528" s="6"/>
    </row>
    <row r="9529" spans="3:11" x14ac:dyDescent="0.25">
      <c r="C9529" s="6"/>
      <c r="G9529" s="6"/>
      <c r="K9529" s="6"/>
    </row>
    <row r="9530" spans="3:11" x14ac:dyDescent="0.25">
      <c r="C9530" s="6"/>
      <c r="G9530" s="6"/>
      <c r="K9530" s="6"/>
    </row>
    <row r="9531" spans="3:11" x14ac:dyDescent="0.25">
      <c r="C9531" s="6"/>
      <c r="G9531" s="6"/>
      <c r="K9531" s="6"/>
    </row>
    <row r="9532" spans="3:11" x14ac:dyDescent="0.25">
      <c r="C9532" s="6"/>
      <c r="G9532" s="6"/>
      <c r="K9532" s="6"/>
    </row>
    <row r="9533" spans="3:11" x14ac:dyDescent="0.25">
      <c r="C9533" s="6"/>
      <c r="G9533" s="6"/>
      <c r="K9533" s="6"/>
    </row>
    <row r="9534" spans="3:11" x14ac:dyDescent="0.25">
      <c r="C9534" s="6"/>
      <c r="G9534" s="6"/>
      <c r="K9534" s="6"/>
    </row>
    <row r="9535" spans="3:11" x14ac:dyDescent="0.25">
      <c r="C9535" s="6"/>
      <c r="G9535" s="6"/>
      <c r="K9535" s="6"/>
    </row>
    <row r="9536" spans="3:11" x14ac:dyDescent="0.25">
      <c r="C9536" s="6"/>
      <c r="G9536" s="6"/>
      <c r="K9536" s="6"/>
    </row>
    <row r="9537" spans="3:11" x14ac:dyDescent="0.25">
      <c r="C9537" s="6"/>
      <c r="G9537" s="6"/>
      <c r="K9537" s="6"/>
    </row>
    <row r="9538" spans="3:11" x14ac:dyDescent="0.25">
      <c r="C9538" s="6"/>
      <c r="G9538" s="6"/>
      <c r="K9538" s="6"/>
    </row>
    <row r="9539" spans="3:11" x14ac:dyDescent="0.25">
      <c r="C9539" s="6"/>
      <c r="G9539" s="6"/>
      <c r="K9539" s="6"/>
    </row>
    <row r="9540" spans="3:11" x14ac:dyDescent="0.25">
      <c r="C9540" s="6"/>
      <c r="G9540" s="6"/>
      <c r="K9540" s="6"/>
    </row>
    <row r="9541" spans="3:11" x14ac:dyDescent="0.25">
      <c r="C9541" s="6"/>
      <c r="G9541" s="6"/>
      <c r="K9541" s="6"/>
    </row>
    <row r="9542" spans="3:11" x14ac:dyDescent="0.25">
      <c r="C9542" s="6"/>
      <c r="G9542" s="6"/>
      <c r="K9542" s="6"/>
    </row>
    <row r="9543" spans="3:11" x14ac:dyDescent="0.25">
      <c r="C9543" s="6"/>
      <c r="G9543" s="6"/>
      <c r="K9543" s="6"/>
    </row>
    <row r="9544" spans="3:11" x14ac:dyDescent="0.25">
      <c r="C9544" s="6"/>
      <c r="G9544" s="6"/>
      <c r="K9544" s="6"/>
    </row>
    <row r="9545" spans="3:11" x14ac:dyDescent="0.25">
      <c r="C9545" s="6"/>
      <c r="G9545" s="6"/>
      <c r="K9545" s="6"/>
    </row>
    <row r="9546" spans="3:11" x14ac:dyDescent="0.25">
      <c r="C9546" s="6"/>
      <c r="G9546" s="6"/>
      <c r="K9546" s="6"/>
    </row>
    <row r="9547" spans="3:11" x14ac:dyDescent="0.25">
      <c r="C9547" s="6"/>
      <c r="G9547" s="6"/>
      <c r="K9547" s="6"/>
    </row>
    <row r="9548" spans="3:11" x14ac:dyDescent="0.25">
      <c r="C9548" s="6"/>
      <c r="G9548" s="6"/>
      <c r="K9548" s="6"/>
    </row>
    <row r="9549" spans="3:11" x14ac:dyDescent="0.25">
      <c r="C9549" s="6"/>
      <c r="G9549" s="6"/>
      <c r="K9549" s="6"/>
    </row>
    <row r="9550" spans="3:11" x14ac:dyDescent="0.25">
      <c r="C9550" s="6"/>
      <c r="G9550" s="6"/>
      <c r="K9550" s="6"/>
    </row>
    <row r="9551" spans="3:11" x14ac:dyDescent="0.25">
      <c r="C9551" s="6"/>
      <c r="G9551" s="6"/>
      <c r="K9551" s="6"/>
    </row>
    <row r="9552" spans="3:11" x14ac:dyDescent="0.25">
      <c r="C9552" s="6"/>
      <c r="G9552" s="6"/>
      <c r="K9552" s="6"/>
    </row>
    <row r="9553" spans="3:11" x14ac:dyDescent="0.25">
      <c r="C9553" s="6"/>
      <c r="G9553" s="6"/>
      <c r="K9553" s="6"/>
    </row>
    <row r="9554" spans="3:11" x14ac:dyDescent="0.25">
      <c r="C9554" s="6"/>
      <c r="G9554" s="6"/>
      <c r="K9554" s="6"/>
    </row>
    <row r="9555" spans="3:11" x14ac:dyDescent="0.25">
      <c r="C9555" s="6"/>
      <c r="G9555" s="6"/>
      <c r="K9555" s="6"/>
    </row>
    <row r="9556" spans="3:11" x14ac:dyDescent="0.25">
      <c r="C9556" s="6"/>
      <c r="G9556" s="6"/>
      <c r="K9556" s="6"/>
    </row>
    <row r="9557" spans="3:11" x14ac:dyDescent="0.25">
      <c r="C9557" s="6"/>
      <c r="G9557" s="6"/>
      <c r="K9557" s="6"/>
    </row>
    <row r="9558" spans="3:11" x14ac:dyDescent="0.25">
      <c r="C9558" s="6"/>
      <c r="G9558" s="6"/>
      <c r="K9558" s="6"/>
    </row>
    <row r="9559" spans="3:11" x14ac:dyDescent="0.25">
      <c r="C9559" s="6"/>
      <c r="G9559" s="6"/>
      <c r="K9559" s="6"/>
    </row>
    <row r="9560" spans="3:11" x14ac:dyDescent="0.25">
      <c r="C9560" s="6"/>
      <c r="G9560" s="6"/>
      <c r="K9560" s="6"/>
    </row>
    <row r="9561" spans="3:11" x14ac:dyDescent="0.25">
      <c r="C9561" s="6"/>
      <c r="G9561" s="6"/>
      <c r="K9561" s="6"/>
    </row>
    <row r="9562" spans="3:11" x14ac:dyDescent="0.25">
      <c r="C9562" s="6"/>
      <c r="G9562" s="6"/>
      <c r="K9562" s="6"/>
    </row>
    <row r="9563" spans="3:11" x14ac:dyDescent="0.25">
      <c r="C9563" s="6"/>
      <c r="G9563" s="6"/>
      <c r="K9563" s="6"/>
    </row>
    <row r="9564" spans="3:11" x14ac:dyDescent="0.25">
      <c r="C9564" s="6"/>
      <c r="G9564" s="6"/>
      <c r="K9564" s="6"/>
    </row>
    <row r="9565" spans="3:11" x14ac:dyDescent="0.25">
      <c r="C9565" s="6"/>
      <c r="G9565" s="6"/>
      <c r="K9565" s="6"/>
    </row>
    <row r="9566" spans="3:11" x14ac:dyDescent="0.25">
      <c r="C9566" s="6"/>
      <c r="G9566" s="6"/>
      <c r="K9566" s="6"/>
    </row>
    <row r="9567" spans="3:11" x14ac:dyDescent="0.25">
      <c r="C9567" s="6"/>
      <c r="G9567" s="6"/>
      <c r="K9567" s="6"/>
    </row>
    <row r="9568" spans="3:11" x14ac:dyDescent="0.25">
      <c r="C9568" s="6"/>
      <c r="G9568" s="6"/>
      <c r="K9568" s="6"/>
    </row>
    <row r="9569" spans="3:11" x14ac:dyDescent="0.25">
      <c r="C9569" s="6"/>
      <c r="G9569" s="6"/>
      <c r="K9569" s="6"/>
    </row>
    <row r="9570" spans="3:11" x14ac:dyDescent="0.25">
      <c r="C9570" s="6"/>
      <c r="G9570" s="6"/>
      <c r="K9570" s="6"/>
    </row>
    <row r="9571" spans="3:11" x14ac:dyDescent="0.25">
      <c r="C9571" s="6"/>
      <c r="G9571" s="6"/>
      <c r="K9571" s="6"/>
    </row>
    <row r="9572" spans="3:11" x14ac:dyDescent="0.25">
      <c r="C9572" s="6"/>
      <c r="G9572" s="6"/>
      <c r="K9572" s="6"/>
    </row>
    <row r="9573" spans="3:11" x14ac:dyDescent="0.25">
      <c r="C9573" s="6"/>
      <c r="G9573" s="6"/>
      <c r="K9573" s="6"/>
    </row>
    <row r="9574" spans="3:11" x14ac:dyDescent="0.25">
      <c r="C9574" s="6"/>
      <c r="G9574" s="6"/>
      <c r="K9574" s="6"/>
    </row>
    <row r="9575" spans="3:11" x14ac:dyDescent="0.25">
      <c r="C9575" s="6"/>
      <c r="G9575" s="6"/>
      <c r="K9575" s="6"/>
    </row>
    <row r="9576" spans="3:11" x14ac:dyDescent="0.25">
      <c r="C9576" s="6"/>
      <c r="G9576" s="6"/>
      <c r="K9576" s="6"/>
    </row>
    <row r="9577" spans="3:11" x14ac:dyDescent="0.25">
      <c r="C9577" s="6"/>
      <c r="G9577" s="6"/>
      <c r="K9577" s="6"/>
    </row>
    <row r="9578" spans="3:11" x14ac:dyDescent="0.25">
      <c r="C9578" s="6"/>
      <c r="G9578" s="6"/>
      <c r="K9578" s="6"/>
    </row>
    <row r="9579" spans="3:11" x14ac:dyDescent="0.25">
      <c r="C9579" s="6"/>
      <c r="G9579" s="6"/>
      <c r="K9579" s="6"/>
    </row>
    <row r="9580" spans="3:11" x14ac:dyDescent="0.25">
      <c r="C9580" s="6"/>
      <c r="G9580" s="6"/>
      <c r="K9580" s="6"/>
    </row>
    <row r="9581" spans="3:11" x14ac:dyDescent="0.25">
      <c r="C9581" s="6"/>
      <c r="G9581" s="6"/>
      <c r="K9581" s="6"/>
    </row>
    <row r="9582" spans="3:11" x14ac:dyDescent="0.25">
      <c r="C9582" s="6"/>
      <c r="G9582" s="6"/>
      <c r="K9582" s="6"/>
    </row>
    <row r="9583" spans="3:11" x14ac:dyDescent="0.25">
      <c r="C9583" s="6"/>
      <c r="G9583" s="6"/>
      <c r="K9583" s="6"/>
    </row>
    <row r="9584" spans="3:11" x14ac:dyDescent="0.25">
      <c r="C9584" s="6"/>
      <c r="G9584" s="6"/>
      <c r="K9584" s="6"/>
    </row>
    <row r="9585" spans="3:11" x14ac:dyDescent="0.25">
      <c r="C9585" s="6"/>
      <c r="G9585" s="6"/>
      <c r="K9585" s="6"/>
    </row>
    <row r="9586" spans="3:11" x14ac:dyDescent="0.25">
      <c r="C9586" s="6"/>
      <c r="G9586" s="6"/>
      <c r="K9586" s="6"/>
    </row>
    <row r="9587" spans="3:11" x14ac:dyDescent="0.25">
      <c r="C9587" s="6"/>
      <c r="G9587" s="6"/>
      <c r="K9587" s="6"/>
    </row>
    <row r="9588" spans="3:11" x14ac:dyDescent="0.25">
      <c r="C9588" s="6"/>
      <c r="G9588" s="6"/>
      <c r="K9588" s="6"/>
    </row>
    <row r="9589" spans="3:11" x14ac:dyDescent="0.25">
      <c r="C9589" s="6"/>
      <c r="G9589" s="6"/>
      <c r="K9589" s="6"/>
    </row>
    <row r="9590" spans="3:11" x14ac:dyDescent="0.25">
      <c r="C9590" s="6"/>
      <c r="G9590" s="6"/>
      <c r="K9590" s="6"/>
    </row>
    <row r="9591" spans="3:11" x14ac:dyDescent="0.25">
      <c r="C9591" s="6"/>
      <c r="G9591" s="6"/>
      <c r="K9591" s="6"/>
    </row>
    <row r="9592" spans="3:11" x14ac:dyDescent="0.25">
      <c r="C9592" s="6"/>
      <c r="G9592" s="6"/>
      <c r="K9592" s="6"/>
    </row>
    <row r="9593" spans="3:11" x14ac:dyDescent="0.25">
      <c r="C9593" s="6"/>
      <c r="G9593" s="6"/>
      <c r="K9593" s="6"/>
    </row>
    <row r="9594" spans="3:11" x14ac:dyDescent="0.25">
      <c r="C9594" s="6"/>
      <c r="G9594" s="6"/>
      <c r="K9594" s="6"/>
    </row>
    <row r="9595" spans="3:11" x14ac:dyDescent="0.25">
      <c r="C9595" s="6"/>
      <c r="G9595" s="6"/>
      <c r="K9595" s="6"/>
    </row>
    <row r="9596" spans="3:11" x14ac:dyDescent="0.25">
      <c r="C9596" s="6"/>
      <c r="G9596" s="6"/>
      <c r="K9596" s="6"/>
    </row>
    <row r="9597" spans="3:11" x14ac:dyDescent="0.25">
      <c r="C9597" s="6"/>
      <c r="G9597" s="6"/>
      <c r="K9597" s="6"/>
    </row>
    <row r="9598" spans="3:11" x14ac:dyDescent="0.25">
      <c r="C9598" s="6"/>
      <c r="G9598" s="6"/>
      <c r="K9598" s="6"/>
    </row>
    <row r="9599" spans="3:11" x14ac:dyDescent="0.25">
      <c r="C9599" s="6"/>
      <c r="G9599" s="6"/>
      <c r="K9599" s="6"/>
    </row>
    <row r="9600" spans="3:11" x14ac:dyDescent="0.25">
      <c r="C9600" s="6"/>
      <c r="G9600" s="6"/>
      <c r="K9600" s="6"/>
    </row>
    <row r="9601" spans="3:11" x14ac:dyDescent="0.25">
      <c r="C9601" s="6"/>
      <c r="G9601" s="6"/>
      <c r="K9601" s="6"/>
    </row>
    <row r="9602" spans="3:11" x14ac:dyDescent="0.25">
      <c r="C9602" s="6"/>
      <c r="G9602" s="6"/>
      <c r="K9602" s="6"/>
    </row>
    <row r="9603" spans="3:11" x14ac:dyDescent="0.25">
      <c r="C9603" s="6"/>
      <c r="G9603" s="6"/>
      <c r="K9603" s="6"/>
    </row>
    <row r="9604" spans="3:11" x14ac:dyDescent="0.25">
      <c r="C9604" s="6"/>
      <c r="G9604" s="6"/>
      <c r="K9604" s="6"/>
    </row>
    <row r="9605" spans="3:11" x14ac:dyDescent="0.25">
      <c r="C9605" s="6"/>
      <c r="G9605" s="6"/>
      <c r="K9605" s="6"/>
    </row>
    <row r="9606" spans="3:11" x14ac:dyDescent="0.25">
      <c r="C9606" s="6"/>
      <c r="G9606" s="6"/>
      <c r="K9606" s="6"/>
    </row>
    <row r="9607" spans="3:11" x14ac:dyDescent="0.25">
      <c r="C9607" s="6"/>
      <c r="G9607" s="6"/>
      <c r="K9607" s="6"/>
    </row>
    <row r="9608" spans="3:11" x14ac:dyDescent="0.25">
      <c r="C9608" s="6"/>
      <c r="G9608" s="6"/>
      <c r="K9608" s="6"/>
    </row>
    <row r="9609" spans="3:11" x14ac:dyDescent="0.25">
      <c r="C9609" s="6"/>
      <c r="G9609" s="6"/>
      <c r="K9609" s="6"/>
    </row>
    <row r="9610" spans="3:11" x14ac:dyDescent="0.25">
      <c r="C9610" s="6"/>
      <c r="G9610" s="6"/>
      <c r="K9610" s="6"/>
    </row>
    <row r="9611" spans="3:11" x14ac:dyDescent="0.25">
      <c r="C9611" s="6"/>
      <c r="G9611" s="6"/>
      <c r="K9611" s="6"/>
    </row>
    <row r="9612" spans="3:11" x14ac:dyDescent="0.25">
      <c r="C9612" s="6"/>
      <c r="G9612" s="6"/>
      <c r="K9612" s="6"/>
    </row>
    <row r="9613" spans="3:11" x14ac:dyDescent="0.25">
      <c r="C9613" s="6"/>
      <c r="G9613" s="6"/>
      <c r="K9613" s="6"/>
    </row>
    <row r="9614" spans="3:11" x14ac:dyDescent="0.25">
      <c r="C9614" s="6"/>
      <c r="G9614" s="6"/>
      <c r="K9614" s="6"/>
    </row>
    <row r="9615" spans="3:11" x14ac:dyDescent="0.25">
      <c r="C9615" s="6"/>
      <c r="G9615" s="6"/>
      <c r="K9615" s="6"/>
    </row>
    <row r="9616" spans="3:11" x14ac:dyDescent="0.25">
      <c r="C9616" s="6"/>
      <c r="G9616" s="6"/>
      <c r="K9616" s="6"/>
    </row>
    <row r="9617" spans="3:11" x14ac:dyDescent="0.25">
      <c r="C9617" s="6"/>
      <c r="G9617" s="6"/>
      <c r="K9617" s="6"/>
    </row>
    <row r="9618" spans="3:11" x14ac:dyDescent="0.25">
      <c r="C9618" s="6"/>
      <c r="G9618" s="6"/>
      <c r="K9618" s="6"/>
    </row>
    <row r="9619" spans="3:11" x14ac:dyDescent="0.25">
      <c r="C9619" s="6"/>
      <c r="G9619" s="6"/>
      <c r="K9619" s="6"/>
    </row>
    <row r="9620" spans="3:11" x14ac:dyDescent="0.25">
      <c r="C9620" s="6"/>
      <c r="G9620" s="6"/>
      <c r="K9620" s="6"/>
    </row>
    <row r="9621" spans="3:11" x14ac:dyDescent="0.25">
      <c r="C9621" s="6"/>
      <c r="G9621" s="6"/>
      <c r="K9621" s="6"/>
    </row>
    <row r="9622" spans="3:11" x14ac:dyDescent="0.25">
      <c r="C9622" s="6"/>
      <c r="G9622" s="6"/>
      <c r="K9622" s="6"/>
    </row>
    <row r="9623" spans="3:11" x14ac:dyDescent="0.25">
      <c r="C9623" s="6"/>
      <c r="G9623" s="6"/>
      <c r="K9623" s="6"/>
    </row>
    <row r="9624" spans="3:11" x14ac:dyDescent="0.25">
      <c r="C9624" s="6"/>
      <c r="G9624" s="6"/>
      <c r="K9624" s="6"/>
    </row>
    <row r="9625" spans="3:11" x14ac:dyDescent="0.25">
      <c r="C9625" s="6"/>
      <c r="G9625" s="6"/>
      <c r="K9625" s="6"/>
    </row>
    <row r="9626" spans="3:11" x14ac:dyDescent="0.25">
      <c r="C9626" s="6"/>
      <c r="G9626" s="6"/>
      <c r="K9626" s="6"/>
    </row>
    <row r="9627" spans="3:11" x14ac:dyDescent="0.25">
      <c r="C9627" s="6"/>
      <c r="G9627" s="6"/>
      <c r="K9627" s="6"/>
    </row>
    <row r="9628" spans="3:11" x14ac:dyDescent="0.25">
      <c r="C9628" s="6"/>
      <c r="G9628" s="6"/>
      <c r="K9628" s="6"/>
    </row>
    <row r="9629" spans="3:11" x14ac:dyDescent="0.25">
      <c r="C9629" s="6"/>
      <c r="G9629" s="6"/>
      <c r="K9629" s="6"/>
    </row>
    <row r="9630" spans="3:11" x14ac:dyDescent="0.25">
      <c r="C9630" s="6"/>
      <c r="G9630" s="6"/>
      <c r="K9630" s="6"/>
    </row>
    <row r="9631" spans="3:11" x14ac:dyDescent="0.25">
      <c r="C9631" s="6"/>
      <c r="G9631" s="6"/>
      <c r="K9631" s="6"/>
    </row>
    <row r="9632" spans="3:11" x14ac:dyDescent="0.25">
      <c r="C9632" s="6"/>
      <c r="G9632" s="6"/>
      <c r="K9632" s="6"/>
    </row>
    <row r="9633" spans="3:11" x14ac:dyDescent="0.25">
      <c r="C9633" s="6"/>
      <c r="G9633" s="6"/>
      <c r="K9633" s="6"/>
    </row>
    <row r="9634" spans="3:11" x14ac:dyDescent="0.25">
      <c r="C9634" s="6"/>
      <c r="G9634" s="6"/>
      <c r="K9634" s="6"/>
    </row>
    <row r="9635" spans="3:11" x14ac:dyDescent="0.25">
      <c r="C9635" s="6"/>
      <c r="G9635" s="6"/>
      <c r="K9635" s="6"/>
    </row>
    <row r="9636" spans="3:11" x14ac:dyDescent="0.25">
      <c r="C9636" s="6"/>
      <c r="G9636" s="6"/>
      <c r="K9636" s="6"/>
    </row>
    <row r="9637" spans="3:11" x14ac:dyDescent="0.25">
      <c r="C9637" s="6"/>
      <c r="G9637" s="6"/>
      <c r="K9637" s="6"/>
    </row>
    <row r="9638" spans="3:11" x14ac:dyDescent="0.25">
      <c r="C9638" s="6"/>
      <c r="G9638" s="6"/>
      <c r="K9638" s="6"/>
    </row>
    <row r="9639" spans="3:11" x14ac:dyDescent="0.25">
      <c r="C9639" s="6"/>
      <c r="G9639" s="6"/>
      <c r="K9639" s="6"/>
    </row>
    <row r="9640" spans="3:11" x14ac:dyDescent="0.25">
      <c r="C9640" s="6"/>
      <c r="G9640" s="6"/>
      <c r="K9640" s="6"/>
    </row>
    <row r="9641" spans="3:11" x14ac:dyDescent="0.25">
      <c r="C9641" s="6"/>
      <c r="G9641" s="6"/>
      <c r="K9641" s="6"/>
    </row>
    <row r="9642" spans="3:11" x14ac:dyDescent="0.25">
      <c r="C9642" s="6"/>
      <c r="G9642" s="6"/>
      <c r="K9642" s="6"/>
    </row>
    <row r="9643" spans="3:11" x14ac:dyDescent="0.25">
      <c r="C9643" s="6"/>
      <c r="G9643" s="6"/>
      <c r="K9643" s="6"/>
    </row>
    <row r="9644" spans="3:11" x14ac:dyDescent="0.25">
      <c r="C9644" s="6"/>
      <c r="G9644" s="6"/>
      <c r="K9644" s="6"/>
    </row>
    <row r="9645" spans="3:11" x14ac:dyDescent="0.25">
      <c r="C9645" s="6"/>
      <c r="G9645" s="6"/>
      <c r="K9645" s="6"/>
    </row>
    <row r="9646" spans="3:11" x14ac:dyDescent="0.25">
      <c r="C9646" s="6"/>
      <c r="G9646" s="6"/>
      <c r="K9646" s="6"/>
    </row>
    <row r="9647" spans="3:11" x14ac:dyDescent="0.25">
      <c r="C9647" s="6"/>
      <c r="G9647" s="6"/>
      <c r="K9647" s="6"/>
    </row>
    <row r="9648" spans="3:11" x14ac:dyDescent="0.25">
      <c r="C9648" s="6"/>
      <c r="G9648" s="6"/>
      <c r="K9648" s="6"/>
    </row>
    <row r="9649" spans="3:11" x14ac:dyDescent="0.25">
      <c r="C9649" s="6"/>
      <c r="G9649" s="6"/>
      <c r="K9649" s="6"/>
    </row>
    <row r="9650" spans="3:11" x14ac:dyDescent="0.25">
      <c r="C9650" s="6"/>
      <c r="G9650" s="6"/>
      <c r="K9650" s="6"/>
    </row>
    <row r="9651" spans="3:11" x14ac:dyDescent="0.25">
      <c r="C9651" s="6"/>
      <c r="G9651" s="6"/>
      <c r="K9651" s="6"/>
    </row>
    <row r="9652" spans="3:11" x14ac:dyDescent="0.25">
      <c r="C9652" s="6"/>
      <c r="G9652" s="6"/>
      <c r="K9652" s="6"/>
    </row>
    <row r="9653" spans="3:11" x14ac:dyDescent="0.25">
      <c r="C9653" s="6"/>
      <c r="G9653" s="6"/>
      <c r="K9653" s="6"/>
    </row>
    <row r="9654" spans="3:11" x14ac:dyDescent="0.25">
      <c r="C9654" s="6"/>
      <c r="G9654" s="6"/>
      <c r="K9654" s="6"/>
    </row>
    <row r="9655" spans="3:11" x14ac:dyDescent="0.25">
      <c r="C9655" s="6"/>
      <c r="G9655" s="6"/>
      <c r="K9655" s="6"/>
    </row>
    <row r="9656" spans="3:11" x14ac:dyDescent="0.25">
      <c r="C9656" s="6"/>
      <c r="G9656" s="6"/>
      <c r="K9656" s="6"/>
    </row>
    <row r="9657" spans="3:11" x14ac:dyDescent="0.25">
      <c r="C9657" s="6"/>
      <c r="G9657" s="6"/>
      <c r="K9657" s="6"/>
    </row>
    <row r="9658" spans="3:11" x14ac:dyDescent="0.25">
      <c r="C9658" s="6"/>
      <c r="G9658" s="6"/>
      <c r="K9658" s="6"/>
    </row>
    <row r="9659" spans="3:11" x14ac:dyDescent="0.25">
      <c r="C9659" s="6"/>
      <c r="G9659" s="6"/>
      <c r="K9659" s="6"/>
    </row>
    <row r="9660" spans="3:11" x14ac:dyDescent="0.25">
      <c r="C9660" s="6"/>
      <c r="G9660" s="6"/>
      <c r="K9660" s="6"/>
    </row>
    <row r="9661" spans="3:11" x14ac:dyDescent="0.25">
      <c r="C9661" s="6"/>
      <c r="G9661" s="6"/>
      <c r="K9661" s="6"/>
    </row>
    <row r="9662" spans="3:11" x14ac:dyDescent="0.25">
      <c r="C9662" s="6"/>
      <c r="G9662" s="6"/>
      <c r="K9662" s="6"/>
    </row>
    <row r="9663" spans="3:11" x14ac:dyDescent="0.25">
      <c r="C9663" s="6"/>
      <c r="G9663" s="6"/>
      <c r="K9663" s="6"/>
    </row>
    <row r="9664" spans="3:11" x14ac:dyDescent="0.25">
      <c r="C9664" s="6"/>
      <c r="G9664" s="6"/>
      <c r="K9664" s="6"/>
    </row>
    <row r="9665" spans="3:11" x14ac:dyDescent="0.25">
      <c r="C9665" s="6"/>
      <c r="G9665" s="6"/>
      <c r="K9665" s="6"/>
    </row>
    <row r="9666" spans="3:11" x14ac:dyDescent="0.25">
      <c r="C9666" s="6"/>
      <c r="G9666" s="6"/>
      <c r="K9666" s="6"/>
    </row>
    <row r="9667" spans="3:11" x14ac:dyDescent="0.25">
      <c r="C9667" s="6"/>
      <c r="G9667" s="6"/>
      <c r="K9667" s="6"/>
    </row>
    <row r="9668" spans="3:11" x14ac:dyDescent="0.25">
      <c r="C9668" s="6"/>
      <c r="G9668" s="6"/>
      <c r="K9668" s="6"/>
    </row>
    <row r="9669" spans="3:11" x14ac:dyDescent="0.25">
      <c r="C9669" s="6"/>
      <c r="G9669" s="6"/>
      <c r="K9669" s="6"/>
    </row>
    <row r="9670" spans="3:11" x14ac:dyDescent="0.25">
      <c r="C9670" s="6"/>
      <c r="G9670" s="6"/>
      <c r="K9670" s="6"/>
    </row>
    <row r="9671" spans="3:11" x14ac:dyDescent="0.25">
      <c r="C9671" s="6"/>
      <c r="G9671" s="6"/>
      <c r="K9671" s="6"/>
    </row>
    <row r="9672" spans="3:11" x14ac:dyDescent="0.25">
      <c r="C9672" s="6"/>
      <c r="G9672" s="6"/>
      <c r="K9672" s="6"/>
    </row>
    <row r="9673" spans="3:11" x14ac:dyDescent="0.25">
      <c r="C9673" s="6"/>
      <c r="G9673" s="6"/>
      <c r="K9673" s="6"/>
    </row>
    <row r="9674" spans="3:11" x14ac:dyDescent="0.25">
      <c r="C9674" s="6"/>
      <c r="G9674" s="6"/>
      <c r="K9674" s="6"/>
    </row>
    <row r="9675" spans="3:11" x14ac:dyDescent="0.25">
      <c r="C9675" s="6"/>
      <c r="G9675" s="6"/>
      <c r="K9675" s="6"/>
    </row>
    <row r="9676" spans="3:11" x14ac:dyDescent="0.25">
      <c r="C9676" s="6"/>
      <c r="G9676" s="6"/>
      <c r="K9676" s="6"/>
    </row>
    <row r="9677" spans="3:11" x14ac:dyDescent="0.25">
      <c r="C9677" s="6"/>
      <c r="G9677" s="6"/>
      <c r="K9677" s="6"/>
    </row>
    <row r="9678" spans="3:11" x14ac:dyDescent="0.25">
      <c r="C9678" s="6"/>
      <c r="G9678" s="6"/>
      <c r="K9678" s="6"/>
    </row>
    <row r="9679" spans="3:11" x14ac:dyDescent="0.25">
      <c r="C9679" s="6"/>
      <c r="G9679" s="6"/>
      <c r="K9679" s="6"/>
    </row>
    <row r="9680" spans="3:11" x14ac:dyDescent="0.25">
      <c r="C9680" s="6"/>
      <c r="G9680" s="6"/>
      <c r="K9680" s="6"/>
    </row>
    <row r="9681" spans="3:11" x14ac:dyDescent="0.25">
      <c r="C9681" s="6"/>
      <c r="G9681" s="6"/>
      <c r="K9681" s="6"/>
    </row>
    <row r="9682" spans="3:11" x14ac:dyDescent="0.25">
      <c r="C9682" s="6"/>
      <c r="G9682" s="6"/>
      <c r="K9682" s="6"/>
    </row>
    <row r="9683" spans="3:11" x14ac:dyDescent="0.25">
      <c r="C9683" s="6"/>
      <c r="G9683" s="6"/>
      <c r="K9683" s="6"/>
    </row>
    <row r="9684" spans="3:11" x14ac:dyDescent="0.25">
      <c r="C9684" s="6"/>
      <c r="G9684" s="6"/>
      <c r="K9684" s="6"/>
    </row>
    <row r="9685" spans="3:11" x14ac:dyDescent="0.25">
      <c r="C9685" s="6"/>
      <c r="G9685" s="6"/>
      <c r="K9685" s="6"/>
    </row>
    <row r="9686" spans="3:11" x14ac:dyDescent="0.25">
      <c r="C9686" s="6"/>
      <c r="G9686" s="6"/>
      <c r="K9686" s="6"/>
    </row>
    <row r="9687" spans="3:11" x14ac:dyDescent="0.25">
      <c r="C9687" s="6"/>
      <c r="G9687" s="6"/>
      <c r="K9687" s="6"/>
    </row>
    <row r="9688" spans="3:11" x14ac:dyDescent="0.25">
      <c r="C9688" s="6"/>
      <c r="G9688" s="6"/>
      <c r="K9688" s="6"/>
    </row>
    <row r="9689" spans="3:11" x14ac:dyDescent="0.25">
      <c r="C9689" s="6"/>
      <c r="G9689" s="6"/>
      <c r="K9689" s="6"/>
    </row>
    <row r="9690" spans="3:11" x14ac:dyDescent="0.25">
      <c r="C9690" s="6"/>
      <c r="G9690" s="6"/>
      <c r="K9690" s="6"/>
    </row>
    <row r="9691" spans="3:11" x14ac:dyDescent="0.25">
      <c r="C9691" s="6"/>
      <c r="G9691" s="6"/>
      <c r="K9691" s="6"/>
    </row>
    <row r="9692" spans="3:11" x14ac:dyDescent="0.25">
      <c r="C9692" s="6"/>
      <c r="G9692" s="6"/>
      <c r="K9692" s="6"/>
    </row>
    <row r="9693" spans="3:11" x14ac:dyDescent="0.25">
      <c r="C9693" s="6"/>
      <c r="G9693" s="6"/>
      <c r="K9693" s="6"/>
    </row>
    <row r="9694" spans="3:11" x14ac:dyDescent="0.25">
      <c r="C9694" s="6"/>
      <c r="G9694" s="6"/>
      <c r="K9694" s="6"/>
    </row>
    <row r="9695" spans="3:11" x14ac:dyDescent="0.25">
      <c r="C9695" s="6"/>
      <c r="G9695" s="6"/>
      <c r="K9695" s="6"/>
    </row>
    <row r="9696" spans="3:11" x14ac:dyDescent="0.25">
      <c r="C9696" s="6"/>
      <c r="G9696" s="6"/>
      <c r="K9696" s="6"/>
    </row>
    <row r="9697" spans="3:11" x14ac:dyDescent="0.25">
      <c r="C9697" s="6"/>
      <c r="G9697" s="6"/>
      <c r="K9697" s="6"/>
    </row>
    <row r="9698" spans="3:11" x14ac:dyDescent="0.25">
      <c r="C9698" s="6"/>
      <c r="G9698" s="6"/>
      <c r="K9698" s="6"/>
    </row>
    <row r="9699" spans="3:11" x14ac:dyDescent="0.25">
      <c r="C9699" s="6"/>
      <c r="G9699" s="6"/>
      <c r="K9699" s="6"/>
    </row>
    <row r="9700" spans="3:11" x14ac:dyDescent="0.25">
      <c r="C9700" s="6"/>
      <c r="G9700" s="6"/>
      <c r="K9700" s="6"/>
    </row>
    <row r="9701" spans="3:11" x14ac:dyDescent="0.25">
      <c r="C9701" s="6"/>
      <c r="G9701" s="6"/>
      <c r="K9701" s="6"/>
    </row>
    <row r="9702" spans="3:11" x14ac:dyDescent="0.25">
      <c r="C9702" s="6"/>
      <c r="G9702" s="6"/>
      <c r="K9702" s="6"/>
    </row>
    <row r="9703" spans="3:11" x14ac:dyDescent="0.25">
      <c r="C9703" s="6"/>
      <c r="G9703" s="6"/>
      <c r="K9703" s="6"/>
    </row>
    <row r="9704" spans="3:11" x14ac:dyDescent="0.25">
      <c r="C9704" s="6"/>
      <c r="G9704" s="6"/>
      <c r="K9704" s="6"/>
    </row>
    <row r="9705" spans="3:11" x14ac:dyDescent="0.25">
      <c r="C9705" s="6"/>
      <c r="G9705" s="6"/>
      <c r="K9705" s="6"/>
    </row>
    <row r="9706" spans="3:11" x14ac:dyDescent="0.25">
      <c r="C9706" s="6"/>
      <c r="G9706" s="6"/>
      <c r="K9706" s="6"/>
    </row>
    <row r="9707" spans="3:11" x14ac:dyDescent="0.25">
      <c r="C9707" s="6"/>
      <c r="G9707" s="6"/>
      <c r="K9707" s="6"/>
    </row>
    <row r="9708" spans="3:11" x14ac:dyDescent="0.25">
      <c r="C9708" s="6"/>
      <c r="G9708" s="6"/>
      <c r="K9708" s="6"/>
    </row>
    <row r="9709" spans="3:11" x14ac:dyDescent="0.25">
      <c r="C9709" s="6"/>
      <c r="G9709" s="6"/>
      <c r="K9709" s="6"/>
    </row>
    <row r="9710" spans="3:11" x14ac:dyDescent="0.25">
      <c r="C9710" s="6"/>
      <c r="G9710" s="6"/>
      <c r="K9710" s="6"/>
    </row>
    <row r="9711" spans="3:11" x14ac:dyDescent="0.25">
      <c r="C9711" s="6"/>
      <c r="G9711" s="6"/>
      <c r="K9711" s="6"/>
    </row>
    <row r="9712" spans="3:11" x14ac:dyDescent="0.25">
      <c r="C9712" s="6"/>
      <c r="G9712" s="6"/>
      <c r="K9712" s="6"/>
    </row>
    <row r="9713" spans="3:11" x14ac:dyDescent="0.25">
      <c r="C9713" s="6"/>
      <c r="G9713" s="6"/>
      <c r="K9713" s="6"/>
    </row>
    <row r="9714" spans="3:11" x14ac:dyDescent="0.25">
      <c r="C9714" s="6"/>
      <c r="G9714" s="6"/>
      <c r="K9714" s="6"/>
    </row>
    <row r="9715" spans="3:11" x14ac:dyDescent="0.25">
      <c r="C9715" s="6"/>
      <c r="G9715" s="6"/>
      <c r="K9715" s="6"/>
    </row>
    <row r="9716" spans="3:11" x14ac:dyDescent="0.25">
      <c r="C9716" s="6"/>
      <c r="G9716" s="6"/>
      <c r="K9716" s="6"/>
    </row>
    <row r="9717" spans="3:11" x14ac:dyDescent="0.25">
      <c r="C9717" s="6"/>
      <c r="G9717" s="6"/>
      <c r="K9717" s="6"/>
    </row>
    <row r="9718" spans="3:11" x14ac:dyDescent="0.25">
      <c r="C9718" s="6"/>
      <c r="G9718" s="6"/>
      <c r="K9718" s="6"/>
    </row>
    <row r="9719" spans="3:11" x14ac:dyDescent="0.25">
      <c r="C9719" s="6"/>
      <c r="G9719" s="6"/>
      <c r="K9719" s="6"/>
    </row>
    <row r="9720" spans="3:11" x14ac:dyDescent="0.25">
      <c r="C9720" s="6"/>
      <c r="G9720" s="6"/>
      <c r="K9720" s="6"/>
    </row>
    <row r="9721" spans="3:11" x14ac:dyDescent="0.25">
      <c r="C9721" s="6"/>
      <c r="G9721" s="6"/>
      <c r="K9721" s="6"/>
    </row>
    <row r="9722" spans="3:11" x14ac:dyDescent="0.25">
      <c r="C9722" s="6"/>
      <c r="G9722" s="6"/>
      <c r="K9722" s="6"/>
    </row>
    <row r="9723" spans="3:11" x14ac:dyDescent="0.25">
      <c r="C9723" s="6"/>
      <c r="G9723" s="6"/>
      <c r="K9723" s="6"/>
    </row>
    <row r="9724" spans="3:11" x14ac:dyDescent="0.25">
      <c r="C9724" s="6"/>
      <c r="G9724" s="6"/>
      <c r="K9724" s="6"/>
    </row>
    <row r="9725" spans="3:11" x14ac:dyDescent="0.25">
      <c r="C9725" s="6"/>
      <c r="G9725" s="6"/>
      <c r="K9725" s="6"/>
    </row>
    <row r="9726" spans="3:11" x14ac:dyDescent="0.25">
      <c r="C9726" s="6"/>
      <c r="G9726" s="6"/>
      <c r="K9726" s="6"/>
    </row>
    <row r="9727" spans="3:11" x14ac:dyDescent="0.25">
      <c r="C9727" s="6"/>
      <c r="G9727" s="6"/>
      <c r="K9727" s="6"/>
    </row>
    <row r="9728" spans="3:11" x14ac:dyDescent="0.25">
      <c r="C9728" s="6"/>
      <c r="G9728" s="6"/>
      <c r="K9728" s="6"/>
    </row>
    <row r="9729" spans="3:11" x14ac:dyDescent="0.25">
      <c r="C9729" s="6"/>
      <c r="G9729" s="6"/>
      <c r="K9729" s="6"/>
    </row>
    <row r="9730" spans="3:11" x14ac:dyDescent="0.25">
      <c r="C9730" s="6"/>
      <c r="G9730" s="6"/>
      <c r="K9730" s="6"/>
    </row>
    <row r="9731" spans="3:11" x14ac:dyDescent="0.25">
      <c r="C9731" s="6"/>
      <c r="G9731" s="6"/>
      <c r="K9731" s="6"/>
    </row>
    <row r="9732" spans="3:11" x14ac:dyDescent="0.25">
      <c r="C9732" s="6"/>
      <c r="G9732" s="6"/>
      <c r="K9732" s="6"/>
    </row>
    <row r="9733" spans="3:11" x14ac:dyDescent="0.25">
      <c r="C9733" s="6"/>
      <c r="G9733" s="6"/>
      <c r="K9733" s="6"/>
    </row>
    <row r="9734" spans="3:11" x14ac:dyDescent="0.25">
      <c r="C9734" s="6"/>
      <c r="G9734" s="6"/>
      <c r="K9734" s="6"/>
    </row>
    <row r="9735" spans="3:11" x14ac:dyDescent="0.25">
      <c r="C9735" s="6"/>
      <c r="G9735" s="6"/>
      <c r="K9735" s="6"/>
    </row>
    <row r="9736" spans="3:11" x14ac:dyDescent="0.25">
      <c r="C9736" s="6"/>
      <c r="G9736" s="6"/>
      <c r="K9736" s="6"/>
    </row>
    <row r="9737" spans="3:11" x14ac:dyDescent="0.25">
      <c r="C9737" s="6"/>
      <c r="G9737" s="6"/>
      <c r="K9737" s="6"/>
    </row>
    <row r="9738" spans="3:11" x14ac:dyDescent="0.25">
      <c r="C9738" s="6"/>
      <c r="G9738" s="6"/>
      <c r="K9738" s="6"/>
    </row>
    <row r="9739" spans="3:11" x14ac:dyDescent="0.25">
      <c r="C9739" s="6"/>
      <c r="G9739" s="6"/>
      <c r="K9739" s="6"/>
    </row>
    <row r="9740" spans="3:11" x14ac:dyDescent="0.25">
      <c r="C9740" s="6"/>
      <c r="G9740" s="6"/>
      <c r="K9740" s="6"/>
    </row>
    <row r="9741" spans="3:11" x14ac:dyDescent="0.25">
      <c r="C9741" s="6"/>
      <c r="G9741" s="6"/>
      <c r="K9741" s="6"/>
    </row>
    <row r="9742" spans="3:11" x14ac:dyDescent="0.25">
      <c r="C9742" s="6"/>
      <c r="G9742" s="6"/>
      <c r="K9742" s="6"/>
    </row>
    <row r="9743" spans="3:11" x14ac:dyDescent="0.25">
      <c r="C9743" s="6"/>
      <c r="G9743" s="6"/>
      <c r="K9743" s="6"/>
    </row>
    <row r="9744" spans="3:11" x14ac:dyDescent="0.25">
      <c r="C9744" s="6"/>
      <c r="G9744" s="6"/>
      <c r="K9744" s="6"/>
    </row>
    <row r="9745" spans="3:11" x14ac:dyDescent="0.25">
      <c r="C9745" s="6"/>
      <c r="G9745" s="6"/>
      <c r="K9745" s="6"/>
    </row>
    <row r="9746" spans="3:11" x14ac:dyDescent="0.25">
      <c r="C9746" s="6"/>
      <c r="G9746" s="6"/>
      <c r="K9746" s="6"/>
    </row>
    <row r="9747" spans="3:11" x14ac:dyDescent="0.25">
      <c r="C9747" s="6"/>
      <c r="G9747" s="6"/>
      <c r="K9747" s="6"/>
    </row>
    <row r="9748" spans="3:11" x14ac:dyDescent="0.25">
      <c r="C9748" s="6"/>
      <c r="G9748" s="6"/>
      <c r="K9748" s="6"/>
    </row>
    <row r="9749" spans="3:11" x14ac:dyDescent="0.25">
      <c r="C9749" s="6"/>
      <c r="G9749" s="6"/>
      <c r="K9749" s="6"/>
    </row>
    <row r="9750" spans="3:11" x14ac:dyDescent="0.25">
      <c r="C9750" s="6"/>
      <c r="G9750" s="6"/>
      <c r="K9750" s="6"/>
    </row>
    <row r="9751" spans="3:11" x14ac:dyDescent="0.25">
      <c r="C9751" s="6"/>
      <c r="G9751" s="6"/>
      <c r="K9751" s="6"/>
    </row>
    <row r="9752" spans="3:11" x14ac:dyDescent="0.25">
      <c r="C9752" s="6"/>
      <c r="G9752" s="6"/>
      <c r="K9752" s="6"/>
    </row>
    <row r="9753" spans="3:11" x14ac:dyDescent="0.25">
      <c r="C9753" s="6"/>
      <c r="G9753" s="6"/>
      <c r="K9753" s="6"/>
    </row>
    <row r="9754" spans="3:11" x14ac:dyDescent="0.25">
      <c r="C9754" s="6"/>
      <c r="G9754" s="6"/>
      <c r="K9754" s="6"/>
    </row>
    <row r="9755" spans="3:11" x14ac:dyDescent="0.25">
      <c r="C9755" s="6"/>
      <c r="G9755" s="6"/>
      <c r="K9755" s="6"/>
    </row>
    <row r="9756" spans="3:11" x14ac:dyDescent="0.25">
      <c r="C9756" s="6"/>
      <c r="G9756" s="6"/>
      <c r="K9756" s="6"/>
    </row>
    <row r="9757" spans="3:11" x14ac:dyDescent="0.25">
      <c r="C9757" s="6"/>
      <c r="G9757" s="6"/>
      <c r="K9757" s="6"/>
    </row>
    <row r="9758" spans="3:11" x14ac:dyDescent="0.25">
      <c r="C9758" s="6"/>
      <c r="G9758" s="6"/>
      <c r="K9758" s="6"/>
    </row>
    <row r="9759" spans="3:11" x14ac:dyDescent="0.25">
      <c r="C9759" s="6"/>
      <c r="G9759" s="6"/>
      <c r="K9759" s="6"/>
    </row>
    <row r="9760" spans="3:11" x14ac:dyDescent="0.25">
      <c r="C9760" s="6"/>
      <c r="G9760" s="6"/>
      <c r="K9760" s="6"/>
    </row>
    <row r="9761" spans="3:11" x14ac:dyDescent="0.25">
      <c r="C9761" s="6"/>
      <c r="G9761" s="6"/>
      <c r="K9761" s="6"/>
    </row>
    <row r="9762" spans="3:11" x14ac:dyDescent="0.25">
      <c r="C9762" s="6"/>
      <c r="G9762" s="6"/>
      <c r="K9762" s="6"/>
    </row>
    <row r="9763" spans="3:11" x14ac:dyDescent="0.25">
      <c r="C9763" s="6"/>
      <c r="G9763" s="6"/>
      <c r="K9763" s="6"/>
    </row>
    <row r="9764" spans="3:11" x14ac:dyDescent="0.25">
      <c r="C9764" s="6"/>
      <c r="G9764" s="6"/>
      <c r="K9764" s="6"/>
    </row>
    <row r="9765" spans="3:11" x14ac:dyDescent="0.25">
      <c r="C9765" s="6"/>
      <c r="G9765" s="6"/>
      <c r="K9765" s="6"/>
    </row>
    <row r="9766" spans="3:11" x14ac:dyDescent="0.25">
      <c r="C9766" s="6"/>
      <c r="G9766" s="6"/>
      <c r="K9766" s="6"/>
    </row>
    <row r="9767" spans="3:11" x14ac:dyDescent="0.25">
      <c r="C9767" s="6"/>
      <c r="G9767" s="6"/>
      <c r="K9767" s="6"/>
    </row>
    <row r="9768" spans="3:11" x14ac:dyDescent="0.25">
      <c r="C9768" s="6"/>
      <c r="G9768" s="6"/>
      <c r="K9768" s="6"/>
    </row>
    <row r="9769" spans="3:11" x14ac:dyDescent="0.25">
      <c r="C9769" s="6"/>
      <c r="G9769" s="6"/>
      <c r="K9769" s="6"/>
    </row>
    <row r="9770" spans="3:11" x14ac:dyDescent="0.25">
      <c r="C9770" s="6"/>
      <c r="G9770" s="6"/>
      <c r="K9770" s="6"/>
    </row>
    <row r="9771" spans="3:11" x14ac:dyDescent="0.25">
      <c r="C9771" s="6"/>
      <c r="G9771" s="6"/>
      <c r="K9771" s="6"/>
    </row>
    <row r="9772" spans="3:11" x14ac:dyDescent="0.25">
      <c r="C9772" s="6"/>
      <c r="G9772" s="6"/>
      <c r="K9772" s="6"/>
    </row>
    <row r="9773" spans="3:11" x14ac:dyDescent="0.25">
      <c r="C9773" s="6"/>
      <c r="G9773" s="6"/>
      <c r="K9773" s="6"/>
    </row>
    <row r="9774" spans="3:11" x14ac:dyDescent="0.25">
      <c r="C9774" s="6"/>
      <c r="G9774" s="6"/>
      <c r="K9774" s="6"/>
    </row>
    <row r="9775" spans="3:11" x14ac:dyDescent="0.25">
      <c r="C9775" s="6"/>
      <c r="G9775" s="6"/>
      <c r="K9775" s="6"/>
    </row>
    <row r="9776" spans="3:11" x14ac:dyDescent="0.25">
      <c r="C9776" s="6"/>
      <c r="G9776" s="6"/>
      <c r="K9776" s="6"/>
    </row>
    <row r="9777" spans="3:11" x14ac:dyDescent="0.25">
      <c r="C9777" s="6"/>
      <c r="G9777" s="6"/>
      <c r="K9777" s="6"/>
    </row>
    <row r="9778" spans="3:11" x14ac:dyDescent="0.25">
      <c r="C9778" s="6"/>
      <c r="G9778" s="6"/>
      <c r="K9778" s="6"/>
    </row>
    <row r="9779" spans="3:11" x14ac:dyDescent="0.25">
      <c r="C9779" s="6"/>
      <c r="G9779" s="6"/>
      <c r="K9779" s="6"/>
    </row>
    <row r="9780" spans="3:11" x14ac:dyDescent="0.25">
      <c r="C9780" s="6"/>
      <c r="G9780" s="6"/>
      <c r="K9780" s="6"/>
    </row>
    <row r="9781" spans="3:11" x14ac:dyDescent="0.25">
      <c r="C9781" s="6"/>
      <c r="G9781" s="6"/>
      <c r="K9781" s="6"/>
    </row>
    <row r="9782" spans="3:11" x14ac:dyDescent="0.25">
      <c r="C9782" s="6"/>
      <c r="G9782" s="6"/>
      <c r="K9782" s="6"/>
    </row>
    <row r="9783" spans="3:11" x14ac:dyDescent="0.25">
      <c r="C9783" s="6"/>
      <c r="G9783" s="6"/>
      <c r="K9783" s="6"/>
    </row>
    <row r="9784" spans="3:11" x14ac:dyDescent="0.25">
      <c r="C9784" s="6"/>
      <c r="G9784" s="6"/>
      <c r="K9784" s="6"/>
    </row>
    <row r="9785" spans="3:11" x14ac:dyDescent="0.25">
      <c r="C9785" s="6"/>
      <c r="G9785" s="6"/>
      <c r="K9785" s="6"/>
    </row>
    <row r="9786" spans="3:11" x14ac:dyDescent="0.25">
      <c r="C9786" s="6"/>
      <c r="G9786" s="6"/>
      <c r="K9786" s="6"/>
    </row>
    <row r="9787" spans="3:11" x14ac:dyDescent="0.25">
      <c r="C9787" s="6"/>
      <c r="G9787" s="6"/>
      <c r="K9787" s="6"/>
    </row>
    <row r="9788" spans="3:11" x14ac:dyDescent="0.25">
      <c r="C9788" s="6"/>
      <c r="G9788" s="6"/>
      <c r="K9788" s="6"/>
    </row>
    <row r="9789" spans="3:11" x14ac:dyDescent="0.25">
      <c r="C9789" s="6"/>
      <c r="G9789" s="6"/>
      <c r="K9789" s="6"/>
    </row>
    <row r="9790" spans="3:11" x14ac:dyDescent="0.25">
      <c r="C9790" s="6"/>
      <c r="G9790" s="6"/>
      <c r="K9790" s="6"/>
    </row>
    <row r="9791" spans="3:11" x14ac:dyDescent="0.25">
      <c r="C9791" s="6"/>
      <c r="G9791" s="6"/>
      <c r="K9791" s="6"/>
    </row>
    <row r="9792" spans="3:11" x14ac:dyDescent="0.25">
      <c r="C9792" s="6"/>
      <c r="G9792" s="6"/>
      <c r="K9792" s="6"/>
    </row>
    <row r="9793" spans="3:11" x14ac:dyDescent="0.25">
      <c r="C9793" s="6"/>
      <c r="G9793" s="6"/>
      <c r="K9793" s="6"/>
    </row>
    <row r="9794" spans="3:11" x14ac:dyDescent="0.25">
      <c r="C9794" s="6"/>
      <c r="G9794" s="6"/>
      <c r="K9794" s="6"/>
    </row>
    <row r="9795" spans="3:11" x14ac:dyDescent="0.25">
      <c r="C9795" s="6"/>
      <c r="G9795" s="6"/>
      <c r="K9795" s="6"/>
    </row>
    <row r="9796" spans="3:11" x14ac:dyDescent="0.25">
      <c r="C9796" s="6"/>
      <c r="G9796" s="6"/>
      <c r="K9796" s="6"/>
    </row>
    <row r="9797" spans="3:11" x14ac:dyDescent="0.25">
      <c r="C9797" s="6"/>
      <c r="G9797" s="6"/>
      <c r="K9797" s="6"/>
    </row>
    <row r="9798" spans="3:11" x14ac:dyDescent="0.25">
      <c r="C9798" s="6"/>
      <c r="G9798" s="6"/>
      <c r="K9798" s="6"/>
    </row>
    <row r="9799" spans="3:11" x14ac:dyDescent="0.25">
      <c r="C9799" s="6"/>
      <c r="G9799" s="6"/>
      <c r="K9799" s="6"/>
    </row>
    <row r="9800" spans="3:11" x14ac:dyDescent="0.25">
      <c r="C9800" s="6"/>
      <c r="G9800" s="6"/>
      <c r="K9800" s="6"/>
    </row>
    <row r="9801" spans="3:11" x14ac:dyDescent="0.25">
      <c r="C9801" s="6"/>
      <c r="G9801" s="6"/>
      <c r="K9801" s="6"/>
    </row>
    <row r="9802" spans="3:11" x14ac:dyDescent="0.25">
      <c r="C9802" s="6"/>
      <c r="G9802" s="6"/>
      <c r="K9802" s="6"/>
    </row>
    <row r="9803" spans="3:11" x14ac:dyDescent="0.25">
      <c r="C9803" s="6"/>
      <c r="G9803" s="6"/>
      <c r="K9803" s="6"/>
    </row>
    <row r="9804" spans="3:11" x14ac:dyDescent="0.25">
      <c r="C9804" s="6"/>
      <c r="G9804" s="6"/>
      <c r="K9804" s="6"/>
    </row>
    <row r="9805" spans="3:11" x14ac:dyDescent="0.25">
      <c r="C9805" s="6"/>
      <c r="G9805" s="6"/>
      <c r="K9805" s="6"/>
    </row>
    <row r="9806" spans="3:11" x14ac:dyDescent="0.25">
      <c r="C9806" s="6"/>
      <c r="G9806" s="6"/>
      <c r="K9806" s="6"/>
    </row>
    <row r="9807" spans="3:11" x14ac:dyDescent="0.25">
      <c r="C9807" s="6"/>
      <c r="G9807" s="6"/>
      <c r="K9807" s="6"/>
    </row>
    <row r="9808" spans="3:11" x14ac:dyDescent="0.25">
      <c r="C9808" s="6"/>
      <c r="G9808" s="6"/>
      <c r="K9808" s="6"/>
    </row>
    <row r="9809" spans="3:11" x14ac:dyDescent="0.25">
      <c r="C9809" s="6"/>
      <c r="G9809" s="6"/>
      <c r="K9809" s="6"/>
    </row>
    <row r="9810" spans="3:11" x14ac:dyDescent="0.25">
      <c r="C9810" s="6"/>
      <c r="G9810" s="6"/>
      <c r="K9810" s="6"/>
    </row>
    <row r="9811" spans="3:11" x14ac:dyDescent="0.25">
      <c r="C9811" s="6"/>
      <c r="G9811" s="6"/>
      <c r="K9811" s="6"/>
    </row>
    <row r="9812" spans="3:11" x14ac:dyDescent="0.25">
      <c r="C9812" s="6"/>
      <c r="G9812" s="6"/>
      <c r="K9812" s="6"/>
    </row>
    <row r="9813" spans="3:11" x14ac:dyDescent="0.25">
      <c r="C9813" s="6"/>
      <c r="G9813" s="6"/>
      <c r="K9813" s="6"/>
    </row>
    <row r="9814" spans="3:11" x14ac:dyDescent="0.25">
      <c r="C9814" s="6"/>
      <c r="G9814" s="6"/>
      <c r="K9814" s="6"/>
    </row>
    <row r="9815" spans="3:11" x14ac:dyDescent="0.25">
      <c r="C9815" s="6"/>
      <c r="G9815" s="6"/>
      <c r="K9815" s="6"/>
    </row>
    <row r="9816" spans="3:11" x14ac:dyDescent="0.25">
      <c r="C9816" s="6"/>
      <c r="G9816" s="6"/>
      <c r="K9816" s="6"/>
    </row>
    <row r="9817" spans="3:11" x14ac:dyDescent="0.25">
      <c r="C9817" s="6"/>
      <c r="G9817" s="6"/>
      <c r="K9817" s="6"/>
    </row>
    <row r="9818" spans="3:11" x14ac:dyDescent="0.25">
      <c r="C9818" s="6"/>
      <c r="G9818" s="6"/>
      <c r="K9818" s="6"/>
    </row>
    <row r="9819" spans="3:11" x14ac:dyDescent="0.25">
      <c r="C9819" s="6"/>
      <c r="G9819" s="6"/>
      <c r="K9819" s="6"/>
    </row>
    <row r="9820" spans="3:11" x14ac:dyDescent="0.25">
      <c r="C9820" s="6"/>
      <c r="G9820" s="6"/>
      <c r="K9820" s="6"/>
    </row>
    <row r="9821" spans="3:11" x14ac:dyDescent="0.25">
      <c r="C9821" s="6"/>
      <c r="G9821" s="6"/>
      <c r="K9821" s="6"/>
    </row>
    <row r="9822" spans="3:11" x14ac:dyDescent="0.25">
      <c r="C9822" s="6"/>
      <c r="G9822" s="6"/>
      <c r="K9822" s="6"/>
    </row>
    <row r="9823" spans="3:11" x14ac:dyDescent="0.25">
      <c r="C9823" s="6"/>
      <c r="G9823" s="6"/>
      <c r="K9823" s="6"/>
    </row>
    <row r="9824" spans="3:11" x14ac:dyDescent="0.25">
      <c r="C9824" s="6"/>
      <c r="G9824" s="6"/>
      <c r="K9824" s="6"/>
    </row>
    <row r="9825" spans="3:11" x14ac:dyDescent="0.25">
      <c r="C9825" s="6"/>
      <c r="G9825" s="6"/>
      <c r="K9825" s="6"/>
    </row>
    <row r="9826" spans="3:11" x14ac:dyDescent="0.25">
      <c r="C9826" s="6"/>
      <c r="G9826" s="6"/>
      <c r="K9826" s="6"/>
    </row>
    <row r="9827" spans="3:11" x14ac:dyDescent="0.25">
      <c r="C9827" s="6"/>
      <c r="G9827" s="6"/>
      <c r="K9827" s="6"/>
    </row>
    <row r="9828" spans="3:11" x14ac:dyDescent="0.25">
      <c r="C9828" s="6"/>
      <c r="G9828" s="6"/>
      <c r="K9828" s="6"/>
    </row>
    <row r="9829" spans="3:11" x14ac:dyDescent="0.25">
      <c r="C9829" s="6"/>
      <c r="G9829" s="6"/>
      <c r="K9829" s="6"/>
    </row>
    <row r="9830" spans="3:11" x14ac:dyDescent="0.25">
      <c r="C9830" s="6"/>
      <c r="G9830" s="6"/>
      <c r="K9830" s="6"/>
    </row>
    <row r="9831" spans="3:11" x14ac:dyDescent="0.25">
      <c r="C9831" s="6"/>
      <c r="G9831" s="6"/>
      <c r="K9831" s="6"/>
    </row>
    <row r="9832" spans="3:11" x14ac:dyDescent="0.25">
      <c r="C9832" s="6"/>
      <c r="G9832" s="6"/>
      <c r="K9832" s="6"/>
    </row>
    <row r="9833" spans="3:11" x14ac:dyDescent="0.25">
      <c r="C9833" s="6"/>
      <c r="G9833" s="6"/>
      <c r="K9833" s="6"/>
    </row>
    <row r="9834" spans="3:11" x14ac:dyDescent="0.25">
      <c r="C9834" s="6"/>
      <c r="G9834" s="6"/>
      <c r="K9834" s="6"/>
    </row>
    <row r="9835" spans="3:11" x14ac:dyDescent="0.25">
      <c r="C9835" s="6"/>
      <c r="G9835" s="6"/>
      <c r="K9835" s="6"/>
    </row>
    <row r="9836" spans="3:11" x14ac:dyDescent="0.25">
      <c r="C9836" s="6"/>
      <c r="G9836" s="6"/>
      <c r="K9836" s="6"/>
    </row>
    <row r="9837" spans="3:11" x14ac:dyDescent="0.25">
      <c r="C9837" s="6"/>
      <c r="G9837" s="6"/>
      <c r="K9837" s="6"/>
    </row>
    <row r="9838" spans="3:11" x14ac:dyDescent="0.25">
      <c r="C9838" s="6"/>
      <c r="G9838" s="6"/>
      <c r="K9838" s="6"/>
    </row>
    <row r="9839" spans="3:11" x14ac:dyDescent="0.25">
      <c r="C9839" s="6"/>
      <c r="G9839" s="6"/>
      <c r="K9839" s="6"/>
    </row>
    <row r="9840" spans="3:11" x14ac:dyDescent="0.25">
      <c r="C9840" s="6"/>
      <c r="G9840" s="6"/>
      <c r="K9840" s="6"/>
    </row>
    <row r="9841" spans="3:11" x14ac:dyDescent="0.25">
      <c r="C9841" s="6"/>
      <c r="G9841" s="6"/>
      <c r="K9841" s="6"/>
    </row>
    <row r="9842" spans="3:11" x14ac:dyDescent="0.25">
      <c r="C9842" s="6"/>
      <c r="G9842" s="6"/>
      <c r="K9842" s="6"/>
    </row>
    <row r="9843" spans="3:11" x14ac:dyDescent="0.25">
      <c r="C9843" s="6"/>
      <c r="G9843" s="6"/>
      <c r="K9843" s="6"/>
    </row>
    <row r="9844" spans="3:11" x14ac:dyDescent="0.25">
      <c r="C9844" s="6"/>
      <c r="G9844" s="6"/>
      <c r="K9844" s="6"/>
    </row>
    <row r="9845" spans="3:11" x14ac:dyDescent="0.25">
      <c r="C9845" s="6"/>
      <c r="G9845" s="6"/>
      <c r="K9845" s="6"/>
    </row>
    <row r="9846" spans="3:11" x14ac:dyDescent="0.25">
      <c r="C9846" s="6"/>
      <c r="G9846" s="6"/>
      <c r="K9846" s="6"/>
    </row>
    <row r="9847" spans="3:11" x14ac:dyDescent="0.25">
      <c r="C9847" s="6"/>
      <c r="G9847" s="6"/>
      <c r="K9847" s="6"/>
    </row>
    <row r="9848" spans="3:11" x14ac:dyDescent="0.25">
      <c r="C9848" s="6"/>
      <c r="G9848" s="6"/>
      <c r="K9848" s="6"/>
    </row>
    <row r="9849" spans="3:11" x14ac:dyDescent="0.25">
      <c r="C9849" s="6"/>
      <c r="G9849" s="6"/>
      <c r="K9849" s="6"/>
    </row>
    <row r="9850" spans="3:11" x14ac:dyDescent="0.25">
      <c r="C9850" s="6"/>
      <c r="G9850" s="6"/>
      <c r="K9850" s="6"/>
    </row>
    <row r="9851" spans="3:11" x14ac:dyDescent="0.25">
      <c r="C9851" s="6"/>
      <c r="G9851" s="6"/>
      <c r="K9851" s="6"/>
    </row>
    <row r="9852" spans="3:11" x14ac:dyDescent="0.25">
      <c r="C9852" s="6"/>
      <c r="G9852" s="6"/>
      <c r="K9852" s="6"/>
    </row>
    <row r="9853" spans="3:11" x14ac:dyDescent="0.25">
      <c r="C9853" s="6"/>
      <c r="G9853" s="6"/>
      <c r="K9853" s="6"/>
    </row>
    <row r="9854" spans="3:11" x14ac:dyDescent="0.25">
      <c r="C9854" s="6"/>
      <c r="G9854" s="6"/>
      <c r="K9854" s="6"/>
    </row>
    <row r="9855" spans="3:11" x14ac:dyDescent="0.25">
      <c r="C9855" s="6"/>
      <c r="G9855" s="6"/>
      <c r="K9855" s="6"/>
    </row>
    <row r="9856" spans="3:11" x14ac:dyDescent="0.25">
      <c r="C9856" s="6"/>
      <c r="G9856" s="6"/>
      <c r="K9856" s="6"/>
    </row>
    <row r="9857" spans="3:11" x14ac:dyDescent="0.25">
      <c r="C9857" s="6"/>
      <c r="G9857" s="6"/>
      <c r="K9857" s="6"/>
    </row>
    <row r="9858" spans="3:11" x14ac:dyDescent="0.25">
      <c r="C9858" s="6"/>
      <c r="G9858" s="6"/>
      <c r="K9858" s="6"/>
    </row>
    <row r="9859" spans="3:11" x14ac:dyDescent="0.25">
      <c r="C9859" s="6"/>
      <c r="G9859" s="6"/>
      <c r="K9859" s="6"/>
    </row>
    <row r="9860" spans="3:11" x14ac:dyDescent="0.25">
      <c r="C9860" s="6"/>
      <c r="G9860" s="6"/>
      <c r="K9860" s="6"/>
    </row>
    <row r="9861" spans="3:11" x14ac:dyDescent="0.25">
      <c r="C9861" s="6"/>
      <c r="G9861" s="6"/>
      <c r="K9861" s="6"/>
    </row>
    <row r="9862" spans="3:11" x14ac:dyDescent="0.25">
      <c r="C9862" s="6"/>
      <c r="G9862" s="6"/>
      <c r="K9862" s="6"/>
    </row>
    <row r="9863" spans="3:11" x14ac:dyDescent="0.25">
      <c r="C9863" s="6"/>
      <c r="G9863" s="6"/>
      <c r="K9863" s="6"/>
    </row>
    <row r="9864" spans="3:11" x14ac:dyDescent="0.25">
      <c r="C9864" s="6"/>
      <c r="G9864" s="6"/>
      <c r="K9864" s="6"/>
    </row>
    <row r="9865" spans="3:11" x14ac:dyDescent="0.25">
      <c r="C9865" s="6"/>
      <c r="G9865" s="6"/>
      <c r="K9865" s="6"/>
    </row>
    <row r="9866" spans="3:11" x14ac:dyDescent="0.25">
      <c r="C9866" s="6"/>
      <c r="G9866" s="6"/>
      <c r="K9866" s="6"/>
    </row>
    <row r="9867" spans="3:11" x14ac:dyDescent="0.25">
      <c r="C9867" s="6"/>
      <c r="G9867" s="6"/>
      <c r="K9867" s="6"/>
    </row>
    <row r="9868" spans="3:11" x14ac:dyDescent="0.25">
      <c r="C9868" s="6"/>
      <c r="G9868" s="6"/>
      <c r="K9868" s="6"/>
    </row>
    <row r="9869" spans="3:11" x14ac:dyDescent="0.25">
      <c r="C9869" s="6"/>
      <c r="G9869" s="6"/>
      <c r="K9869" s="6"/>
    </row>
    <row r="9870" spans="3:11" x14ac:dyDescent="0.25">
      <c r="C9870" s="6"/>
      <c r="G9870" s="6"/>
      <c r="K9870" s="6"/>
    </row>
    <row r="9871" spans="3:11" x14ac:dyDescent="0.25">
      <c r="C9871" s="6"/>
      <c r="G9871" s="6"/>
      <c r="K9871" s="6"/>
    </row>
    <row r="9872" spans="3:11" x14ac:dyDescent="0.25">
      <c r="C9872" s="6"/>
      <c r="G9872" s="6"/>
      <c r="K9872" s="6"/>
    </row>
    <row r="9873" spans="3:11" x14ac:dyDescent="0.25">
      <c r="C9873" s="6"/>
      <c r="G9873" s="6"/>
      <c r="K9873" s="6"/>
    </row>
    <row r="9874" spans="3:11" x14ac:dyDescent="0.25">
      <c r="C9874" s="6"/>
      <c r="G9874" s="6"/>
      <c r="K9874" s="6"/>
    </row>
    <row r="9875" spans="3:11" x14ac:dyDescent="0.25">
      <c r="C9875" s="6"/>
      <c r="G9875" s="6"/>
      <c r="K9875" s="6"/>
    </row>
    <row r="9876" spans="3:11" x14ac:dyDescent="0.25">
      <c r="C9876" s="6"/>
      <c r="G9876" s="6"/>
      <c r="K9876" s="6"/>
    </row>
    <row r="9877" spans="3:11" x14ac:dyDescent="0.25">
      <c r="C9877" s="6"/>
      <c r="G9877" s="6"/>
      <c r="K9877" s="6"/>
    </row>
    <row r="9878" spans="3:11" x14ac:dyDescent="0.25">
      <c r="C9878" s="6"/>
      <c r="G9878" s="6"/>
      <c r="K9878" s="6"/>
    </row>
    <row r="9879" spans="3:11" x14ac:dyDescent="0.25">
      <c r="C9879" s="6"/>
      <c r="G9879" s="6"/>
      <c r="K9879" s="6"/>
    </row>
    <row r="9880" spans="3:11" x14ac:dyDescent="0.25">
      <c r="C9880" s="6"/>
      <c r="G9880" s="6"/>
      <c r="K9880" s="6"/>
    </row>
    <row r="9881" spans="3:11" x14ac:dyDescent="0.25">
      <c r="C9881" s="6"/>
      <c r="G9881" s="6"/>
      <c r="K9881" s="6"/>
    </row>
    <row r="9882" spans="3:11" x14ac:dyDescent="0.25">
      <c r="C9882" s="6"/>
      <c r="G9882" s="6"/>
      <c r="K9882" s="6"/>
    </row>
    <row r="9883" spans="3:11" x14ac:dyDescent="0.25">
      <c r="C9883" s="6"/>
      <c r="G9883" s="6"/>
      <c r="K9883" s="6"/>
    </row>
    <row r="9884" spans="3:11" x14ac:dyDescent="0.25">
      <c r="C9884" s="6"/>
      <c r="G9884" s="6"/>
      <c r="K9884" s="6"/>
    </row>
    <row r="9885" spans="3:11" x14ac:dyDescent="0.25">
      <c r="C9885" s="6"/>
      <c r="G9885" s="6"/>
      <c r="K9885" s="6"/>
    </row>
    <row r="9886" spans="3:11" x14ac:dyDescent="0.25">
      <c r="C9886" s="6"/>
      <c r="G9886" s="6"/>
      <c r="K9886" s="6"/>
    </row>
    <row r="9887" spans="3:11" x14ac:dyDescent="0.25">
      <c r="C9887" s="6"/>
      <c r="G9887" s="6"/>
      <c r="K9887" s="6"/>
    </row>
    <row r="9888" spans="3:11" x14ac:dyDescent="0.25">
      <c r="C9888" s="6"/>
      <c r="G9888" s="6"/>
      <c r="K9888" s="6"/>
    </row>
    <row r="9889" spans="3:11" x14ac:dyDescent="0.25">
      <c r="C9889" s="6"/>
      <c r="G9889" s="6"/>
      <c r="K9889" s="6"/>
    </row>
    <row r="9890" spans="3:11" x14ac:dyDescent="0.25">
      <c r="C9890" s="6"/>
      <c r="G9890" s="6"/>
      <c r="K9890" s="6"/>
    </row>
    <row r="9891" spans="3:11" x14ac:dyDescent="0.25">
      <c r="C9891" s="6"/>
      <c r="G9891" s="6"/>
      <c r="K9891" s="6"/>
    </row>
    <row r="9892" spans="3:11" x14ac:dyDescent="0.25">
      <c r="C9892" s="6"/>
      <c r="G9892" s="6"/>
      <c r="K9892" s="6"/>
    </row>
    <row r="9893" spans="3:11" x14ac:dyDescent="0.25">
      <c r="C9893" s="6"/>
      <c r="G9893" s="6"/>
      <c r="K9893" s="6"/>
    </row>
    <row r="9894" spans="3:11" x14ac:dyDescent="0.25">
      <c r="C9894" s="6"/>
      <c r="G9894" s="6"/>
      <c r="K9894" s="6"/>
    </row>
    <row r="9895" spans="3:11" x14ac:dyDescent="0.25">
      <c r="C9895" s="6"/>
      <c r="G9895" s="6"/>
      <c r="K9895" s="6"/>
    </row>
    <row r="9896" spans="3:11" x14ac:dyDescent="0.25">
      <c r="C9896" s="6"/>
      <c r="G9896" s="6"/>
      <c r="K9896" s="6"/>
    </row>
    <row r="9897" spans="3:11" x14ac:dyDescent="0.25">
      <c r="C9897" s="6"/>
      <c r="G9897" s="6"/>
      <c r="K9897" s="6"/>
    </row>
    <row r="9898" spans="3:11" x14ac:dyDescent="0.25">
      <c r="C9898" s="6"/>
      <c r="G9898" s="6"/>
      <c r="K9898" s="6"/>
    </row>
    <row r="9899" spans="3:11" x14ac:dyDescent="0.25">
      <c r="C9899" s="6"/>
      <c r="G9899" s="6"/>
      <c r="K9899" s="6"/>
    </row>
    <row r="9900" spans="3:11" x14ac:dyDescent="0.25">
      <c r="C9900" s="6"/>
      <c r="G9900" s="6"/>
      <c r="K9900" s="6"/>
    </row>
    <row r="9901" spans="3:11" x14ac:dyDescent="0.25">
      <c r="C9901" s="6"/>
      <c r="G9901" s="6"/>
      <c r="K9901" s="6"/>
    </row>
    <row r="9902" spans="3:11" x14ac:dyDescent="0.25">
      <c r="C9902" s="6"/>
      <c r="G9902" s="6"/>
      <c r="K9902" s="6"/>
    </row>
    <row r="9903" spans="3:11" x14ac:dyDescent="0.25">
      <c r="C9903" s="6"/>
      <c r="G9903" s="6"/>
      <c r="K9903" s="6"/>
    </row>
    <row r="9904" spans="3:11" x14ac:dyDescent="0.25">
      <c r="C9904" s="6"/>
      <c r="G9904" s="6"/>
      <c r="K9904" s="6"/>
    </row>
    <row r="9905" spans="3:11" x14ac:dyDescent="0.25">
      <c r="C9905" s="6"/>
      <c r="G9905" s="6"/>
      <c r="K9905" s="6"/>
    </row>
    <row r="9906" spans="3:11" x14ac:dyDescent="0.25">
      <c r="C9906" s="6"/>
      <c r="G9906" s="6"/>
      <c r="K9906" s="6"/>
    </row>
    <row r="9907" spans="3:11" x14ac:dyDescent="0.25">
      <c r="C9907" s="6"/>
      <c r="G9907" s="6"/>
      <c r="K9907" s="6"/>
    </row>
    <row r="9908" spans="3:11" x14ac:dyDescent="0.25">
      <c r="C9908" s="6"/>
      <c r="G9908" s="6"/>
      <c r="K9908" s="6"/>
    </row>
    <row r="9909" spans="3:11" x14ac:dyDescent="0.25">
      <c r="C9909" s="6"/>
      <c r="G9909" s="6"/>
      <c r="K9909" s="6"/>
    </row>
    <row r="9910" spans="3:11" x14ac:dyDescent="0.25">
      <c r="C9910" s="6"/>
      <c r="G9910" s="6"/>
      <c r="K9910" s="6"/>
    </row>
    <row r="9911" spans="3:11" x14ac:dyDescent="0.25">
      <c r="C9911" s="6"/>
      <c r="G9911" s="6"/>
      <c r="K9911" s="6"/>
    </row>
    <row r="9912" spans="3:11" x14ac:dyDescent="0.25">
      <c r="C9912" s="6"/>
      <c r="G9912" s="6"/>
      <c r="K9912" s="6"/>
    </row>
    <row r="9913" spans="3:11" x14ac:dyDescent="0.25">
      <c r="C9913" s="6"/>
      <c r="G9913" s="6"/>
      <c r="K9913" s="6"/>
    </row>
    <row r="9914" spans="3:11" x14ac:dyDescent="0.25">
      <c r="C9914" s="6"/>
      <c r="G9914" s="6"/>
      <c r="K9914" s="6"/>
    </row>
    <row r="9915" spans="3:11" x14ac:dyDescent="0.25">
      <c r="C9915" s="6"/>
      <c r="G9915" s="6"/>
      <c r="K9915" s="6"/>
    </row>
    <row r="9916" spans="3:11" x14ac:dyDescent="0.25">
      <c r="C9916" s="6"/>
      <c r="G9916" s="6"/>
      <c r="K9916" s="6"/>
    </row>
    <row r="9917" spans="3:11" x14ac:dyDescent="0.25">
      <c r="C9917" s="6"/>
      <c r="G9917" s="6"/>
      <c r="K9917" s="6"/>
    </row>
    <row r="9918" spans="3:11" x14ac:dyDescent="0.25">
      <c r="C9918" s="6"/>
      <c r="G9918" s="6"/>
      <c r="K9918" s="6"/>
    </row>
    <row r="9919" spans="3:11" x14ac:dyDescent="0.25">
      <c r="C9919" s="6"/>
      <c r="G9919" s="6"/>
      <c r="K9919" s="6"/>
    </row>
    <row r="9920" spans="3:11" x14ac:dyDescent="0.25">
      <c r="C9920" s="6"/>
      <c r="G9920" s="6"/>
      <c r="K9920" s="6"/>
    </row>
    <row r="9921" spans="3:11" x14ac:dyDescent="0.25">
      <c r="C9921" s="6"/>
      <c r="G9921" s="6"/>
      <c r="K9921" s="6"/>
    </row>
    <row r="9922" spans="3:11" x14ac:dyDescent="0.25">
      <c r="C9922" s="6"/>
      <c r="G9922" s="6"/>
      <c r="K9922" s="6"/>
    </row>
    <row r="9923" spans="3:11" x14ac:dyDescent="0.25">
      <c r="C9923" s="6"/>
      <c r="G9923" s="6"/>
      <c r="K9923" s="6"/>
    </row>
    <row r="9924" spans="3:11" x14ac:dyDescent="0.25">
      <c r="C9924" s="6"/>
      <c r="G9924" s="6"/>
      <c r="K9924" s="6"/>
    </row>
    <row r="9925" spans="3:11" x14ac:dyDescent="0.25">
      <c r="C9925" s="6"/>
      <c r="G9925" s="6"/>
      <c r="K9925" s="6"/>
    </row>
    <row r="9926" spans="3:11" x14ac:dyDescent="0.25">
      <c r="C9926" s="6"/>
      <c r="G9926" s="6"/>
      <c r="K9926" s="6"/>
    </row>
    <row r="9927" spans="3:11" x14ac:dyDescent="0.25">
      <c r="C9927" s="6"/>
      <c r="G9927" s="6"/>
      <c r="K9927" s="6"/>
    </row>
    <row r="9928" spans="3:11" x14ac:dyDescent="0.25">
      <c r="C9928" s="6"/>
      <c r="G9928" s="6"/>
      <c r="K9928" s="6"/>
    </row>
    <row r="9929" spans="3:11" x14ac:dyDescent="0.25">
      <c r="C9929" s="6"/>
      <c r="G9929" s="6"/>
      <c r="K9929" s="6"/>
    </row>
    <row r="9930" spans="3:11" x14ac:dyDescent="0.25">
      <c r="C9930" s="6"/>
      <c r="G9930" s="6"/>
      <c r="K9930" s="6"/>
    </row>
    <row r="9931" spans="3:11" x14ac:dyDescent="0.25">
      <c r="C9931" s="6"/>
      <c r="G9931" s="6"/>
      <c r="K9931" s="6"/>
    </row>
    <row r="9932" spans="3:11" x14ac:dyDescent="0.25">
      <c r="C9932" s="6"/>
      <c r="G9932" s="6"/>
      <c r="K9932" s="6"/>
    </row>
    <row r="9933" spans="3:11" x14ac:dyDescent="0.25">
      <c r="C9933" s="6"/>
      <c r="G9933" s="6"/>
      <c r="K9933" s="6"/>
    </row>
    <row r="9934" spans="3:11" x14ac:dyDescent="0.25">
      <c r="C9934" s="6"/>
      <c r="G9934" s="6"/>
      <c r="K9934" s="6"/>
    </row>
    <row r="9935" spans="3:11" x14ac:dyDescent="0.25">
      <c r="C9935" s="6"/>
      <c r="G9935" s="6"/>
      <c r="K9935" s="6"/>
    </row>
    <row r="9936" spans="3:11" x14ac:dyDescent="0.25">
      <c r="C9936" s="6"/>
      <c r="G9936" s="6"/>
      <c r="K9936" s="6"/>
    </row>
    <row r="9937" spans="3:11" x14ac:dyDescent="0.25">
      <c r="C9937" s="6"/>
      <c r="G9937" s="6"/>
      <c r="K9937" s="6"/>
    </row>
    <row r="9938" spans="3:11" x14ac:dyDescent="0.25">
      <c r="C9938" s="6"/>
      <c r="G9938" s="6"/>
      <c r="K9938" s="6"/>
    </row>
    <row r="9939" spans="3:11" x14ac:dyDescent="0.25">
      <c r="C9939" s="6"/>
      <c r="G9939" s="6"/>
      <c r="K9939" s="6"/>
    </row>
    <row r="9940" spans="3:11" x14ac:dyDescent="0.25">
      <c r="C9940" s="6"/>
      <c r="G9940" s="6"/>
      <c r="K9940" s="6"/>
    </row>
    <row r="9941" spans="3:11" x14ac:dyDescent="0.25">
      <c r="C9941" s="6"/>
      <c r="G9941" s="6"/>
      <c r="K9941" s="6"/>
    </row>
    <row r="9942" spans="3:11" x14ac:dyDescent="0.25">
      <c r="C9942" s="6"/>
      <c r="G9942" s="6"/>
      <c r="K9942" s="6"/>
    </row>
    <row r="9943" spans="3:11" x14ac:dyDescent="0.25">
      <c r="C9943" s="6"/>
      <c r="G9943" s="6"/>
      <c r="K9943" s="6"/>
    </row>
    <row r="9944" spans="3:11" x14ac:dyDescent="0.25">
      <c r="C9944" s="6"/>
      <c r="G9944" s="6"/>
      <c r="K9944" s="6"/>
    </row>
    <row r="9945" spans="3:11" x14ac:dyDescent="0.25">
      <c r="C9945" s="6"/>
      <c r="G9945" s="6"/>
      <c r="K9945" s="6"/>
    </row>
    <row r="9946" spans="3:11" x14ac:dyDescent="0.25">
      <c r="C9946" s="6"/>
      <c r="G9946" s="6"/>
      <c r="K9946" s="6"/>
    </row>
    <row r="9947" spans="3:11" x14ac:dyDescent="0.25">
      <c r="C9947" s="6"/>
      <c r="G9947" s="6"/>
      <c r="K9947" s="6"/>
    </row>
    <row r="9948" spans="3:11" x14ac:dyDescent="0.25">
      <c r="C9948" s="6"/>
      <c r="G9948" s="6"/>
      <c r="K9948" s="6"/>
    </row>
    <row r="9949" spans="3:11" x14ac:dyDescent="0.25">
      <c r="C9949" s="6"/>
      <c r="G9949" s="6"/>
      <c r="K9949" s="6"/>
    </row>
    <row r="9950" spans="3:11" x14ac:dyDescent="0.25">
      <c r="C9950" s="6"/>
      <c r="G9950" s="6"/>
      <c r="K9950" s="6"/>
    </row>
    <row r="9951" spans="3:11" x14ac:dyDescent="0.25">
      <c r="C9951" s="6"/>
      <c r="G9951" s="6"/>
      <c r="K9951" s="6"/>
    </row>
    <row r="9952" spans="3:11" x14ac:dyDescent="0.25">
      <c r="C9952" s="6"/>
      <c r="G9952" s="6"/>
      <c r="K9952" s="6"/>
    </row>
    <row r="9953" spans="3:11" x14ac:dyDescent="0.25">
      <c r="C9953" s="6"/>
      <c r="G9953" s="6"/>
      <c r="K9953" s="6"/>
    </row>
    <row r="9954" spans="3:11" x14ac:dyDescent="0.25">
      <c r="C9954" s="6"/>
      <c r="G9954" s="6"/>
      <c r="K9954" s="6"/>
    </row>
    <row r="9955" spans="3:11" x14ac:dyDescent="0.25">
      <c r="C9955" s="6"/>
      <c r="G9955" s="6"/>
      <c r="K9955" s="6"/>
    </row>
    <row r="9956" spans="3:11" x14ac:dyDescent="0.25">
      <c r="C9956" s="6"/>
      <c r="G9956" s="6"/>
      <c r="K9956" s="6"/>
    </row>
    <row r="9957" spans="3:11" x14ac:dyDescent="0.25">
      <c r="C9957" s="6"/>
      <c r="G9957" s="6"/>
      <c r="K9957" s="6"/>
    </row>
    <row r="9958" spans="3:11" x14ac:dyDescent="0.25">
      <c r="C9958" s="6"/>
      <c r="G9958" s="6"/>
      <c r="K9958" s="6"/>
    </row>
    <row r="9959" spans="3:11" x14ac:dyDescent="0.25">
      <c r="C9959" s="6"/>
      <c r="G9959" s="6"/>
      <c r="K9959" s="6"/>
    </row>
    <row r="9960" spans="3:11" x14ac:dyDescent="0.25">
      <c r="C9960" s="6"/>
      <c r="G9960" s="6"/>
      <c r="K9960" s="6"/>
    </row>
    <row r="9961" spans="3:11" x14ac:dyDescent="0.25">
      <c r="C9961" s="6"/>
      <c r="G9961" s="6"/>
      <c r="K9961" s="6"/>
    </row>
    <row r="9962" spans="3:11" x14ac:dyDescent="0.25">
      <c r="C9962" s="6"/>
      <c r="G9962" s="6"/>
      <c r="K9962" s="6"/>
    </row>
    <row r="9963" spans="3:11" x14ac:dyDescent="0.25">
      <c r="C9963" s="6"/>
      <c r="G9963" s="6"/>
      <c r="K9963" s="6"/>
    </row>
    <row r="9964" spans="3:11" x14ac:dyDescent="0.25">
      <c r="C9964" s="6"/>
      <c r="G9964" s="6"/>
      <c r="K9964" s="6"/>
    </row>
    <row r="9965" spans="3:11" x14ac:dyDescent="0.25">
      <c r="C9965" s="6"/>
      <c r="G9965" s="6"/>
      <c r="K9965" s="6"/>
    </row>
    <row r="9966" spans="3:11" x14ac:dyDescent="0.25">
      <c r="C9966" s="6"/>
      <c r="G9966" s="6"/>
      <c r="K9966" s="6"/>
    </row>
    <row r="9967" spans="3:11" x14ac:dyDescent="0.25">
      <c r="C9967" s="6"/>
      <c r="G9967" s="6"/>
      <c r="K9967" s="6"/>
    </row>
    <row r="9968" spans="3:11" x14ac:dyDescent="0.25">
      <c r="C9968" s="6"/>
      <c r="G9968" s="6"/>
      <c r="K9968" s="6"/>
    </row>
    <row r="9969" spans="3:11" x14ac:dyDescent="0.25">
      <c r="C9969" s="6"/>
      <c r="G9969" s="6"/>
      <c r="K9969" s="6"/>
    </row>
    <row r="9970" spans="3:11" x14ac:dyDescent="0.25">
      <c r="C9970" s="6"/>
      <c r="G9970" s="6"/>
      <c r="K9970" s="6"/>
    </row>
    <row r="9971" spans="3:11" x14ac:dyDescent="0.25">
      <c r="C9971" s="6"/>
      <c r="G9971" s="6"/>
      <c r="K9971" s="6"/>
    </row>
    <row r="9972" spans="3:11" x14ac:dyDescent="0.25">
      <c r="C9972" s="6"/>
      <c r="G9972" s="6"/>
      <c r="K9972" s="6"/>
    </row>
    <row r="9973" spans="3:11" x14ac:dyDescent="0.25">
      <c r="C9973" s="6"/>
      <c r="G9973" s="6"/>
      <c r="K9973" s="6"/>
    </row>
    <row r="9974" spans="3:11" x14ac:dyDescent="0.25">
      <c r="C9974" s="6"/>
      <c r="G9974" s="6"/>
      <c r="K9974" s="6"/>
    </row>
    <row r="9975" spans="3:11" x14ac:dyDescent="0.25">
      <c r="C9975" s="6"/>
      <c r="G9975" s="6"/>
      <c r="K9975" s="6"/>
    </row>
    <row r="9976" spans="3:11" x14ac:dyDescent="0.25">
      <c r="C9976" s="6"/>
      <c r="G9976" s="6"/>
      <c r="K9976" s="6"/>
    </row>
    <row r="9977" spans="3:11" x14ac:dyDescent="0.25">
      <c r="C9977" s="6"/>
      <c r="G9977" s="6"/>
      <c r="K9977" s="6"/>
    </row>
    <row r="9978" spans="3:11" x14ac:dyDescent="0.25">
      <c r="C9978" s="6"/>
      <c r="G9978" s="6"/>
      <c r="K9978" s="6"/>
    </row>
    <row r="9979" spans="3:11" x14ac:dyDescent="0.25">
      <c r="C9979" s="6"/>
      <c r="G9979" s="6"/>
      <c r="K9979" s="6"/>
    </row>
    <row r="9980" spans="3:11" x14ac:dyDescent="0.25">
      <c r="C9980" s="6"/>
      <c r="G9980" s="6"/>
      <c r="K9980" s="6"/>
    </row>
    <row r="9981" spans="3:11" x14ac:dyDescent="0.25">
      <c r="C9981" s="6"/>
      <c r="G9981" s="6"/>
      <c r="K9981" s="6"/>
    </row>
    <row r="9982" spans="3:11" x14ac:dyDescent="0.25">
      <c r="C9982" s="6"/>
      <c r="G9982" s="6"/>
      <c r="K9982" s="6"/>
    </row>
    <row r="9983" spans="3:11" x14ac:dyDescent="0.25">
      <c r="C9983" s="6"/>
      <c r="G9983" s="6"/>
      <c r="K9983" s="6"/>
    </row>
    <row r="9984" spans="3:11" x14ac:dyDescent="0.25">
      <c r="C9984" s="6"/>
      <c r="G9984" s="6"/>
      <c r="K9984" s="6"/>
    </row>
    <row r="9985" spans="3:11" x14ac:dyDescent="0.25">
      <c r="C9985" s="6"/>
      <c r="G9985" s="6"/>
      <c r="K9985" s="6"/>
    </row>
    <row r="9986" spans="3:11" x14ac:dyDescent="0.25">
      <c r="C9986" s="6"/>
      <c r="G9986" s="6"/>
      <c r="K9986" s="6"/>
    </row>
    <row r="9987" spans="3:11" x14ac:dyDescent="0.25">
      <c r="C9987" s="6"/>
      <c r="G9987" s="6"/>
      <c r="K9987" s="6"/>
    </row>
    <row r="9988" spans="3:11" x14ac:dyDescent="0.25">
      <c r="C9988" s="6"/>
      <c r="G9988" s="6"/>
      <c r="K9988" s="6"/>
    </row>
    <row r="9989" spans="3:11" x14ac:dyDescent="0.25">
      <c r="C9989" s="6"/>
      <c r="G9989" s="6"/>
      <c r="K9989" s="6"/>
    </row>
    <row r="9990" spans="3:11" x14ac:dyDescent="0.25">
      <c r="C9990" s="6"/>
      <c r="G9990" s="6"/>
      <c r="K9990" s="6"/>
    </row>
    <row r="9991" spans="3:11" x14ac:dyDescent="0.25">
      <c r="C9991" s="6"/>
      <c r="G9991" s="6"/>
      <c r="K9991" s="6"/>
    </row>
    <row r="9992" spans="3:11" x14ac:dyDescent="0.25">
      <c r="C9992" s="6"/>
      <c r="G9992" s="6"/>
      <c r="K9992" s="6"/>
    </row>
    <row r="9993" spans="3:11" x14ac:dyDescent="0.25">
      <c r="C9993" s="6"/>
      <c r="G9993" s="6"/>
      <c r="K9993" s="6"/>
    </row>
    <row r="9994" spans="3:11" x14ac:dyDescent="0.25">
      <c r="C9994" s="6"/>
      <c r="G9994" s="6"/>
      <c r="K9994" s="6"/>
    </row>
    <row r="9995" spans="3:11" x14ac:dyDescent="0.25">
      <c r="C9995" s="6"/>
      <c r="G9995" s="6"/>
      <c r="K9995" s="6"/>
    </row>
    <row r="9996" spans="3:11" x14ac:dyDescent="0.25">
      <c r="C9996" s="6"/>
      <c r="G9996" s="6"/>
      <c r="K9996" s="6"/>
    </row>
    <row r="9997" spans="3:11" x14ac:dyDescent="0.25">
      <c r="C9997" s="6"/>
      <c r="G9997" s="6"/>
      <c r="K9997" s="6"/>
    </row>
    <row r="9998" spans="3:11" x14ac:dyDescent="0.25">
      <c r="C9998" s="6"/>
      <c r="G9998" s="6"/>
      <c r="K9998" s="6"/>
    </row>
    <row r="9999" spans="3:11" x14ac:dyDescent="0.25">
      <c r="C9999" s="6"/>
      <c r="G9999" s="6"/>
      <c r="K9999" s="6"/>
    </row>
    <row r="10000" spans="3:11" x14ac:dyDescent="0.25">
      <c r="C10000" s="6"/>
      <c r="G10000" s="6"/>
      <c r="K10000" s="6"/>
    </row>
    <row r="10001" spans="3:11" x14ac:dyDescent="0.25">
      <c r="C10001" s="6"/>
      <c r="G10001" s="6"/>
      <c r="K10001" s="6"/>
    </row>
    <row r="10002" spans="3:11" x14ac:dyDescent="0.25">
      <c r="C10002" s="6"/>
      <c r="G10002" s="6"/>
      <c r="K10002" s="6"/>
    </row>
    <row r="10003" spans="3:11" x14ac:dyDescent="0.25">
      <c r="C10003" s="6"/>
      <c r="G10003" s="6"/>
      <c r="K10003" s="6"/>
    </row>
    <row r="10004" spans="3:11" x14ac:dyDescent="0.25">
      <c r="C10004" s="6"/>
      <c r="G10004" s="6"/>
      <c r="K10004" s="6"/>
    </row>
    <row r="10005" spans="3:11" x14ac:dyDescent="0.25">
      <c r="C10005" s="6"/>
      <c r="G10005" s="6"/>
      <c r="K10005" s="6"/>
    </row>
    <row r="10006" spans="3:11" x14ac:dyDescent="0.25">
      <c r="C10006" s="6"/>
      <c r="G10006" s="6"/>
      <c r="K10006" s="6"/>
    </row>
    <row r="10007" spans="3:11" x14ac:dyDescent="0.25">
      <c r="C10007" s="6"/>
      <c r="G10007" s="6"/>
      <c r="K10007" s="6"/>
    </row>
    <row r="10008" spans="3:11" x14ac:dyDescent="0.25">
      <c r="C10008" s="6"/>
      <c r="G10008" s="6"/>
      <c r="K10008" s="6"/>
    </row>
    <row r="10009" spans="3:11" x14ac:dyDescent="0.25">
      <c r="C10009" s="6"/>
      <c r="G10009" s="6"/>
      <c r="K10009" s="6"/>
    </row>
    <row r="10010" spans="3:11" x14ac:dyDescent="0.25">
      <c r="C10010" s="6"/>
      <c r="G10010" s="6"/>
      <c r="K10010" s="6"/>
    </row>
    <row r="10011" spans="3:11" x14ac:dyDescent="0.25">
      <c r="C10011" s="6"/>
      <c r="G10011" s="6"/>
      <c r="K10011" s="6"/>
    </row>
    <row r="10012" spans="3:11" x14ac:dyDescent="0.25">
      <c r="C10012" s="6"/>
      <c r="G10012" s="6"/>
      <c r="K10012" s="6"/>
    </row>
    <row r="10013" spans="3:11" x14ac:dyDescent="0.25">
      <c r="C10013" s="6"/>
      <c r="G10013" s="6"/>
      <c r="K10013" s="6"/>
    </row>
    <row r="10014" spans="3:11" x14ac:dyDescent="0.25">
      <c r="C10014" s="6"/>
      <c r="G10014" s="6"/>
      <c r="K10014" s="6"/>
    </row>
    <row r="10015" spans="3:11" x14ac:dyDescent="0.25">
      <c r="C10015" s="6"/>
      <c r="G10015" s="6"/>
      <c r="K10015" s="6"/>
    </row>
    <row r="10016" spans="3:11" x14ac:dyDescent="0.25">
      <c r="C10016" s="6"/>
      <c r="G10016" s="6"/>
      <c r="K10016" s="6"/>
    </row>
    <row r="10017" spans="3:11" x14ac:dyDescent="0.25">
      <c r="C10017" s="6"/>
      <c r="G10017" s="6"/>
      <c r="K10017" s="6"/>
    </row>
    <row r="10018" spans="3:11" x14ac:dyDescent="0.25">
      <c r="C10018" s="6"/>
      <c r="G10018" s="6"/>
      <c r="K10018" s="6"/>
    </row>
    <row r="10019" spans="3:11" x14ac:dyDescent="0.25">
      <c r="C10019" s="6"/>
      <c r="G10019" s="6"/>
      <c r="K10019" s="6"/>
    </row>
    <row r="10020" spans="3:11" x14ac:dyDescent="0.25">
      <c r="C10020" s="6"/>
      <c r="G10020" s="6"/>
      <c r="K10020" s="6"/>
    </row>
    <row r="10021" spans="3:11" x14ac:dyDescent="0.25">
      <c r="C10021" s="6"/>
      <c r="G10021" s="6"/>
      <c r="K10021" s="6"/>
    </row>
    <row r="10022" spans="3:11" x14ac:dyDescent="0.25">
      <c r="C10022" s="6"/>
      <c r="G10022" s="6"/>
      <c r="K10022" s="6"/>
    </row>
    <row r="10023" spans="3:11" x14ac:dyDescent="0.25">
      <c r="C10023" s="6"/>
      <c r="G10023" s="6"/>
      <c r="K10023" s="6"/>
    </row>
    <row r="10024" spans="3:11" x14ac:dyDescent="0.25">
      <c r="C10024" s="6"/>
      <c r="G10024" s="6"/>
      <c r="K10024" s="6"/>
    </row>
    <row r="10025" spans="3:11" x14ac:dyDescent="0.25">
      <c r="C10025" s="6"/>
      <c r="G10025" s="6"/>
      <c r="K10025" s="6"/>
    </row>
    <row r="10026" spans="3:11" x14ac:dyDescent="0.25">
      <c r="C10026" s="6"/>
      <c r="G10026" s="6"/>
      <c r="K10026" s="6"/>
    </row>
    <row r="10027" spans="3:11" x14ac:dyDescent="0.25">
      <c r="C10027" s="6"/>
      <c r="G10027" s="6"/>
      <c r="K10027" s="6"/>
    </row>
    <row r="10028" spans="3:11" x14ac:dyDescent="0.25">
      <c r="C10028" s="6"/>
      <c r="G10028" s="6"/>
      <c r="K10028" s="6"/>
    </row>
    <row r="10029" spans="3:11" x14ac:dyDescent="0.25">
      <c r="C10029" s="6"/>
      <c r="G10029" s="6"/>
      <c r="K10029" s="6"/>
    </row>
    <row r="10030" spans="3:11" x14ac:dyDescent="0.25">
      <c r="C10030" s="6"/>
      <c r="G10030" s="6"/>
      <c r="K10030" s="6"/>
    </row>
    <row r="10031" spans="3:11" x14ac:dyDescent="0.25">
      <c r="C10031" s="6"/>
      <c r="G10031" s="6"/>
      <c r="K10031" s="6"/>
    </row>
    <row r="10032" spans="3:11" x14ac:dyDescent="0.25">
      <c r="C10032" s="6"/>
      <c r="G10032" s="6"/>
      <c r="K10032" s="6"/>
    </row>
    <row r="10033" spans="3:11" x14ac:dyDescent="0.25">
      <c r="C10033" s="6"/>
      <c r="G10033" s="6"/>
      <c r="K10033" s="6"/>
    </row>
    <row r="10034" spans="3:11" x14ac:dyDescent="0.25">
      <c r="C10034" s="6"/>
      <c r="G10034" s="6"/>
      <c r="K10034" s="6"/>
    </row>
    <row r="10035" spans="3:11" x14ac:dyDescent="0.25">
      <c r="C10035" s="6"/>
      <c r="G10035" s="6"/>
      <c r="K10035" s="6"/>
    </row>
    <row r="10036" spans="3:11" x14ac:dyDescent="0.25">
      <c r="C10036" s="6"/>
      <c r="G10036" s="6"/>
      <c r="K10036" s="6"/>
    </row>
    <row r="10037" spans="3:11" x14ac:dyDescent="0.25">
      <c r="C10037" s="6"/>
      <c r="G10037" s="6"/>
      <c r="K10037" s="6"/>
    </row>
    <row r="10038" spans="3:11" x14ac:dyDescent="0.25">
      <c r="C10038" s="6"/>
      <c r="G10038" s="6"/>
      <c r="K10038" s="6"/>
    </row>
    <row r="10039" spans="3:11" x14ac:dyDescent="0.25">
      <c r="C10039" s="6"/>
      <c r="G10039" s="6"/>
      <c r="K10039" s="6"/>
    </row>
    <row r="10040" spans="3:11" x14ac:dyDescent="0.25">
      <c r="C10040" s="6"/>
      <c r="G10040" s="6"/>
      <c r="K10040" s="6"/>
    </row>
    <row r="10041" spans="3:11" x14ac:dyDescent="0.25">
      <c r="C10041" s="6"/>
      <c r="G10041" s="6"/>
      <c r="K10041" s="6"/>
    </row>
    <row r="10042" spans="3:11" x14ac:dyDescent="0.25">
      <c r="C10042" s="6"/>
      <c r="G10042" s="6"/>
      <c r="K10042" s="6"/>
    </row>
    <row r="10043" spans="3:11" x14ac:dyDescent="0.25">
      <c r="C10043" s="6"/>
      <c r="G10043" s="6"/>
      <c r="K10043" s="6"/>
    </row>
    <row r="10044" spans="3:11" x14ac:dyDescent="0.25">
      <c r="C10044" s="6"/>
      <c r="G10044" s="6"/>
      <c r="K10044" s="6"/>
    </row>
    <row r="10045" spans="3:11" x14ac:dyDescent="0.25">
      <c r="C10045" s="6"/>
      <c r="G10045" s="6"/>
      <c r="K10045" s="6"/>
    </row>
    <row r="10046" spans="3:11" x14ac:dyDescent="0.25">
      <c r="C10046" s="6"/>
      <c r="G10046" s="6"/>
      <c r="K10046" s="6"/>
    </row>
    <row r="10047" spans="3:11" x14ac:dyDescent="0.25">
      <c r="C10047" s="6"/>
      <c r="G10047" s="6"/>
      <c r="K10047" s="6"/>
    </row>
    <row r="10048" spans="3:11" x14ac:dyDescent="0.25">
      <c r="C10048" s="6"/>
      <c r="G10048" s="6"/>
      <c r="K10048" s="6"/>
    </row>
    <row r="10049" spans="3:11" x14ac:dyDescent="0.25">
      <c r="C10049" s="6"/>
      <c r="G10049" s="6"/>
      <c r="K10049" s="6"/>
    </row>
    <row r="10050" spans="3:11" x14ac:dyDescent="0.25">
      <c r="C10050" s="6"/>
      <c r="G10050" s="6"/>
      <c r="K10050" s="6"/>
    </row>
    <row r="10051" spans="3:11" x14ac:dyDescent="0.25">
      <c r="C10051" s="6"/>
      <c r="G10051" s="6"/>
      <c r="K10051" s="6"/>
    </row>
    <row r="10052" spans="3:11" x14ac:dyDescent="0.25">
      <c r="C10052" s="6"/>
      <c r="G10052" s="6"/>
      <c r="K10052" s="6"/>
    </row>
    <row r="10053" spans="3:11" x14ac:dyDescent="0.25">
      <c r="C10053" s="6"/>
      <c r="G10053" s="6"/>
      <c r="K10053" s="6"/>
    </row>
    <row r="10054" spans="3:11" x14ac:dyDescent="0.25">
      <c r="C10054" s="6"/>
      <c r="G10054" s="6"/>
      <c r="K10054" s="6"/>
    </row>
    <row r="10055" spans="3:11" x14ac:dyDescent="0.25">
      <c r="C10055" s="6"/>
      <c r="G10055" s="6"/>
      <c r="K10055" s="6"/>
    </row>
    <row r="10056" spans="3:11" x14ac:dyDescent="0.25">
      <c r="C10056" s="6"/>
      <c r="G10056" s="6"/>
      <c r="K10056" s="6"/>
    </row>
    <row r="10057" spans="3:11" x14ac:dyDescent="0.25">
      <c r="C10057" s="6"/>
      <c r="G10057" s="6"/>
      <c r="K10057" s="6"/>
    </row>
    <row r="10058" spans="3:11" x14ac:dyDescent="0.25">
      <c r="C10058" s="6"/>
      <c r="G10058" s="6"/>
      <c r="K10058" s="6"/>
    </row>
    <row r="10059" spans="3:11" x14ac:dyDescent="0.25">
      <c r="C10059" s="6"/>
      <c r="G10059" s="6"/>
      <c r="K10059" s="6"/>
    </row>
    <row r="10060" spans="3:11" x14ac:dyDescent="0.25">
      <c r="C10060" s="6"/>
      <c r="G10060" s="6"/>
      <c r="K10060" s="6"/>
    </row>
    <row r="10061" spans="3:11" x14ac:dyDescent="0.25">
      <c r="C10061" s="6"/>
      <c r="G10061" s="6"/>
      <c r="K10061" s="6"/>
    </row>
    <row r="10062" spans="3:11" x14ac:dyDescent="0.25">
      <c r="C10062" s="6"/>
      <c r="G10062" s="6"/>
      <c r="K10062" s="6"/>
    </row>
    <row r="10063" spans="3:11" x14ac:dyDescent="0.25">
      <c r="C10063" s="6"/>
      <c r="G10063" s="6"/>
      <c r="K10063" s="6"/>
    </row>
    <row r="10064" spans="3:11" x14ac:dyDescent="0.25">
      <c r="C10064" s="6"/>
      <c r="G10064" s="6"/>
      <c r="K10064" s="6"/>
    </row>
    <row r="10065" spans="3:11" x14ac:dyDescent="0.25">
      <c r="C10065" s="6"/>
      <c r="G10065" s="6"/>
      <c r="K10065" s="6"/>
    </row>
    <row r="10066" spans="3:11" x14ac:dyDescent="0.25">
      <c r="C10066" s="6"/>
      <c r="G10066" s="6"/>
      <c r="K10066" s="6"/>
    </row>
    <row r="10067" spans="3:11" x14ac:dyDescent="0.25">
      <c r="C10067" s="6"/>
      <c r="G10067" s="6"/>
      <c r="K10067" s="6"/>
    </row>
    <row r="10068" spans="3:11" x14ac:dyDescent="0.25">
      <c r="C10068" s="6"/>
      <c r="G10068" s="6"/>
      <c r="K10068" s="6"/>
    </row>
    <row r="10069" spans="3:11" x14ac:dyDescent="0.25">
      <c r="C10069" s="6"/>
      <c r="G10069" s="6"/>
      <c r="K10069" s="6"/>
    </row>
    <row r="10070" spans="3:11" x14ac:dyDescent="0.25">
      <c r="C10070" s="6"/>
      <c r="G10070" s="6"/>
      <c r="K10070" s="6"/>
    </row>
    <row r="10071" spans="3:11" x14ac:dyDescent="0.25">
      <c r="C10071" s="6"/>
      <c r="G10071" s="6"/>
      <c r="K10071" s="6"/>
    </row>
    <row r="10072" spans="3:11" x14ac:dyDescent="0.25">
      <c r="C10072" s="6"/>
      <c r="G10072" s="6"/>
      <c r="K10072" s="6"/>
    </row>
    <row r="10073" spans="3:11" x14ac:dyDescent="0.25">
      <c r="C10073" s="6"/>
      <c r="G10073" s="6"/>
      <c r="K10073" s="6"/>
    </row>
    <row r="10074" spans="3:11" x14ac:dyDescent="0.25">
      <c r="C10074" s="6"/>
      <c r="G10074" s="6"/>
      <c r="K10074" s="6"/>
    </row>
    <row r="10075" spans="3:11" x14ac:dyDescent="0.25">
      <c r="C10075" s="6"/>
      <c r="G10075" s="6"/>
      <c r="K10075" s="6"/>
    </row>
    <row r="10076" spans="3:11" x14ac:dyDescent="0.25">
      <c r="C10076" s="6"/>
      <c r="G10076" s="6"/>
      <c r="K10076" s="6"/>
    </row>
    <row r="10077" spans="3:11" x14ac:dyDescent="0.25">
      <c r="C10077" s="6"/>
      <c r="G10077" s="6"/>
      <c r="K10077" s="6"/>
    </row>
    <row r="10078" spans="3:11" x14ac:dyDescent="0.25">
      <c r="C10078" s="6"/>
      <c r="G10078" s="6"/>
      <c r="K10078" s="6"/>
    </row>
    <row r="10079" spans="3:11" x14ac:dyDescent="0.25">
      <c r="C10079" s="6"/>
      <c r="G10079" s="6"/>
      <c r="K10079" s="6"/>
    </row>
    <row r="10080" spans="3:11" x14ac:dyDescent="0.25">
      <c r="C10080" s="6"/>
      <c r="G10080" s="6"/>
      <c r="K10080" s="6"/>
    </row>
    <row r="10081" spans="3:11" x14ac:dyDescent="0.25">
      <c r="C10081" s="6"/>
      <c r="G10081" s="6"/>
      <c r="K10081" s="6"/>
    </row>
    <row r="10082" spans="3:11" x14ac:dyDescent="0.25">
      <c r="C10082" s="6"/>
      <c r="G10082" s="6"/>
      <c r="K10082" s="6"/>
    </row>
    <row r="10083" spans="3:11" x14ac:dyDescent="0.25">
      <c r="C10083" s="6"/>
      <c r="G10083" s="6"/>
      <c r="K10083" s="6"/>
    </row>
    <row r="10084" spans="3:11" x14ac:dyDescent="0.25">
      <c r="C10084" s="6"/>
      <c r="G10084" s="6"/>
      <c r="K10084" s="6"/>
    </row>
    <row r="10085" spans="3:11" x14ac:dyDescent="0.25">
      <c r="C10085" s="6"/>
      <c r="G10085" s="6"/>
      <c r="K10085" s="6"/>
    </row>
    <row r="10086" spans="3:11" x14ac:dyDescent="0.25">
      <c r="C10086" s="6"/>
      <c r="G10086" s="6"/>
      <c r="K10086" s="6"/>
    </row>
    <row r="10087" spans="3:11" x14ac:dyDescent="0.25">
      <c r="C10087" s="6"/>
      <c r="G10087" s="6"/>
      <c r="K10087" s="6"/>
    </row>
    <row r="10088" spans="3:11" x14ac:dyDescent="0.25">
      <c r="C10088" s="6"/>
      <c r="G10088" s="6"/>
      <c r="K10088" s="6"/>
    </row>
    <row r="10089" spans="3:11" x14ac:dyDescent="0.25">
      <c r="C10089" s="6"/>
      <c r="G10089" s="6"/>
      <c r="K10089" s="6"/>
    </row>
    <row r="10090" spans="3:11" x14ac:dyDescent="0.25">
      <c r="C10090" s="6"/>
      <c r="G10090" s="6"/>
      <c r="K10090" s="6"/>
    </row>
    <row r="10091" spans="3:11" x14ac:dyDescent="0.25">
      <c r="C10091" s="6"/>
      <c r="G10091" s="6"/>
      <c r="K10091" s="6"/>
    </row>
    <row r="10092" spans="3:11" x14ac:dyDescent="0.25">
      <c r="C10092" s="6"/>
      <c r="G10092" s="6"/>
      <c r="K10092" s="6"/>
    </row>
    <row r="10093" spans="3:11" x14ac:dyDescent="0.25">
      <c r="C10093" s="6"/>
      <c r="G10093" s="6"/>
      <c r="K10093" s="6"/>
    </row>
    <row r="10094" spans="3:11" x14ac:dyDescent="0.25">
      <c r="C10094" s="6"/>
      <c r="G10094" s="6"/>
      <c r="K10094" s="6"/>
    </row>
    <row r="10095" spans="3:11" x14ac:dyDescent="0.25">
      <c r="C10095" s="6"/>
      <c r="G10095" s="6"/>
      <c r="K10095" s="6"/>
    </row>
    <row r="10096" spans="3:11" x14ac:dyDescent="0.25">
      <c r="C10096" s="6"/>
      <c r="G10096" s="6"/>
      <c r="K10096" s="6"/>
    </row>
    <row r="10097" spans="3:11" x14ac:dyDescent="0.25">
      <c r="C10097" s="6"/>
      <c r="G10097" s="6"/>
      <c r="K10097" s="6"/>
    </row>
    <row r="10098" spans="3:11" x14ac:dyDescent="0.25">
      <c r="C10098" s="6"/>
      <c r="G10098" s="6"/>
      <c r="K10098" s="6"/>
    </row>
    <row r="10099" spans="3:11" x14ac:dyDescent="0.25">
      <c r="C10099" s="6"/>
      <c r="G10099" s="6"/>
      <c r="K10099" s="6"/>
    </row>
    <row r="10100" spans="3:11" x14ac:dyDescent="0.25">
      <c r="C10100" s="6"/>
      <c r="G10100" s="6"/>
      <c r="K10100" s="6"/>
    </row>
    <row r="10101" spans="3:11" x14ac:dyDescent="0.25">
      <c r="C10101" s="6"/>
      <c r="G10101" s="6"/>
      <c r="K10101" s="6"/>
    </row>
    <row r="10102" spans="3:11" x14ac:dyDescent="0.25">
      <c r="C10102" s="6"/>
      <c r="G10102" s="6"/>
      <c r="K10102" s="6"/>
    </row>
    <row r="10103" spans="3:11" x14ac:dyDescent="0.25">
      <c r="C10103" s="6"/>
      <c r="G10103" s="6"/>
      <c r="K10103" s="6"/>
    </row>
    <row r="10104" spans="3:11" x14ac:dyDescent="0.25">
      <c r="C10104" s="6"/>
      <c r="G10104" s="6"/>
      <c r="K10104" s="6"/>
    </row>
    <row r="10105" spans="3:11" x14ac:dyDescent="0.25">
      <c r="C10105" s="6"/>
      <c r="G10105" s="6"/>
      <c r="K10105" s="6"/>
    </row>
    <row r="10106" spans="3:11" x14ac:dyDescent="0.25">
      <c r="C10106" s="6"/>
      <c r="G10106" s="6"/>
      <c r="K10106" s="6"/>
    </row>
    <row r="10107" spans="3:11" x14ac:dyDescent="0.25">
      <c r="C10107" s="6"/>
      <c r="G10107" s="6"/>
      <c r="K10107" s="6"/>
    </row>
    <row r="10108" spans="3:11" x14ac:dyDescent="0.25">
      <c r="C10108" s="6"/>
      <c r="G10108" s="6"/>
      <c r="K10108" s="6"/>
    </row>
    <row r="10109" spans="3:11" x14ac:dyDescent="0.25">
      <c r="C10109" s="6"/>
      <c r="G10109" s="6"/>
      <c r="K10109" s="6"/>
    </row>
    <row r="10110" spans="3:11" x14ac:dyDescent="0.25">
      <c r="C10110" s="6"/>
      <c r="G10110" s="6"/>
      <c r="K10110" s="6"/>
    </row>
    <row r="10111" spans="3:11" x14ac:dyDescent="0.25">
      <c r="C10111" s="6"/>
      <c r="G10111" s="6"/>
      <c r="K10111" s="6"/>
    </row>
    <row r="10112" spans="3:11" x14ac:dyDescent="0.25">
      <c r="C10112" s="6"/>
      <c r="G10112" s="6"/>
      <c r="K10112" s="6"/>
    </row>
    <row r="10113" spans="3:11" x14ac:dyDescent="0.25">
      <c r="C10113" s="6"/>
      <c r="G10113" s="6"/>
      <c r="K10113" s="6"/>
    </row>
    <row r="10114" spans="3:11" x14ac:dyDescent="0.25">
      <c r="C10114" s="6"/>
      <c r="G10114" s="6"/>
      <c r="K10114" s="6"/>
    </row>
    <row r="10115" spans="3:11" x14ac:dyDescent="0.25">
      <c r="C10115" s="6"/>
      <c r="G10115" s="6"/>
      <c r="K10115" s="6"/>
    </row>
    <row r="10116" spans="3:11" x14ac:dyDescent="0.25">
      <c r="C10116" s="6"/>
      <c r="G10116" s="6"/>
      <c r="K10116" s="6"/>
    </row>
    <row r="10117" spans="3:11" x14ac:dyDescent="0.25">
      <c r="C10117" s="6"/>
      <c r="G10117" s="6"/>
      <c r="K10117" s="6"/>
    </row>
    <row r="10118" spans="3:11" x14ac:dyDescent="0.25">
      <c r="C10118" s="6"/>
      <c r="G10118" s="6"/>
      <c r="K10118" s="6"/>
    </row>
    <row r="10119" spans="3:11" x14ac:dyDescent="0.25">
      <c r="C10119" s="6"/>
      <c r="G10119" s="6"/>
      <c r="K10119" s="6"/>
    </row>
    <row r="10120" spans="3:11" x14ac:dyDescent="0.25">
      <c r="C10120" s="6"/>
      <c r="G10120" s="6"/>
      <c r="K10120" s="6"/>
    </row>
    <row r="10121" spans="3:11" x14ac:dyDescent="0.25">
      <c r="C10121" s="6"/>
      <c r="G10121" s="6"/>
      <c r="K10121" s="6"/>
    </row>
    <row r="10122" spans="3:11" x14ac:dyDescent="0.25">
      <c r="C10122" s="6"/>
      <c r="G10122" s="6"/>
      <c r="K10122" s="6"/>
    </row>
    <row r="10123" spans="3:11" x14ac:dyDescent="0.25">
      <c r="C10123" s="6"/>
      <c r="G10123" s="6"/>
      <c r="K10123" s="6"/>
    </row>
    <row r="10124" spans="3:11" x14ac:dyDescent="0.25">
      <c r="C10124" s="6"/>
      <c r="G10124" s="6"/>
      <c r="K10124" s="6"/>
    </row>
    <row r="10125" spans="3:11" x14ac:dyDescent="0.25">
      <c r="C10125" s="6"/>
      <c r="G10125" s="6"/>
      <c r="K10125" s="6"/>
    </row>
    <row r="10126" spans="3:11" x14ac:dyDescent="0.25">
      <c r="C10126" s="6"/>
      <c r="G10126" s="6"/>
      <c r="K10126" s="6"/>
    </row>
    <row r="10127" spans="3:11" x14ac:dyDescent="0.25">
      <c r="C10127" s="6"/>
      <c r="G10127" s="6"/>
      <c r="K10127" s="6"/>
    </row>
    <row r="10128" spans="3:11" x14ac:dyDescent="0.25">
      <c r="C10128" s="6"/>
      <c r="G10128" s="6"/>
      <c r="K10128" s="6"/>
    </row>
    <row r="10129" spans="3:11" x14ac:dyDescent="0.25">
      <c r="C10129" s="6"/>
      <c r="G10129" s="6"/>
      <c r="K10129" s="6"/>
    </row>
    <row r="10130" spans="3:11" x14ac:dyDescent="0.25">
      <c r="C10130" s="6"/>
      <c r="G10130" s="6"/>
      <c r="K10130" s="6"/>
    </row>
    <row r="10131" spans="3:11" x14ac:dyDescent="0.25">
      <c r="C10131" s="6"/>
      <c r="G10131" s="6"/>
      <c r="K10131" s="6"/>
    </row>
    <row r="10132" spans="3:11" x14ac:dyDescent="0.25">
      <c r="C10132" s="6"/>
      <c r="G10132" s="6"/>
      <c r="K10132" s="6"/>
    </row>
    <row r="10133" spans="3:11" x14ac:dyDescent="0.25">
      <c r="C10133" s="6"/>
      <c r="G10133" s="6"/>
      <c r="K10133" s="6"/>
    </row>
    <row r="10134" spans="3:11" x14ac:dyDescent="0.25">
      <c r="C10134" s="6"/>
      <c r="G10134" s="6"/>
      <c r="K10134" s="6"/>
    </row>
    <row r="10135" spans="3:11" x14ac:dyDescent="0.25">
      <c r="C10135" s="6"/>
      <c r="G10135" s="6"/>
      <c r="K10135" s="6"/>
    </row>
    <row r="10136" spans="3:11" x14ac:dyDescent="0.25">
      <c r="C10136" s="6"/>
      <c r="G10136" s="6"/>
      <c r="K10136" s="6"/>
    </row>
    <row r="10137" spans="3:11" x14ac:dyDescent="0.25">
      <c r="C10137" s="6"/>
      <c r="G10137" s="6"/>
      <c r="K10137" s="6"/>
    </row>
    <row r="10138" spans="3:11" x14ac:dyDescent="0.25">
      <c r="C10138" s="6"/>
      <c r="G10138" s="6"/>
      <c r="K10138" s="6"/>
    </row>
    <row r="10139" spans="3:11" x14ac:dyDescent="0.25">
      <c r="C10139" s="6"/>
      <c r="G10139" s="6"/>
      <c r="K10139" s="6"/>
    </row>
    <row r="10140" spans="3:11" x14ac:dyDescent="0.25">
      <c r="C10140" s="6"/>
      <c r="G10140" s="6"/>
      <c r="K10140" s="6"/>
    </row>
    <row r="10141" spans="3:11" x14ac:dyDescent="0.25">
      <c r="C10141" s="6"/>
      <c r="G10141" s="6"/>
      <c r="K10141" s="6"/>
    </row>
    <row r="10142" spans="3:11" x14ac:dyDescent="0.25">
      <c r="C10142" s="6"/>
      <c r="G10142" s="6"/>
      <c r="K10142" s="6"/>
    </row>
    <row r="10143" spans="3:11" x14ac:dyDescent="0.25">
      <c r="C10143" s="6"/>
      <c r="G10143" s="6"/>
      <c r="K10143" s="6"/>
    </row>
    <row r="10144" spans="3:11" x14ac:dyDescent="0.25">
      <c r="C10144" s="6"/>
      <c r="G10144" s="6"/>
      <c r="K10144" s="6"/>
    </row>
    <row r="10145" spans="3:11" x14ac:dyDescent="0.25">
      <c r="C10145" s="6"/>
      <c r="G10145" s="6"/>
      <c r="K10145" s="6"/>
    </row>
    <row r="10146" spans="3:11" x14ac:dyDescent="0.25">
      <c r="C10146" s="6"/>
      <c r="G10146" s="6"/>
      <c r="K10146" s="6"/>
    </row>
    <row r="10147" spans="3:11" x14ac:dyDescent="0.25">
      <c r="C10147" s="6"/>
      <c r="G10147" s="6"/>
      <c r="K10147" s="6"/>
    </row>
    <row r="10148" spans="3:11" x14ac:dyDescent="0.25">
      <c r="C10148" s="6"/>
      <c r="G10148" s="6"/>
      <c r="K10148" s="6"/>
    </row>
    <row r="10149" spans="3:11" x14ac:dyDescent="0.25">
      <c r="C10149" s="6"/>
      <c r="G10149" s="6"/>
      <c r="K10149" s="6"/>
    </row>
    <row r="10150" spans="3:11" x14ac:dyDescent="0.25">
      <c r="C10150" s="6"/>
      <c r="G10150" s="6"/>
      <c r="K10150" s="6"/>
    </row>
    <row r="10151" spans="3:11" x14ac:dyDescent="0.25">
      <c r="C10151" s="6"/>
      <c r="G10151" s="6"/>
      <c r="K10151" s="6"/>
    </row>
    <row r="10152" spans="3:11" x14ac:dyDescent="0.25">
      <c r="C10152" s="6"/>
      <c r="G10152" s="6"/>
      <c r="K10152" s="6"/>
    </row>
    <row r="10153" spans="3:11" x14ac:dyDescent="0.25">
      <c r="C10153" s="6"/>
      <c r="G10153" s="6"/>
      <c r="K10153" s="6"/>
    </row>
    <row r="10154" spans="3:11" x14ac:dyDescent="0.25">
      <c r="C10154" s="6"/>
      <c r="G10154" s="6"/>
      <c r="K10154" s="6"/>
    </row>
    <row r="10155" spans="3:11" x14ac:dyDescent="0.25">
      <c r="C10155" s="6"/>
      <c r="G10155" s="6"/>
      <c r="K10155" s="6"/>
    </row>
    <row r="10156" spans="3:11" x14ac:dyDescent="0.25">
      <c r="C10156" s="6"/>
      <c r="G10156" s="6"/>
      <c r="K10156" s="6"/>
    </row>
    <row r="10157" spans="3:11" x14ac:dyDescent="0.25">
      <c r="C10157" s="6"/>
      <c r="G10157" s="6"/>
      <c r="K10157" s="6"/>
    </row>
    <row r="10158" spans="3:11" x14ac:dyDescent="0.25">
      <c r="C10158" s="6"/>
      <c r="G10158" s="6"/>
      <c r="K10158" s="6"/>
    </row>
    <row r="10159" spans="3:11" x14ac:dyDescent="0.25">
      <c r="C10159" s="6"/>
      <c r="G10159" s="6"/>
      <c r="K10159" s="6"/>
    </row>
    <row r="10160" spans="3:11" x14ac:dyDescent="0.25">
      <c r="C10160" s="6"/>
      <c r="G10160" s="6"/>
      <c r="K10160" s="6"/>
    </row>
    <row r="10161" spans="3:11" x14ac:dyDescent="0.25">
      <c r="C10161" s="6"/>
      <c r="G10161" s="6"/>
      <c r="K10161" s="6"/>
    </row>
    <row r="10162" spans="3:11" x14ac:dyDescent="0.25">
      <c r="C10162" s="6"/>
      <c r="G10162" s="6"/>
      <c r="K10162" s="6"/>
    </row>
    <row r="10163" spans="3:11" x14ac:dyDescent="0.25">
      <c r="C10163" s="6"/>
      <c r="G10163" s="6"/>
      <c r="K10163" s="6"/>
    </row>
    <row r="10164" spans="3:11" x14ac:dyDescent="0.25">
      <c r="C10164" s="6"/>
      <c r="G10164" s="6"/>
      <c r="K10164" s="6"/>
    </row>
    <row r="10165" spans="3:11" x14ac:dyDescent="0.25">
      <c r="C10165" s="6"/>
      <c r="G10165" s="6"/>
      <c r="K10165" s="6"/>
    </row>
    <row r="10166" spans="3:11" x14ac:dyDescent="0.25">
      <c r="C10166" s="6"/>
      <c r="G10166" s="6"/>
      <c r="K10166" s="6"/>
    </row>
    <row r="10167" spans="3:11" x14ac:dyDescent="0.25">
      <c r="C10167" s="6"/>
      <c r="G10167" s="6"/>
      <c r="K10167" s="6"/>
    </row>
    <row r="10168" spans="3:11" x14ac:dyDescent="0.25">
      <c r="C10168" s="6"/>
      <c r="G10168" s="6"/>
      <c r="K10168" s="6"/>
    </row>
    <row r="10169" spans="3:11" x14ac:dyDescent="0.25">
      <c r="C10169" s="6"/>
      <c r="G10169" s="6"/>
      <c r="K10169" s="6"/>
    </row>
    <row r="10170" spans="3:11" x14ac:dyDescent="0.25">
      <c r="C10170" s="6"/>
      <c r="G10170" s="6"/>
      <c r="K10170" s="6"/>
    </row>
    <row r="10171" spans="3:11" x14ac:dyDescent="0.25">
      <c r="C10171" s="6"/>
      <c r="G10171" s="6"/>
      <c r="K10171" s="6"/>
    </row>
    <row r="10172" spans="3:11" x14ac:dyDescent="0.25">
      <c r="C10172" s="6"/>
      <c r="G10172" s="6"/>
      <c r="K10172" s="6"/>
    </row>
    <row r="10173" spans="3:11" x14ac:dyDescent="0.25">
      <c r="C10173" s="6"/>
      <c r="G10173" s="6"/>
      <c r="K10173" s="6"/>
    </row>
    <row r="10174" spans="3:11" x14ac:dyDescent="0.25">
      <c r="C10174" s="6"/>
      <c r="G10174" s="6"/>
      <c r="K10174" s="6"/>
    </row>
    <row r="10175" spans="3:11" x14ac:dyDescent="0.25">
      <c r="C10175" s="6"/>
      <c r="G10175" s="6"/>
      <c r="K10175" s="6"/>
    </row>
    <row r="10176" spans="3:11" x14ac:dyDescent="0.25">
      <c r="C10176" s="6"/>
      <c r="G10176" s="6"/>
      <c r="K10176" s="6"/>
    </row>
    <row r="10177" spans="3:11" x14ac:dyDescent="0.25">
      <c r="C10177" s="6"/>
      <c r="G10177" s="6"/>
      <c r="K10177" s="6"/>
    </row>
    <row r="10178" spans="3:11" x14ac:dyDescent="0.25">
      <c r="C10178" s="6"/>
      <c r="G10178" s="6"/>
      <c r="K10178" s="6"/>
    </row>
    <row r="10179" spans="3:11" x14ac:dyDescent="0.25">
      <c r="C10179" s="6"/>
      <c r="G10179" s="6"/>
      <c r="K10179" s="6"/>
    </row>
    <row r="10180" spans="3:11" x14ac:dyDescent="0.25">
      <c r="C10180" s="6"/>
      <c r="G10180" s="6"/>
      <c r="K10180" s="6"/>
    </row>
    <row r="10181" spans="3:11" x14ac:dyDescent="0.25">
      <c r="C10181" s="6"/>
      <c r="G10181" s="6"/>
      <c r="K10181" s="6"/>
    </row>
    <row r="10182" spans="3:11" x14ac:dyDescent="0.25">
      <c r="C10182" s="6"/>
      <c r="G10182" s="6"/>
      <c r="K10182" s="6"/>
    </row>
    <row r="10183" spans="3:11" x14ac:dyDescent="0.25">
      <c r="C10183" s="6"/>
      <c r="G10183" s="6"/>
      <c r="K10183" s="6"/>
    </row>
    <row r="10184" spans="3:11" x14ac:dyDescent="0.25">
      <c r="C10184" s="6"/>
      <c r="G10184" s="6"/>
      <c r="K10184" s="6"/>
    </row>
    <row r="10185" spans="3:11" x14ac:dyDescent="0.25">
      <c r="C10185" s="6"/>
      <c r="G10185" s="6"/>
      <c r="K10185" s="6"/>
    </row>
    <row r="10186" spans="3:11" x14ac:dyDescent="0.25">
      <c r="C10186" s="6"/>
      <c r="G10186" s="6"/>
      <c r="K10186" s="6"/>
    </row>
    <row r="10187" spans="3:11" x14ac:dyDescent="0.25">
      <c r="C10187" s="6"/>
      <c r="G10187" s="6"/>
      <c r="K10187" s="6"/>
    </row>
    <row r="10188" spans="3:11" x14ac:dyDescent="0.25">
      <c r="C10188" s="6"/>
      <c r="G10188" s="6"/>
      <c r="K10188" s="6"/>
    </row>
    <row r="10189" spans="3:11" x14ac:dyDescent="0.25">
      <c r="C10189" s="6"/>
      <c r="G10189" s="6"/>
      <c r="K10189" s="6"/>
    </row>
    <row r="10190" spans="3:11" x14ac:dyDescent="0.25">
      <c r="C10190" s="6"/>
      <c r="G10190" s="6"/>
      <c r="K10190" s="6"/>
    </row>
    <row r="10191" spans="3:11" x14ac:dyDescent="0.25">
      <c r="C10191" s="6"/>
      <c r="G10191" s="6"/>
      <c r="K10191" s="6"/>
    </row>
    <row r="10192" spans="3:11" x14ac:dyDescent="0.25">
      <c r="C10192" s="6"/>
      <c r="G10192" s="6"/>
      <c r="K10192" s="6"/>
    </row>
    <row r="10193" spans="3:11" x14ac:dyDescent="0.25">
      <c r="C10193" s="6"/>
      <c r="G10193" s="6"/>
      <c r="K10193" s="6"/>
    </row>
    <row r="10194" spans="3:11" x14ac:dyDescent="0.25">
      <c r="C10194" s="6"/>
      <c r="G10194" s="6"/>
      <c r="K10194" s="6"/>
    </row>
    <row r="10195" spans="3:11" x14ac:dyDescent="0.25">
      <c r="C10195" s="6"/>
      <c r="G10195" s="6"/>
      <c r="K10195" s="6"/>
    </row>
    <row r="10196" spans="3:11" x14ac:dyDescent="0.25">
      <c r="C10196" s="6"/>
      <c r="G10196" s="6"/>
      <c r="K10196" s="6"/>
    </row>
    <row r="10197" spans="3:11" x14ac:dyDescent="0.25">
      <c r="C10197" s="6"/>
      <c r="G10197" s="6"/>
      <c r="K10197" s="6"/>
    </row>
    <row r="10198" spans="3:11" x14ac:dyDescent="0.25">
      <c r="C10198" s="6"/>
      <c r="G10198" s="6"/>
      <c r="K10198" s="6"/>
    </row>
    <row r="10199" spans="3:11" x14ac:dyDescent="0.25">
      <c r="C10199" s="6"/>
      <c r="G10199" s="6"/>
      <c r="K10199" s="6"/>
    </row>
    <row r="10200" spans="3:11" x14ac:dyDescent="0.25">
      <c r="C10200" s="6"/>
      <c r="G10200" s="6"/>
      <c r="K10200" s="6"/>
    </row>
    <row r="10201" spans="3:11" x14ac:dyDescent="0.25">
      <c r="C10201" s="6"/>
      <c r="G10201" s="6"/>
      <c r="K10201" s="6"/>
    </row>
    <row r="10202" spans="3:11" x14ac:dyDescent="0.25">
      <c r="C10202" s="6"/>
      <c r="G10202" s="6"/>
      <c r="K10202" s="6"/>
    </row>
    <row r="10203" spans="3:11" x14ac:dyDescent="0.25">
      <c r="C10203" s="6"/>
      <c r="G10203" s="6"/>
      <c r="K10203" s="6"/>
    </row>
    <row r="10204" spans="3:11" x14ac:dyDescent="0.25">
      <c r="C10204" s="6"/>
      <c r="G10204" s="6"/>
      <c r="K10204" s="6"/>
    </row>
    <row r="10205" spans="3:11" x14ac:dyDescent="0.25">
      <c r="C10205" s="6"/>
      <c r="G10205" s="6"/>
      <c r="K10205" s="6"/>
    </row>
    <row r="10206" spans="3:11" x14ac:dyDescent="0.25">
      <c r="C10206" s="6"/>
      <c r="G10206" s="6"/>
      <c r="K10206" s="6"/>
    </row>
    <row r="10207" spans="3:11" x14ac:dyDescent="0.25">
      <c r="C10207" s="6"/>
      <c r="G10207" s="6"/>
      <c r="K10207" s="6"/>
    </row>
    <row r="10208" spans="3:11" x14ac:dyDescent="0.25">
      <c r="C10208" s="6"/>
      <c r="G10208" s="6"/>
      <c r="K10208" s="6"/>
    </row>
    <row r="10209" spans="3:11" x14ac:dyDescent="0.25">
      <c r="C10209" s="6"/>
      <c r="G10209" s="6"/>
      <c r="K10209" s="6"/>
    </row>
    <row r="10210" spans="3:11" x14ac:dyDescent="0.25">
      <c r="C10210" s="6"/>
      <c r="G10210" s="6"/>
      <c r="K10210" s="6"/>
    </row>
    <row r="10211" spans="3:11" x14ac:dyDescent="0.25">
      <c r="C10211" s="6"/>
      <c r="G10211" s="6"/>
      <c r="K10211" s="6"/>
    </row>
    <row r="10212" spans="3:11" x14ac:dyDescent="0.25">
      <c r="C10212" s="6"/>
      <c r="G10212" s="6"/>
      <c r="K10212" s="6"/>
    </row>
    <row r="10213" spans="3:11" x14ac:dyDescent="0.25">
      <c r="C10213" s="6"/>
      <c r="G10213" s="6"/>
      <c r="K10213" s="6"/>
    </row>
    <row r="10214" spans="3:11" x14ac:dyDescent="0.25">
      <c r="C10214" s="6"/>
      <c r="G10214" s="6"/>
      <c r="K10214" s="6"/>
    </row>
    <row r="10215" spans="3:11" x14ac:dyDescent="0.25">
      <c r="C10215" s="6"/>
      <c r="G10215" s="6"/>
      <c r="K10215" s="6"/>
    </row>
    <row r="10216" spans="3:11" x14ac:dyDescent="0.25">
      <c r="C10216" s="6"/>
      <c r="G10216" s="6"/>
      <c r="K10216" s="6"/>
    </row>
    <row r="10217" spans="3:11" x14ac:dyDescent="0.25">
      <c r="C10217" s="6"/>
      <c r="G10217" s="6"/>
      <c r="K10217" s="6"/>
    </row>
    <row r="10218" spans="3:11" x14ac:dyDescent="0.25">
      <c r="C10218" s="6"/>
      <c r="G10218" s="6"/>
      <c r="K10218" s="6"/>
    </row>
    <row r="10219" spans="3:11" x14ac:dyDescent="0.25">
      <c r="C10219" s="6"/>
      <c r="G10219" s="6"/>
      <c r="K10219" s="6"/>
    </row>
    <row r="10220" spans="3:11" x14ac:dyDescent="0.25">
      <c r="C10220" s="6"/>
      <c r="G10220" s="6"/>
      <c r="K10220" s="6"/>
    </row>
    <row r="10221" spans="3:11" x14ac:dyDescent="0.25">
      <c r="C10221" s="6"/>
      <c r="G10221" s="6"/>
      <c r="K10221" s="6"/>
    </row>
    <row r="10222" spans="3:11" x14ac:dyDescent="0.25">
      <c r="C10222" s="6"/>
      <c r="G10222" s="6"/>
      <c r="K10222" s="6"/>
    </row>
    <row r="10223" spans="3:11" x14ac:dyDescent="0.25">
      <c r="C10223" s="6"/>
      <c r="G10223" s="6"/>
      <c r="K10223" s="6"/>
    </row>
    <row r="10224" spans="3:11" x14ac:dyDescent="0.25">
      <c r="C10224" s="6"/>
      <c r="G10224" s="6"/>
      <c r="K10224" s="6"/>
    </row>
    <row r="10225" spans="3:11" x14ac:dyDescent="0.25">
      <c r="C10225" s="6"/>
      <c r="G10225" s="6"/>
      <c r="K10225" s="6"/>
    </row>
    <row r="10226" spans="3:11" x14ac:dyDescent="0.25">
      <c r="C10226" s="6"/>
      <c r="G10226" s="6"/>
      <c r="K10226" s="6"/>
    </row>
    <row r="10227" spans="3:11" x14ac:dyDescent="0.25">
      <c r="C10227" s="6"/>
      <c r="G10227" s="6"/>
      <c r="K10227" s="6"/>
    </row>
    <row r="10228" spans="3:11" x14ac:dyDescent="0.25">
      <c r="C10228" s="6"/>
      <c r="G10228" s="6"/>
      <c r="K10228" s="6"/>
    </row>
    <row r="10229" spans="3:11" x14ac:dyDescent="0.25">
      <c r="C10229" s="6"/>
      <c r="G10229" s="6"/>
      <c r="K10229" s="6"/>
    </row>
    <row r="10230" spans="3:11" x14ac:dyDescent="0.25">
      <c r="C10230" s="6"/>
      <c r="G10230" s="6"/>
      <c r="K10230" s="6"/>
    </row>
    <row r="10231" spans="3:11" x14ac:dyDescent="0.25">
      <c r="C10231" s="6"/>
      <c r="G10231" s="6"/>
      <c r="K10231" s="6"/>
    </row>
    <row r="10232" spans="3:11" x14ac:dyDescent="0.25">
      <c r="C10232" s="6"/>
      <c r="G10232" s="6"/>
      <c r="K10232" s="6"/>
    </row>
    <row r="10233" spans="3:11" x14ac:dyDescent="0.25">
      <c r="C10233" s="6"/>
      <c r="G10233" s="6"/>
      <c r="K10233" s="6"/>
    </row>
    <row r="10234" spans="3:11" x14ac:dyDescent="0.25">
      <c r="C10234" s="6"/>
      <c r="G10234" s="6"/>
      <c r="K10234" s="6"/>
    </row>
    <row r="10235" spans="3:11" x14ac:dyDescent="0.25">
      <c r="C10235" s="6"/>
      <c r="G10235" s="6"/>
      <c r="K10235" s="6"/>
    </row>
    <row r="10236" spans="3:11" x14ac:dyDescent="0.25">
      <c r="C10236" s="6"/>
      <c r="G10236" s="6"/>
      <c r="K10236" s="6"/>
    </row>
    <row r="10237" spans="3:11" x14ac:dyDescent="0.25">
      <c r="C10237" s="6"/>
      <c r="G10237" s="6"/>
      <c r="K10237" s="6"/>
    </row>
    <row r="10238" spans="3:11" x14ac:dyDescent="0.25">
      <c r="C10238" s="6"/>
      <c r="G10238" s="6"/>
      <c r="K10238" s="6"/>
    </row>
    <row r="10239" spans="3:11" x14ac:dyDescent="0.25">
      <c r="C10239" s="6"/>
      <c r="G10239" s="6"/>
      <c r="K10239" s="6"/>
    </row>
    <row r="10240" spans="3:11" x14ac:dyDescent="0.25">
      <c r="C10240" s="6"/>
      <c r="G10240" s="6"/>
      <c r="K10240" s="6"/>
    </row>
    <row r="10241" spans="3:11" x14ac:dyDescent="0.25">
      <c r="C10241" s="6"/>
      <c r="G10241" s="6"/>
      <c r="K10241" s="6"/>
    </row>
    <row r="10242" spans="3:11" x14ac:dyDescent="0.25">
      <c r="C10242" s="6"/>
      <c r="G10242" s="6"/>
      <c r="K10242" s="6"/>
    </row>
    <row r="10243" spans="3:11" x14ac:dyDescent="0.25">
      <c r="C10243" s="6"/>
      <c r="G10243" s="6"/>
      <c r="K10243" s="6"/>
    </row>
    <row r="10244" spans="3:11" x14ac:dyDescent="0.25">
      <c r="C10244" s="6"/>
      <c r="G10244" s="6"/>
      <c r="K10244" s="6"/>
    </row>
    <row r="10245" spans="3:11" x14ac:dyDescent="0.25">
      <c r="C10245" s="6"/>
      <c r="G10245" s="6"/>
      <c r="K10245" s="6"/>
    </row>
    <row r="10246" spans="3:11" x14ac:dyDescent="0.25">
      <c r="C10246" s="6"/>
      <c r="G10246" s="6"/>
      <c r="K10246" s="6"/>
    </row>
    <row r="10247" spans="3:11" x14ac:dyDescent="0.25">
      <c r="C10247" s="6"/>
      <c r="G10247" s="6"/>
      <c r="K10247" s="6"/>
    </row>
    <row r="10248" spans="3:11" x14ac:dyDescent="0.25">
      <c r="C10248" s="6"/>
      <c r="G10248" s="6"/>
      <c r="K10248" s="6"/>
    </row>
    <row r="10249" spans="3:11" x14ac:dyDescent="0.25">
      <c r="C10249" s="6"/>
      <c r="G10249" s="6"/>
      <c r="K10249" s="6"/>
    </row>
    <row r="10250" spans="3:11" x14ac:dyDescent="0.25">
      <c r="C10250" s="6"/>
      <c r="G10250" s="6"/>
      <c r="K10250" s="6"/>
    </row>
    <row r="10251" spans="3:11" x14ac:dyDescent="0.25">
      <c r="C10251" s="6"/>
      <c r="G10251" s="6"/>
      <c r="K10251" s="6"/>
    </row>
    <row r="10252" spans="3:11" x14ac:dyDescent="0.25">
      <c r="C10252" s="6"/>
      <c r="G10252" s="6"/>
      <c r="K10252" s="6"/>
    </row>
    <row r="10253" spans="3:11" x14ac:dyDescent="0.25">
      <c r="C10253" s="6"/>
      <c r="G10253" s="6"/>
      <c r="K10253" s="6"/>
    </row>
    <row r="10254" spans="3:11" x14ac:dyDescent="0.25">
      <c r="C10254" s="6"/>
      <c r="G10254" s="6"/>
      <c r="K10254" s="6"/>
    </row>
    <row r="10255" spans="3:11" x14ac:dyDescent="0.25">
      <c r="C10255" s="6"/>
      <c r="G10255" s="6"/>
      <c r="K10255" s="6"/>
    </row>
    <row r="10256" spans="3:11" x14ac:dyDescent="0.25">
      <c r="C10256" s="6"/>
      <c r="G10256" s="6"/>
      <c r="K10256" s="6"/>
    </row>
    <row r="10257" spans="3:11" x14ac:dyDescent="0.25">
      <c r="C10257" s="6"/>
      <c r="G10257" s="6"/>
      <c r="K10257" s="6"/>
    </row>
    <row r="10258" spans="3:11" x14ac:dyDescent="0.25">
      <c r="C10258" s="6"/>
      <c r="G10258" s="6"/>
      <c r="K10258" s="6"/>
    </row>
    <row r="10259" spans="3:11" x14ac:dyDescent="0.25">
      <c r="C10259" s="6"/>
      <c r="G10259" s="6"/>
      <c r="K10259" s="6"/>
    </row>
    <row r="10260" spans="3:11" x14ac:dyDescent="0.25">
      <c r="C10260" s="6"/>
      <c r="G10260" s="6"/>
      <c r="K10260" s="6"/>
    </row>
    <row r="10261" spans="3:11" x14ac:dyDescent="0.25">
      <c r="C10261" s="6"/>
      <c r="G10261" s="6"/>
      <c r="K10261" s="6"/>
    </row>
    <row r="10262" spans="3:11" x14ac:dyDescent="0.25">
      <c r="C10262" s="6"/>
      <c r="G10262" s="6"/>
      <c r="K10262" s="6"/>
    </row>
    <row r="10263" spans="3:11" x14ac:dyDescent="0.25">
      <c r="C10263" s="6"/>
      <c r="G10263" s="6"/>
      <c r="K10263" s="6"/>
    </row>
    <row r="10264" spans="3:11" x14ac:dyDescent="0.25">
      <c r="C10264" s="6"/>
      <c r="G10264" s="6"/>
      <c r="K10264" s="6"/>
    </row>
    <row r="10265" spans="3:11" x14ac:dyDescent="0.25">
      <c r="C10265" s="6"/>
      <c r="G10265" s="6"/>
      <c r="K10265" s="6"/>
    </row>
    <row r="10266" spans="3:11" x14ac:dyDescent="0.25">
      <c r="C10266" s="6"/>
      <c r="G10266" s="6"/>
      <c r="K10266" s="6"/>
    </row>
    <row r="10267" spans="3:11" x14ac:dyDescent="0.25">
      <c r="C10267" s="6"/>
      <c r="G10267" s="6"/>
      <c r="K10267" s="6"/>
    </row>
    <row r="10268" spans="3:11" x14ac:dyDescent="0.25">
      <c r="C10268" s="6"/>
      <c r="G10268" s="6"/>
      <c r="K10268" s="6"/>
    </row>
    <row r="10269" spans="3:11" x14ac:dyDescent="0.25">
      <c r="C10269" s="6"/>
      <c r="G10269" s="6"/>
      <c r="K10269" s="6"/>
    </row>
    <row r="10270" spans="3:11" x14ac:dyDescent="0.25">
      <c r="C10270" s="6"/>
      <c r="G10270" s="6"/>
      <c r="K10270" s="6"/>
    </row>
    <row r="10271" spans="3:11" x14ac:dyDescent="0.25">
      <c r="C10271" s="6"/>
      <c r="G10271" s="6"/>
      <c r="K10271" s="6"/>
    </row>
    <row r="10272" spans="3:11" x14ac:dyDescent="0.25">
      <c r="C10272" s="6"/>
      <c r="G10272" s="6"/>
      <c r="K10272" s="6"/>
    </row>
    <row r="10273" spans="3:11" x14ac:dyDescent="0.25">
      <c r="C10273" s="6"/>
      <c r="G10273" s="6"/>
      <c r="K10273" s="6"/>
    </row>
    <row r="10274" spans="3:11" x14ac:dyDescent="0.25">
      <c r="C10274" s="6"/>
      <c r="G10274" s="6"/>
      <c r="K10274" s="6"/>
    </row>
    <row r="10275" spans="3:11" x14ac:dyDescent="0.25">
      <c r="C10275" s="6"/>
      <c r="G10275" s="6"/>
      <c r="K10275" s="6"/>
    </row>
    <row r="10276" spans="3:11" x14ac:dyDescent="0.25">
      <c r="C10276" s="6"/>
      <c r="G10276" s="6"/>
      <c r="K10276" s="6"/>
    </row>
    <row r="10277" spans="3:11" x14ac:dyDescent="0.25">
      <c r="C10277" s="6"/>
      <c r="G10277" s="6"/>
      <c r="K10277" s="6"/>
    </row>
    <row r="10278" spans="3:11" x14ac:dyDescent="0.25">
      <c r="C10278" s="6"/>
      <c r="G10278" s="6"/>
      <c r="K10278" s="6"/>
    </row>
    <row r="10279" spans="3:11" x14ac:dyDescent="0.25">
      <c r="C10279" s="6"/>
      <c r="G10279" s="6"/>
      <c r="K10279" s="6"/>
    </row>
    <row r="10280" spans="3:11" x14ac:dyDescent="0.25">
      <c r="C10280" s="6"/>
      <c r="G10280" s="6"/>
      <c r="K10280" s="6"/>
    </row>
    <row r="10281" spans="3:11" x14ac:dyDescent="0.25">
      <c r="C10281" s="6"/>
      <c r="G10281" s="6"/>
      <c r="K10281" s="6"/>
    </row>
    <row r="10282" spans="3:11" x14ac:dyDescent="0.25">
      <c r="C10282" s="6"/>
      <c r="G10282" s="6"/>
      <c r="K10282" s="6"/>
    </row>
    <row r="10283" spans="3:11" x14ac:dyDescent="0.25">
      <c r="C10283" s="6"/>
      <c r="G10283" s="6"/>
      <c r="K10283" s="6"/>
    </row>
    <row r="10284" spans="3:11" x14ac:dyDescent="0.25">
      <c r="C10284" s="6"/>
      <c r="G10284" s="6"/>
      <c r="K10284" s="6"/>
    </row>
    <row r="10285" spans="3:11" x14ac:dyDescent="0.25">
      <c r="C10285" s="6"/>
      <c r="G10285" s="6"/>
      <c r="K10285" s="6"/>
    </row>
    <row r="10286" spans="3:11" x14ac:dyDescent="0.25">
      <c r="C10286" s="6"/>
      <c r="G10286" s="6"/>
      <c r="K10286" s="6"/>
    </row>
    <row r="10287" spans="3:11" x14ac:dyDescent="0.25">
      <c r="C10287" s="6"/>
      <c r="G10287" s="6"/>
      <c r="K10287" s="6"/>
    </row>
    <row r="10288" spans="3:11" x14ac:dyDescent="0.25">
      <c r="C10288" s="6"/>
      <c r="G10288" s="6"/>
      <c r="K10288" s="6"/>
    </row>
    <row r="10289" spans="3:11" x14ac:dyDescent="0.25">
      <c r="C10289" s="6"/>
      <c r="G10289" s="6"/>
      <c r="K10289" s="6"/>
    </row>
    <row r="10290" spans="3:11" x14ac:dyDescent="0.25">
      <c r="C10290" s="6"/>
      <c r="G10290" s="6"/>
      <c r="K10290" s="6"/>
    </row>
    <row r="10291" spans="3:11" x14ac:dyDescent="0.25">
      <c r="C10291" s="6"/>
      <c r="G10291" s="6"/>
      <c r="K10291" s="6"/>
    </row>
    <row r="10292" spans="3:11" x14ac:dyDescent="0.25">
      <c r="C10292" s="6"/>
      <c r="G10292" s="6"/>
      <c r="K10292" s="6"/>
    </row>
    <row r="10293" spans="3:11" x14ac:dyDescent="0.25">
      <c r="C10293" s="6"/>
      <c r="G10293" s="6"/>
      <c r="K10293" s="6"/>
    </row>
    <row r="10294" spans="3:11" x14ac:dyDescent="0.25">
      <c r="C10294" s="6"/>
      <c r="G10294" s="6"/>
      <c r="K10294" s="6"/>
    </row>
    <row r="10295" spans="3:11" x14ac:dyDescent="0.25">
      <c r="C10295" s="6"/>
      <c r="G10295" s="6"/>
      <c r="K10295" s="6"/>
    </row>
    <row r="10296" spans="3:11" x14ac:dyDescent="0.25">
      <c r="C10296" s="6"/>
      <c r="G10296" s="6"/>
      <c r="K10296" s="6"/>
    </row>
    <row r="10297" spans="3:11" x14ac:dyDescent="0.25">
      <c r="C10297" s="6"/>
      <c r="G10297" s="6"/>
      <c r="K10297" s="6"/>
    </row>
    <row r="10298" spans="3:11" x14ac:dyDescent="0.25">
      <c r="C10298" s="6"/>
      <c r="G10298" s="6"/>
      <c r="K10298" s="6"/>
    </row>
    <row r="10299" spans="3:11" x14ac:dyDescent="0.25">
      <c r="C10299" s="6"/>
      <c r="G10299" s="6"/>
      <c r="K10299" s="6"/>
    </row>
    <row r="10300" spans="3:11" x14ac:dyDescent="0.25">
      <c r="C10300" s="6"/>
      <c r="G10300" s="6"/>
      <c r="K10300" s="6"/>
    </row>
    <row r="10301" spans="3:11" x14ac:dyDescent="0.25">
      <c r="C10301" s="6"/>
      <c r="G10301" s="6"/>
      <c r="K10301" s="6"/>
    </row>
    <row r="10302" spans="3:11" x14ac:dyDescent="0.25">
      <c r="C10302" s="6"/>
      <c r="G10302" s="6"/>
      <c r="K10302" s="6"/>
    </row>
    <row r="10303" spans="3:11" x14ac:dyDescent="0.25">
      <c r="C10303" s="6"/>
      <c r="G10303" s="6"/>
      <c r="K10303" s="6"/>
    </row>
    <row r="10304" spans="3:11" x14ac:dyDescent="0.25">
      <c r="C10304" s="6"/>
      <c r="G10304" s="6"/>
      <c r="K10304" s="6"/>
    </row>
    <row r="10305" spans="3:11" x14ac:dyDescent="0.25">
      <c r="C10305" s="6"/>
      <c r="G10305" s="6"/>
      <c r="K10305" s="6"/>
    </row>
    <row r="10306" spans="3:11" x14ac:dyDescent="0.25">
      <c r="C10306" s="6"/>
      <c r="G10306" s="6"/>
      <c r="K10306" s="6"/>
    </row>
    <row r="10307" spans="3:11" x14ac:dyDescent="0.25">
      <c r="C10307" s="6"/>
      <c r="G10307" s="6"/>
      <c r="K10307" s="6"/>
    </row>
    <row r="10308" spans="3:11" x14ac:dyDescent="0.25">
      <c r="C10308" s="6"/>
      <c r="G10308" s="6"/>
      <c r="K10308" s="6"/>
    </row>
    <row r="10309" spans="3:11" x14ac:dyDescent="0.25">
      <c r="C10309" s="6"/>
      <c r="G10309" s="6"/>
      <c r="K10309" s="6"/>
    </row>
    <row r="10310" spans="3:11" x14ac:dyDescent="0.25">
      <c r="C10310" s="6"/>
      <c r="G10310" s="6"/>
      <c r="K10310" s="6"/>
    </row>
    <row r="10311" spans="3:11" x14ac:dyDescent="0.25">
      <c r="C10311" s="6"/>
      <c r="G10311" s="6"/>
      <c r="K10311" s="6"/>
    </row>
    <row r="10312" spans="3:11" x14ac:dyDescent="0.25">
      <c r="C10312" s="6"/>
      <c r="G10312" s="6"/>
      <c r="K10312" s="6"/>
    </row>
    <row r="10313" spans="3:11" x14ac:dyDescent="0.25">
      <c r="C10313" s="6"/>
      <c r="G10313" s="6"/>
      <c r="K10313" s="6"/>
    </row>
    <row r="10314" spans="3:11" x14ac:dyDescent="0.25">
      <c r="C10314" s="6"/>
      <c r="G10314" s="6"/>
      <c r="K10314" s="6"/>
    </row>
    <row r="10315" spans="3:11" x14ac:dyDescent="0.25">
      <c r="C10315" s="6"/>
      <c r="G10315" s="6"/>
      <c r="K10315" s="6"/>
    </row>
    <row r="10316" spans="3:11" x14ac:dyDescent="0.25">
      <c r="C10316" s="6"/>
      <c r="G10316" s="6"/>
      <c r="K10316" s="6"/>
    </row>
    <row r="10317" spans="3:11" x14ac:dyDescent="0.25">
      <c r="C10317" s="6"/>
      <c r="G10317" s="6"/>
      <c r="K10317" s="6"/>
    </row>
    <row r="10318" spans="3:11" x14ac:dyDescent="0.25">
      <c r="C10318" s="6"/>
      <c r="G10318" s="6"/>
      <c r="K10318" s="6"/>
    </row>
    <row r="10319" spans="3:11" x14ac:dyDescent="0.25">
      <c r="C10319" s="6"/>
      <c r="G10319" s="6"/>
      <c r="K10319" s="6"/>
    </row>
    <row r="10320" spans="3:11" x14ac:dyDescent="0.25">
      <c r="C10320" s="6"/>
      <c r="G10320" s="6"/>
      <c r="K10320" s="6"/>
    </row>
    <row r="10321" spans="3:11" x14ac:dyDescent="0.25">
      <c r="C10321" s="6"/>
      <c r="G10321" s="6"/>
      <c r="K10321" s="6"/>
    </row>
    <row r="10322" spans="3:11" x14ac:dyDescent="0.25">
      <c r="C10322" s="6"/>
      <c r="G10322" s="6"/>
      <c r="K10322" s="6"/>
    </row>
    <row r="10323" spans="3:11" x14ac:dyDescent="0.25">
      <c r="C10323" s="6"/>
      <c r="G10323" s="6"/>
      <c r="K10323" s="6"/>
    </row>
    <row r="10324" spans="3:11" x14ac:dyDescent="0.25">
      <c r="C10324" s="6"/>
      <c r="G10324" s="6"/>
      <c r="K10324" s="6"/>
    </row>
    <row r="10325" spans="3:11" x14ac:dyDescent="0.25">
      <c r="C10325" s="6"/>
      <c r="G10325" s="6"/>
      <c r="K10325" s="6"/>
    </row>
    <row r="10326" spans="3:11" x14ac:dyDescent="0.25">
      <c r="C10326" s="6"/>
      <c r="G10326" s="6"/>
      <c r="K10326" s="6"/>
    </row>
    <row r="10327" spans="3:11" x14ac:dyDescent="0.25">
      <c r="C10327" s="6"/>
      <c r="G10327" s="6"/>
      <c r="K10327" s="6"/>
    </row>
    <row r="10328" spans="3:11" x14ac:dyDescent="0.25">
      <c r="C10328" s="6"/>
      <c r="G10328" s="6"/>
      <c r="K10328" s="6"/>
    </row>
    <row r="10329" spans="3:11" x14ac:dyDescent="0.25">
      <c r="C10329" s="6"/>
      <c r="G10329" s="6"/>
      <c r="K10329" s="6"/>
    </row>
    <row r="10330" spans="3:11" x14ac:dyDescent="0.25">
      <c r="C10330" s="6"/>
      <c r="G10330" s="6"/>
      <c r="K10330" s="6"/>
    </row>
    <row r="10331" spans="3:11" x14ac:dyDescent="0.25">
      <c r="C10331" s="6"/>
      <c r="G10331" s="6"/>
      <c r="K10331" s="6"/>
    </row>
    <row r="10332" spans="3:11" x14ac:dyDescent="0.25">
      <c r="C10332" s="6"/>
      <c r="G10332" s="6"/>
      <c r="K10332" s="6"/>
    </row>
    <row r="10333" spans="3:11" x14ac:dyDescent="0.25">
      <c r="C10333" s="6"/>
      <c r="G10333" s="6"/>
      <c r="K10333" s="6"/>
    </row>
    <row r="10334" spans="3:11" x14ac:dyDescent="0.25">
      <c r="C10334" s="6"/>
      <c r="G10334" s="6"/>
      <c r="K10334" s="6"/>
    </row>
    <row r="10335" spans="3:11" x14ac:dyDescent="0.25">
      <c r="C10335" s="6"/>
      <c r="G10335" s="6"/>
      <c r="K10335" s="6"/>
    </row>
    <row r="10336" spans="3:11" x14ac:dyDescent="0.25">
      <c r="C10336" s="6"/>
      <c r="G10336" s="6"/>
      <c r="K10336" s="6"/>
    </row>
    <row r="10337" spans="3:11" x14ac:dyDescent="0.25">
      <c r="C10337" s="6"/>
      <c r="G10337" s="6"/>
      <c r="K10337" s="6"/>
    </row>
    <row r="10338" spans="3:11" x14ac:dyDescent="0.25">
      <c r="C10338" s="6"/>
      <c r="G10338" s="6"/>
      <c r="K10338" s="6"/>
    </row>
    <row r="10339" spans="3:11" x14ac:dyDescent="0.25">
      <c r="C10339" s="6"/>
      <c r="G10339" s="6"/>
      <c r="K10339" s="6"/>
    </row>
    <row r="10340" spans="3:11" x14ac:dyDescent="0.25">
      <c r="C10340" s="6"/>
      <c r="G10340" s="6"/>
      <c r="K10340" s="6"/>
    </row>
    <row r="10341" spans="3:11" x14ac:dyDescent="0.25">
      <c r="C10341" s="6"/>
      <c r="G10341" s="6"/>
      <c r="K10341" s="6"/>
    </row>
    <row r="10342" spans="3:11" x14ac:dyDescent="0.25">
      <c r="C10342" s="6"/>
      <c r="G10342" s="6"/>
      <c r="K10342" s="6"/>
    </row>
    <row r="10343" spans="3:11" x14ac:dyDescent="0.25">
      <c r="C10343" s="6"/>
      <c r="G10343" s="6"/>
      <c r="K10343" s="6"/>
    </row>
    <row r="10344" spans="3:11" x14ac:dyDescent="0.25">
      <c r="C10344" s="6"/>
      <c r="G10344" s="6"/>
      <c r="K10344" s="6"/>
    </row>
    <row r="10345" spans="3:11" x14ac:dyDescent="0.25">
      <c r="C10345" s="6"/>
      <c r="G10345" s="6"/>
      <c r="K10345" s="6"/>
    </row>
    <row r="10346" spans="3:11" x14ac:dyDescent="0.25">
      <c r="C10346" s="6"/>
      <c r="G10346" s="6"/>
      <c r="K10346" s="6"/>
    </row>
    <row r="10347" spans="3:11" x14ac:dyDescent="0.25">
      <c r="C10347" s="6"/>
      <c r="G10347" s="6"/>
      <c r="K10347" s="6"/>
    </row>
    <row r="10348" spans="3:11" x14ac:dyDescent="0.25">
      <c r="C10348" s="6"/>
      <c r="G10348" s="6"/>
      <c r="K10348" s="6"/>
    </row>
    <row r="10349" spans="3:11" x14ac:dyDescent="0.25">
      <c r="C10349" s="6"/>
      <c r="G10349" s="6"/>
      <c r="K10349" s="6"/>
    </row>
    <row r="10350" spans="3:11" x14ac:dyDescent="0.25">
      <c r="C10350" s="6"/>
      <c r="G10350" s="6"/>
      <c r="K10350" s="6"/>
    </row>
    <row r="10351" spans="3:11" x14ac:dyDescent="0.25">
      <c r="C10351" s="6"/>
      <c r="G10351" s="6"/>
      <c r="K10351" s="6"/>
    </row>
    <row r="10352" spans="3:11" x14ac:dyDescent="0.25">
      <c r="C10352" s="6"/>
      <c r="G10352" s="6"/>
      <c r="K10352" s="6"/>
    </row>
    <row r="10353" spans="3:11" x14ac:dyDescent="0.25">
      <c r="C10353" s="6"/>
      <c r="G10353" s="6"/>
      <c r="K10353" s="6"/>
    </row>
    <row r="10354" spans="3:11" x14ac:dyDescent="0.25">
      <c r="C10354" s="6"/>
      <c r="G10354" s="6"/>
      <c r="K10354" s="6"/>
    </row>
    <row r="10355" spans="3:11" x14ac:dyDescent="0.25">
      <c r="C10355" s="6"/>
      <c r="G10355" s="6"/>
      <c r="K10355" s="6"/>
    </row>
    <row r="10356" spans="3:11" x14ac:dyDescent="0.25">
      <c r="C10356" s="6"/>
      <c r="G10356" s="6"/>
      <c r="K10356" s="6"/>
    </row>
    <row r="10357" spans="3:11" x14ac:dyDescent="0.25">
      <c r="C10357" s="6"/>
      <c r="G10357" s="6"/>
      <c r="K10357" s="6"/>
    </row>
    <row r="10358" spans="3:11" x14ac:dyDescent="0.25">
      <c r="C10358" s="6"/>
      <c r="G10358" s="6"/>
      <c r="K10358" s="6"/>
    </row>
    <row r="10359" spans="3:11" x14ac:dyDescent="0.25">
      <c r="C10359" s="6"/>
      <c r="G10359" s="6"/>
      <c r="K10359" s="6"/>
    </row>
    <row r="10360" spans="3:11" x14ac:dyDescent="0.25">
      <c r="C10360" s="6"/>
      <c r="G10360" s="6"/>
      <c r="K10360" s="6"/>
    </row>
    <row r="10361" spans="3:11" x14ac:dyDescent="0.25">
      <c r="C10361" s="6"/>
      <c r="G10361" s="6"/>
      <c r="K10361" s="6"/>
    </row>
    <row r="10362" spans="3:11" x14ac:dyDescent="0.25">
      <c r="C10362" s="6"/>
      <c r="G10362" s="6"/>
      <c r="K10362" s="6"/>
    </row>
    <row r="10363" spans="3:11" x14ac:dyDescent="0.25">
      <c r="C10363" s="6"/>
      <c r="G10363" s="6"/>
      <c r="K10363" s="6"/>
    </row>
    <row r="10364" spans="3:11" x14ac:dyDescent="0.25">
      <c r="C10364" s="6"/>
      <c r="G10364" s="6"/>
      <c r="K10364" s="6"/>
    </row>
    <row r="10365" spans="3:11" x14ac:dyDescent="0.25">
      <c r="C10365" s="6"/>
      <c r="G10365" s="6"/>
      <c r="K10365" s="6"/>
    </row>
    <row r="10366" spans="3:11" x14ac:dyDescent="0.25">
      <c r="C10366" s="6"/>
      <c r="G10366" s="6"/>
      <c r="K10366" s="6"/>
    </row>
    <row r="10367" spans="3:11" x14ac:dyDescent="0.25">
      <c r="C10367" s="6"/>
      <c r="G10367" s="6"/>
      <c r="K10367" s="6"/>
    </row>
    <row r="10368" spans="3:11" x14ac:dyDescent="0.25">
      <c r="C10368" s="6"/>
      <c r="G10368" s="6"/>
      <c r="K10368" s="6"/>
    </row>
    <row r="10369" spans="3:11" x14ac:dyDescent="0.25">
      <c r="C10369" s="6"/>
      <c r="G10369" s="6"/>
      <c r="K10369" s="6"/>
    </row>
    <row r="10370" spans="3:11" x14ac:dyDescent="0.25">
      <c r="C10370" s="6"/>
      <c r="G10370" s="6"/>
      <c r="K10370" s="6"/>
    </row>
    <row r="10371" spans="3:11" x14ac:dyDescent="0.25">
      <c r="C10371" s="6"/>
      <c r="G10371" s="6"/>
      <c r="K10371" s="6"/>
    </row>
    <row r="10372" spans="3:11" x14ac:dyDescent="0.25">
      <c r="C10372" s="6"/>
      <c r="G10372" s="6"/>
      <c r="K10372" s="6"/>
    </row>
    <row r="10373" spans="3:11" x14ac:dyDescent="0.25">
      <c r="C10373" s="6"/>
      <c r="G10373" s="6"/>
      <c r="K10373" s="6"/>
    </row>
    <row r="10374" spans="3:11" x14ac:dyDescent="0.25">
      <c r="C10374" s="6"/>
      <c r="G10374" s="6"/>
      <c r="K10374" s="6"/>
    </row>
    <row r="10375" spans="3:11" x14ac:dyDescent="0.25">
      <c r="C10375" s="6"/>
      <c r="G10375" s="6"/>
      <c r="K10375" s="6"/>
    </row>
    <row r="10376" spans="3:11" x14ac:dyDescent="0.25">
      <c r="C10376" s="6"/>
      <c r="G10376" s="6"/>
      <c r="K10376" s="6"/>
    </row>
    <row r="10377" spans="3:11" x14ac:dyDescent="0.25">
      <c r="C10377" s="6"/>
      <c r="G10377" s="6"/>
      <c r="K10377" s="6"/>
    </row>
    <row r="10378" spans="3:11" x14ac:dyDescent="0.25">
      <c r="C10378" s="6"/>
      <c r="G10378" s="6"/>
      <c r="K10378" s="6"/>
    </row>
    <row r="10379" spans="3:11" x14ac:dyDescent="0.25">
      <c r="C10379" s="6"/>
      <c r="G10379" s="6"/>
      <c r="K10379" s="6"/>
    </row>
    <row r="10380" spans="3:11" x14ac:dyDescent="0.25">
      <c r="C10380" s="6"/>
      <c r="G10380" s="6"/>
      <c r="K10380" s="6"/>
    </row>
    <row r="10381" spans="3:11" x14ac:dyDescent="0.25">
      <c r="C10381" s="6"/>
      <c r="G10381" s="6"/>
      <c r="K10381" s="6"/>
    </row>
    <row r="10382" spans="3:11" x14ac:dyDescent="0.25">
      <c r="C10382" s="6"/>
      <c r="G10382" s="6"/>
      <c r="K10382" s="6"/>
    </row>
    <row r="10383" spans="3:11" x14ac:dyDescent="0.25">
      <c r="C10383" s="6"/>
      <c r="G10383" s="6"/>
      <c r="K10383" s="6"/>
    </row>
    <row r="10384" spans="3:11" x14ac:dyDescent="0.25">
      <c r="C10384" s="6"/>
      <c r="G10384" s="6"/>
      <c r="K10384" s="6"/>
    </row>
    <row r="10385" spans="3:11" x14ac:dyDescent="0.25">
      <c r="C10385" s="6"/>
      <c r="G10385" s="6"/>
      <c r="K10385" s="6"/>
    </row>
    <row r="10386" spans="3:11" x14ac:dyDescent="0.25">
      <c r="C10386" s="6"/>
      <c r="G10386" s="6"/>
      <c r="K10386" s="6"/>
    </row>
    <row r="10387" spans="3:11" x14ac:dyDescent="0.25">
      <c r="C10387" s="6"/>
      <c r="G10387" s="6"/>
      <c r="K10387" s="6"/>
    </row>
    <row r="10388" spans="3:11" x14ac:dyDescent="0.25">
      <c r="C10388" s="6"/>
      <c r="G10388" s="6"/>
      <c r="K10388" s="6"/>
    </row>
    <row r="10389" spans="3:11" x14ac:dyDescent="0.25">
      <c r="C10389" s="6"/>
      <c r="G10389" s="6"/>
      <c r="K10389" s="6"/>
    </row>
    <row r="10390" spans="3:11" x14ac:dyDescent="0.25">
      <c r="C10390" s="6"/>
      <c r="G10390" s="6"/>
      <c r="K10390" s="6"/>
    </row>
    <row r="10391" spans="3:11" x14ac:dyDescent="0.25">
      <c r="C10391" s="6"/>
      <c r="G10391" s="6"/>
      <c r="K10391" s="6"/>
    </row>
    <row r="10392" spans="3:11" x14ac:dyDescent="0.25">
      <c r="C10392" s="6"/>
      <c r="G10392" s="6"/>
      <c r="K10392" s="6"/>
    </row>
    <row r="10393" spans="3:11" x14ac:dyDescent="0.25">
      <c r="C10393" s="6"/>
      <c r="G10393" s="6"/>
      <c r="K10393" s="6"/>
    </row>
    <row r="10394" spans="3:11" x14ac:dyDescent="0.25">
      <c r="C10394" s="6"/>
      <c r="G10394" s="6"/>
      <c r="K10394" s="6"/>
    </row>
    <row r="10395" spans="3:11" x14ac:dyDescent="0.25">
      <c r="C10395" s="6"/>
      <c r="G10395" s="6"/>
      <c r="K10395" s="6"/>
    </row>
    <row r="10396" spans="3:11" x14ac:dyDescent="0.25">
      <c r="C10396" s="6"/>
      <c r="G10396" s="6"/>
      <c r="K10396" s="6"/>
    </row>
    <row r="10397" spans="3:11" x14ac:dyDescent="0.25">
      <c r="C10397" s="6"/>
      <c r="G10397" s="6"/>
      <c r="K10397" s="6"/>
    </row>
    <row r="10398" spans="3:11" x14ac:dyDescent="0.25">
      <c r="C10398" s="6"/>
      <c r="G10398" s="6"/>
      <c r="K10398" s="6"/>
    </row>
    <row r="10399" spans="3:11" x14ac:dyDescent="0.25">
      <c r="C10399" s="6"/>
      <c r="G10399" s="6"/>
      <c r="K10399" s="6"/>
    </row>
    <row r="10400" spans="3:11" x14ac:dyDescent="0.25">
      <c r="C10400" s="6"/>
      <c r="G10400" s="6"/>
      <c r="K10400" s="6"/>
    </row>
    <row r="10401" spans="3:11" x14ac:dyDescent="0.25">
      <c r="C10401" s="6"/>
      <c r="G10401" s="6"/>
      <c r="K10401" s="6"/>
    </row>
    <row r="10402" spans="3:11" x14ac:dyDescent="0.25">
      <c r="C10402" s="6"/>
      <c r="G10402" s="6"/>
      <c r="K10402" s="6"/>
    </row>
    <row r="10403" spans="3:11" x14ac:dyDescent="0.25">
      <c r="C10403" s="6"/>
      <c r="G10403" s="6"/>
      <c r="K10403" s="6"/>
    </row>
    <row r="10404" spans="3:11" x14ac:dyDescent="0.25">
      <c r="C10404" s="6"/>
      <c r="G10404" s="6"/>
      <c r="K10404" s="6"/>
    </row>
    <row r="10405" spans="3:11" x14ac:dyDescent="0.25">
      <c r="C10405" s="6"/>
      <c r="G10405" s="6"/>
      <c r="K10405" s="6"/>
    </row>
    <row r="10406" spans="3:11" x14ac:dyDescent="0.25">
      <c r="C10406" s="6"/>
      <c r="G10406" s="6"/>
      <c r="K10406" s="6"/>
    </row>
    <row r="10407" spans="3:11" x14ac:dyDescent="0.25">
      <c r="C10407" s="6"/>
      <c r="G10407" s="6"/>
      <c r="K10407" s="6"/>
    </row>
    <row r="10408" spans="3:11" x14ac:dyDescent="0.25">
      <c r="C10408" s="6"/>
      <c r="G10408" s="6"/>
      <c r="K10408" s="6"/>
    </row>
    <row r="10409" spans="3:11" x14ac:dyDescent="0.25">
      <c r="C10409" s="6"/>
      <c r="G10409" s="6"/>
      <c r="K10409" s="6"/>
    </row>
    <row r="10410" spans="3:11" x14ac:dyDescent="0.25">
      <c r="C10410" s="6"/>
      <c r="G10410" s="6"/>
      <c r="K10410" s="6"/>
    </row>
    <row r="10411" spans="3:11" x14ac:dyDescent="0.25">
      <c r="C10411" s="6"/>
      <c r="G10411" s="6"/>
      <c r="K10411" s="6"/>
    </row>
    <row r="10412" spans="3:11" x14ac:dyDescent="0.25">
      <c r="C10412" s="6"/>
      <c r="G10412" s="6"/>
      <c r="K10412" s="6"/>
    </row>
    <row r="10413" spans="3:11" x14ac:dyDescent="0.25">
      <c r="C10413" s="6"/>
      <c r="G10413" s="6"/>
      <c r="K10413" s="6"/>
    </row>
    <row r="10414" spans="3:11" x14ac:dyDescent="0.25">
      <c r="C10414" s="6"/>
      <c r="G10414" s="6"/>
      <c r="K10414" s="6"/>
    </row>
    <row r="10415" spans="3:11" x14ac:dyDescent="0.25">
      <c r="C10415" s="6"/>
      <c r="G10415" s="6"/>
      <c r="K10415" s="6"/>
    </row>
    <row r="10416" spans="3:11" x14ac:dyDescent="0.25">
      <c r="C10416" s="6"/>
      <c r="G10416" s="6"/>
      <c r="K10416" s="6"/>
    </row>
    <row r="10417" spans="3:11" x14ac:dyDescent="0.25">
      <c r="C10417" s="6"/>
      <c r="G10417" s="6"/>
      <c r="K10417" s="6"/>
    </row>
    <row r="10418" spans="3:11" x14ac:dyDescent="0.25">
      <c r="C10418" s="6"/>
      <c r="G10418" s="6"/>
      <c r="K10418" s="6"/>
    </row>
    <row r="10419" spans="3:11" x14ac:dyDescent="0.25">
      <c r="C10419" s="6"/>
      <c r="G10419" s="6"/>
      <c r="K10419" s="6"/>
    </row>
    <row r="10420" spans="3:11" x14ac:dyDescent="0.25">
      <c r="C10420" s="6"/>
      <c r="G10420" s="6"/>
      <c r="K10420" s="6"/>
    </row>
    <row r="10421" spans="3:11" x14ac:dyDescent="0.25">
      <c r="C10421" s="6"/>
      <c r="G10421" s="6"/>
      <c r="K10421" s="6"/>
    </row>
    <row r="10422" spans="3:11" x14ac:dyDescent="0.25">
      <c r="C10422" s="6"/>
      <c r="G10422" s="6"/>
      <c r="K10422" s="6"/>
    </row>
    <row r="10423" spans="3:11" x14ac:dyDescent="0.25">
      <c r="C10423" s="6"/>
      <c r="G10423" s="6"/>
      <c r="K10423" s="6"/>
    </row>
    <row r="10424" spans="3:11" x14ac:dyDescent="0.25">
      <c r="C10424" s="6"/>
      <c r="G10424" s="6"/>
      <c r="K10424" s="6"/>
    </row>
    <row r="10425" spans="3:11" x14ac:dyDescent="0.25">
      <c r="C10425" s="6"/>
      <c r="G10425" s="6"/>
      <c r="K10425" s="6"/>
    </row>
    <row r="10426" spans="3:11" x14ac:dyDescent="0.25">
      <c r="C10426" s="6"/>
      <c r="G10426" s="6"/>
      <c r="K10426" s="6"/>
    </row>
    <row r="10427" spans="3:11" x14ac:dyDescent="0.25">
      <c r="C10427" s="6"/>
      <c r="G10427" s="6"/>
      <c r="K10427" s="6"/>
    </row>
    <row r="10428" spans="3:11" x14ac:dyDescent="0.25">
      <c r="C10428" s="6"/>
      <c r="G10428" s="6"/>
      <c r="K10428" s="6"/>
    </row>
    <row r="10429" spans="3:11" x14ac:dyDescent="0.25">
      <c r="C10429" s="6"/>
      <c r="G10429" s="6"/>
      <c r="K10429" s="6"/>
    </row>
    <row r="10430" spans="3:11" x14ac:dyDescent="0.25">
      <c r="C10430" s="6"/>
      <c r="G10430" s="6"/>
      <c r="K10430" s="6"/>
    </row>
    <row r="10431" spans="3:11" x14ac:dyDescent="0.25">
      <c r="C10431" s="6"/>
      <c r="G10431" s="6"/>
      <c r="K10431" s="6"/>
    </row>
    <row r="10432" spans="3:11" x14ac:dyDescent="0.25">
      <c r="C10432" s="6"/>
      <c r="G10432" s="6"/>
      <c r="K10432" s="6"/>
    </row>
    <row r="10433" spans="3:11" x14ac:dyDescent="0.25">
      <c r="C10433" s="6"/>
      <c r="G10433" s="6"/>
      <c r="K10433" s="6"/>
    </row>
    <row r="10434" spans="3:11" x14ac:dyDescent="0.25">
      <c r="C10434" s="6"/>
      <c r="G10434" s="6"/>
      <c r="K10434" s="6"/>
    </row>
    <row r="10435" spans="3:11" x14ac:dyDescent="0.25">
      <c r="C10435" s="6"/>
      <c r="G10435" s="6"/>
      <c r="K10435" s="6"/>
    </row>
    <row r="10436" spans="3:11" x14ac:dyDescent="0.25">
      <c r="C10436" s="6"/>
      <c r="G10436" s="6"/>
      <c r="K10436" s="6"/>
    </row>
    <row r="10437" spans="3:11" x14ac:dyDescent="0.25">
      <c r="C10437" s="6"/>
      <c r="G10437" s="6"/>
      <c r="K10437" s="6"/>
    </row>
    <row r="10438" spans="3:11" x14ac:dyDescent="0.25">
      <c r="C10438" s="6"/>
      <c r="G10438" s="6"/>
      <c r="K10438" s="6"/>
    </row>
    <row r="10439" spans="3:11" x14ac:dyDescent="0.25">
      <c r="C10439" s="6"/>
      <c r="G10439" s="6"/>
      <c r="K10439" s="6"/>
    </row>
    <row r="10440" spans="3:11" x14ac:dyDescent="0.25">
      <c r="C10440" s="6"/>
      <c r="G10440" s="6"/>
      <c r="K10440" s="6"/>
    </row>
    <row r="10441" spans="3:11" x14ac:dyDescent="0.25">
      <c r="C10441" s="6"/>
      <c r="G10441" s="6"/>
      <c r="K10441" s="6"/>
    </row>
    <row r="10442" spans="3:11" x14ac:dyDescent="0.25">
      <c r="C10442" s="6"/>
      <c r="G10442" s="6"/>
      <c r="K10442" s="6"/>
    </row>
    <row r="10443" spans="3:11" x14ac:dyDescent="0.25">
      <c r="C10443" s="6"/>
      <c r="G10443" s="6"/>
      <c r="K10443" s="6"/>
    </row>
    <row r="10444" spans="3:11" x14ac:dyDescent="0.25">
      <c r="C10444" s="6"/>
      <c r="G10444" s="6"/>
      <c r="K10444" s="6"/>
    </row>
    <row r="10445" spans="3:11" x14ac:dyDescent="0.25">
      <c r="C10445" s="6"/>
      <c r="G10445" s="6"/>
      <c r="K10445" s="6"/>
    </row>
    <row r="10446" spans="3:11" x14ac:dyDescent="0.25">
      <c r="C10446" s="6"/>
      <c r="G10446" s="6"/>
      <c r="K10446" s="6"/>
    </row>
    <row r="10447" spans="3:11" x14ac:dyDescent="0.25">
      <c r="C10447" s="6"/>
      <c r="G10447" s="6"/>
      <c r="K10447" s="6"/>
    </row>
    <row r="10448" spans="3:11" x14ac:dyDescent="0.25">
      <c r="C10448" s="6"/>
      <c r="G10448" s="6"/>
      <c r="K10448" s="6"/>
    </row>
    <row r="10449" spans="3:11" x14ac:dyDescent="0.25">
      <c r="C10449" s="6"/>
      <c r="G10449" s="6"/>
      <c r="K10449" s="6"/>
    </row>
    <row r="10450" spans="3:11" x14ac:dyDescent="0.25">
      <c r="C10450" s="6"/>
      <c r="G10450" s="6"/>
      <c r="K10450" s="6"/>
    </row>
    <row r="10451" spans="3:11" x14ac:dyDescent="0.25">
      <c r="C10451" s="6"/>
      <c r="G10451" s="6"/>
      <c r="K10451" s="6"/>
    </row>
    <row r="10452" spans="3:11" x14ac:dyDescent="0.25">
      <c r="C10452" s="6"/>
      <c r="G10452" s="6"/>
      <c r="K10452" s="6"/>
    </row>
    <row r="10453" spans="3:11" x14ac:dyDescent="0.25">
      <c r="C10453" s="6"/>
      <c r="G10453" s="6"/>
      <c r="K10453" s="6"/>
    </row>
    <row r="10454" spans="3:11" x14ac:dyDescent="0.25">
      <c r="C10454" s="6"/>
      <c r="G10454" s="6"/>
      <c r="K10454" s="6"/>
    </row>
    <row r="10455" spans="3:11" x14ac:dyDescent="0.25">
      <c r="C10455" s="6"/>
      <c r="G10455" s="6"/>
      <c r="K10455" s="6"/>
    </row>
    <row r="10456" spans="3:11" x14ac:dyDescent="0.25">
      <c r="C10456" s="6"/>
      <c r="G10456" s="6"/>
      <c r="K10456" s="6"/>
    </row>
    <row r="10457" spans="3:11" x14ac:dyDescent="0.25">
      <c r="C10457" s="6"/>
      <c r="G10457" s="6"/>
      <c r="K10457" s="6"/>
    </row>
    <row r="10458" spans="3:11" x14ac:dyDescent="0.25">
      <c r="C10458" s="6"/>
      <c r="G10458" s="6"/>
      <c r="K10458" s="6"/>
    </row>
    <row r="10459" spans="3:11" x14ac:dyDescent="0.25">
      <c r="C10459" s="6"/>
      <c r="G10459" s="6"/>
      <c r="K10459" s="6"/>
    </row>
    <row r="10460" spans="3:11" x14ac:dyDescent="0.25">
      <c r="C10460" s="6"/>
      <c r="G10460" s="6"/>
      <c r="K10460" s="6"/>
    </row>
    <row r="10461" spans="3:11" x14ac:dyDescent="0.25">
      <c r="C10461" s="6"/>
      <c r="G10461" s="6"/>
      <c r="K10461" s="6"/>
    </row>
    <row r="10462" spans="3:11" x14ac:dyDescent="0.25">
      <c r="C10462" s="6"/>
      <c r="G10462" s="6"/>
      <c r="K10462" s="6"/>
    </row>
    <row r="10463" spans="3:11" x14ac:dyDescent="0.25">
      <c r="C10463" s="6"/>
      <c r="G10463" s="6"/>
      <c r="K10463" s="6"/>
    </row>
    <row r="10464" spans="3:11" x14ac:dyDescent="0.25">
      <c r="C10464" s="6"/>
      <c r="G10464" s="6"/>
      <c r="K10464" s="6"/>
    </row>
    <row r="10465" spans="3:11" x14ac:dyDescent="0.25">
      <c r="C10465" s="6"/>
      <c r="G10465" s="6"/>
      <c r="K10465" s="6"/>
    </row>
    <row r="10466" spans="3:11" x14ac:dyDescent="0.25">
      <c r="C10466" s="6"/>
      <c r="G10466" s="6"/>
      <c r="K10466" s="6"/>
    </row>
    <row r="10467" spans="3:11" x14ac:dyDescent="0.25">
      <c r="C10467" s="6"/>
      <c r="G10467" s="6"/>
      <c r="K10467" s="6"/>
    </row>
    <row r="10468" spans="3:11" x14ac:dyDescent="0.25">
      <c r="C10468" s="6"/>
      <c r="G10468" s="6"/>
      <c r="K10468" s="6"/>
    </row>
    <row r="10469" spans="3:11" x14ac:dyDescent="0.25">
      <c r="C10469" s="6"/>
      <c r="G10469" s="6"/>
      <c r="K10469" s="6"/>
    </row>
    <row r="10470" spans="3:11" x14ac:dyDescent="0.25">
      <c r="C10470" s="6"/>
      <c r="G10470" s="6"/>
      <c r="K10470" s="6"/>
    </row>
    <row r="10471" spans="3:11" x14ac:dyDescent="0.25">
      <c r="C10471" s="6"/>
      <c r="G10471" s="6"/>
      <c r="K10471" s="6"/>
    </row>
    <row r="10472" spans="3:11" x14ac:dyDescent="0.25">
      <c r="C10472" s="6"/>
      <c r="G10472" s="6"/>
      <c r="K10472" s="6"/>
    </row>
    <row r="10473" spans="3:11" x14ac:dyDescent="0.25">
      <c r="C10473" s="6"/>
      <c r="G10473" s="6"/>
      <c r="K10473" s="6"/>
    </row>
    <row r="10474" spans="3:11" x14ac:dyDescent="0.25">
      <c r="C10474" s="6"/>
      <c r="G10474" s="6"/>
      <c r="K10474" s="6"/>
    </row>
    <row r="10475" spans="3:11" x14ac:dyDescent="0.25">
      <c r="C10475" s="6"/>
      <c r="G10475" s="6"/>
      <c r="K10475" s="6"/>
    </row>
    <row r="10476" spans="3:11" x14ac:dyDescent="0.25">
      <c r="C10476" s="6"/>
      <c r="G10476" s="6"/>
      <c r="K10476" s="6"/>
    </row>
    <row r="10477" spans="3:11" x14ac:dyDescent="0.25">
      <c r="C10477" s="6"/>
      <c r="G10477" s="6"/>
      <c r="K10477" s="6"/>
    </row>
    <row r="10478" spans="3:11" x14ac:dyDescent="0.25">
      <c r="C10478" s="6"/>
      <c r="G10478" s="6"/>
      <c r="K10478" s="6"/>
    </row>
    <row r="10479" spans="3:11" x14ac:dyDescent="0.25">
      <c r="C10479" s="6"/>
      <c r="G10479" s="6"/>
      <c r="K10479" s="6"/>
    </row>
    <row r="10480" spans="3:11" x14ac:dyDescent="0.25">
      <c r="C10480" s="6"/>
      <c r="G10480" s="6"/>
      <c r="K10480" s="6"/>
    </row>
    <row r="10481" spans="3:11" x14ac:dyDescent="0.25">
      <c r="C10481" s="6"/>
      <c r="G10481" s="6"/>
      <c r="K10481" s="6"/>
    </row>
    <row r="10482" spans="3:11" x14ac:dyDescent="0.25">
      <c r="C10482" s="6"/>
      <c r="G10482" s="6"/>
      <c r="K10482" s="6"/>
    </row>
    <row r="10483" spans="3:11" x14ac:dyDescent="0.25">
      <c r="C10483" s="6"/>
      <c r="G10483" s="6"/>
      <c r="K10483" s="6"/>
    </row>
    <row r="10484" spans="3:11" x14ac:dyDescent="0.25">
      <c r="C10484" s="6"/>
      <c r="G10484" s="6"/>
      <c r="K10484" s="6"/>
    </row>
    <row r="10485" spans="3:11" x14ac:dyDescent="0.25">
      <c r="C10485" s="6"/>
      <c r="G10485" s="6"/>
      <c r="K10485" s="6"/>
    </row>
    <row r="10486" spans="3:11" x14ac:dyDescent="0.25">
      <c r="C10486" s="6"/>
      <c r="G10486" s="6"/>
      <c r="K10486" s="6"/>
    </row>
    <row r="10487" spans="3:11" x14ac:dyDescent="0.25">
      <c r="C10487" s="6"/>
      <c r="G10487" s="6"/>
      <c r="K10487" s="6"/>
    </row>
    <row r="10488" spans="3:11" x14ac:dyDescent="0.25">
      <c r="C10488" s="6"/>
      <c r="G10488" s="6"/>
      <c r="K10488" s="6"/>
    </row>
    <row r="10489" spans="3:11" x14ac:dyDescent="0.25">
      <c r="C10489" s="6"/>
      <c r="G10489" s="6"/>
      <c r="K10489" s="6"/>
    </row>
    <row r="10490" spans="3:11" x14ac:dyDescent="0.25">
      <c r="C10490" s="6"/>
      <c r="G10490" s="6"/>
      <c r="K10490" s="6"/>
    </row>
    <row r="10491" spans="3:11" x14ac:dyDescent="0.25">
      <c r="C10491" s="6"/>
      <c r="G10491" s="6"/>
      <c r="K10491" s="6"/>
    </row>
    <row r="10492" spans="3:11" x14ac:dyDescent="0.25">
      <c r="C10492" s="6"/>
      <c r="G10492" s="6"/>
      <c r="K10492" s="6"/>
    </row>
    <row r="10493" spans="3:11" x14ac:dyDescent="0.25">
      <c r="C10493" s="6"/>
      <c r="G10493" s="6"/>
      <c r="K10493" s="6"/>
    </row>
    <row r="10494" spans="3:11" x14ac:dyDescent="0.25">
      <c r="C10494" s="6"/>
      <c r="G10494" s="6"/>
      <c r="K10494" s="6"/>
    </row>
    <row r="10495" spans="3:11" x14ac:dyDescent="0.25">
      <c r="C10495" s="6"/>
      <c r="G10495" s="6"/>
      <c r="K10495" s="6"/>
    </row>
    <row r="10496" spans="3:11" x14ac:dyDescent="0.25">
      <c r="C10496" s="6"/>
      <c r="G10496" s="6"/>
      <c r="K10496" s="6"/>
    </row>
    <row r="10497" spans="3:11" x14ac:dyDescent="0.25">
      <c r="C10497" s="6"/>
      <c r="G10497" s="6"/>
      <c r="K10497" s="6"/>
    </row>
    <row r="10498" spans="3:11" x14ac:dyDescent="0.25">
      <c r="C10498" s="6"/>
      <c r="G10498" s="6"/>
      <c r="K10498" s="6"/>
    </row>
    <row r="10499" spans="3:11" x14ac:dyDescent="0.25">
      <c r="C10499" s="6"/>
      <c r="G10499" s="6"/>
      <c r="K10499" s="6"/>
    </row>
    <row r="10500" spans="3:11" x14ac:dyDescent="0.25">
      <c r="C10500" s="6"/>
      <c r="G10500" s="6"/>
      <c r="K10500" s="6"/>
    </row>
    <row r="10501" spans="3:11" x14ac:dyDescent="0.25">
      <c r="C10501" s="6"/>
      <c r="G10501" s="6"/>
      <c r="K10501" s="6"/>
    </row>
    <row r="10502" spans="3:11" x14ac:dyDescent="0.25">
      <c r="C10502" s="6"/>
      <c r="G10502" s="6"/>
      <c r="K10502" s="6"/>
    </row>
    <row r="10503" spans="3:11" x14ac:dyDescent="0.25">
      <c r="C10503" s="6"/>
      <c r="G10503" s="6"/>
      <c r="K10503" s="6"/>
    </row>
    <row r="10504" spans="3:11" x14ac:dyDescent="0.25">
      <c r="C10504" s="6"/>
      <c r="G10504" s="6"/>
      <c r="K10504" s="6"/>
    </row>
    <row r="10505" spans="3:11" x14ac:dyDescent="0.25">
      <c r="C10505" s="6"/>
      <c r="G10505" s="6"/>
      <c r="K10505" s="6"/>
    </row>
    <row r="10506" spans="3:11" x14ac:dyDescent="0.25">
      <c r="C10506" s="6"/>
      <c r="G10506" s="6"/>
      <c r="K10506" s="6"/>
    </row>
    <row r="10507" spans="3:11" x14ac:dyDescent="0.25">
      <c r="C10507" s="6"/>
      <c r="G10507" s="6"/>
      <c r="K10507" s="6"/>
    </row>
    <row r="10508" spans="3:11" x14ac:dyDescent="0.25">
      <c r="C10508" s="6"/>
      <c r="G10508" s="6"/>
      <c r="K10508" s="6"/>
    </row>
    <row r="10509" spans="3:11" x14ac:dyDescent="0.25">
      <c r="C10509" s="6"/>
      <c r="G10509" s="6"/>
      <c r="K10509" s="6"/>
    </row>
    <row r="10510" spans="3:11" x14ac:dyDescent="0.25">
      <c r="C10510" s="6"/>
      <c r="G10510" s="6"/>
      <c r="K10510" s="6"/>
    </row>
    <row r="10511" spans="3:11" x14ac:dyDescent="0.25">
      <c r="C10511" s="6"/>
      <c r="G10511" s="6"/>
      <c r="K10511" s="6"/>
    </row>
    <row r="10512" spans="3:11" x14ac:dyDescent="0.25">
      <c r="C10512" s="6"/>
      <c r="G10512" s="6"/>
      <c r="K10512" s="6"/>
    </row>
    <row r="10513" spans="3:11" x14ac:dyDescent="0.25">
      <c r="C10513" s="6"/>
      <c r="G10513" s="6"/>
      <c r="K10513" s="6"/>
    </row>
    <row r="10514" spans="3:11" x14ac:dyDescent="0.25">
      <c r="C10514" s="6"/>
      <c r="G10514" s="6"/>
      <c r="K10514" s="6"/>
    </row>
    <row r="10515" spans="3:11" x14ac:dyDescent="0.25">
      <c r="C10515" s="6"/>
      <c r="G10515" s="6"/>
      <c r="K10515" s="6"/>
    </row>
    <row r="10516" spans="3:11" x14ac:dyDescent="0.25">
      <c r="C10516" s="6"/>
      <c r="G10516" s="6"/>
      <c r="K10516" s="6"/>
    </row>
    <row r="10517" spans="3:11" x14ac:dyDescent="0.25">
      <c r="C10517" s="6"/>
      <c r="G10517" s="6"/>
      <c r="K10517" s="6"/>
    </row>
    <row r="10518" spans="3:11" x14ac:dyDescent="0.25">
      <c r="C10518" s="6"/>
      <c r="G10518" s="6"/>
      <c r="K10518" s="6"/>
    </row>
    <row r="10519" spans="3:11" x14ac:dyDescent="0.25">
      <c r="C10519" s="6"/>
      <c r="G10519" s="6"/>
      <c r="K10519" s="6"/>
    </row>
    <row r="10520" spans="3:11" x14ac:dyDescent="0.25">
      <c r="C10520" s="6"/>
      <c r="G10520" s="6"/>
      <c r="K10520" s="6"/>
    </row>
    <row r="10521" spans="3:11" x14ac:dyDescent="0.25">
      <c r="C10521" s="6"/>
      <c r="G10521" s="6"/>
      <c r="K10521" s="6"/>
    </row>
    <row r="10522" spans="3:11" x14ac:dyDescent="0.25">
      <c r="C10522" s="6"/>
      <c r="G10522" s="6"/>
      <c r="K10522" s="6"/>
    </row>
    <row r="10523" spans="3:11" x14ac:dyDescent="0.25">
      <c r="C10523" s="6"/>
      <c r="G10523" s="6"/>
      <c r="K10523" s="6"/>
    </row>
    <row r="10524" spans="3:11" x14ac:dyDescent="0.25">
      <c r="C10524" s="6"/>
      <c r="G10524" s="6"/>
      <c r="K10524" s="6"/>
    </row>
    <row r="10525" spans="3:11" x14ac:dyDescent="0.25">
      <c r="C10525" s="6"/>
      <c r="G10525" s="6"/>
      <c r="K10525" s="6"/>
    </row>
    <row r="10526" spans="3:11" x14ac:dyDescent="0.25">
      <c r="C10526" s="6"/>
      <c r="G10526" s="6"/>
      <c r="K10526" s="6"/>
    </row>
    <row r="10527" spans="3:11" x14ac:dyDescent="0.25">
      <c r="C10527" s="6"/>
      <c r="G10527" s="6"/>
      <c r="K10527" s="6"/>
    </row>
    <row r="10528" spans="3:11" x14ac:dyDescent="0.25">
      <c r="C10528" s="6"/>
      <c r="G10528" s="6"/>
      <c r="K10528" s="6"/>
    </row>
    <row r="10529" spans="3:11" x14ac:dyDescent="0.25">
      <c r="C10529" s="6"/>
      <c r="G10529" s="6"/>
      <c r="K10529" s="6"/>
    </row>
    <row r="10530" spans="3:11" x14ac:dyDescent="0.25">
      <c r="C10530" s="6"/>
      <c r="G10530" s="6"/>
      <c r="K10530" s="6"/>
    </row>
    <row r="10531" spans="3:11" x14ac:dyDescent="0.25">
      <c r="C10531" s="6"/>
      <c r="G10531" s="6"/>
      <c r="K10531" s="6"/>
    </row>
    <row r="10532" spans="3:11" x14ac:dyDescent="0.25">
      <c r="C10532" s="6"/>
      <c r="G10532" s="6"/>
      <c r="K10532" s="6"/>
    </row>
    <row r="10533" spans="3:11" x14ac:dyDescent="0.25">
      <c r="C10533" s="6"/>
      <c r="G10533" s="6"/>
      <c r="K10533" s="6"/>
    </row>
    <row r="10534" spans="3:11" x14ac:dyDescent="0.25">
      <c r="C10534" s="6"/>
      <c r="G10534" s="6"/>
      <c r="K10534" s="6"/>
    </row>
    <row r="10535" spans="3:11" x14ac:dyDescent="0.25">
      <c r="C10535" s="6"/>
      <c r="G10535" s="6"/>
      <c r="K10535" s="6"/>
    </row>
    <row r="10536" spans="3:11" x14ac:dyDescent="0.25">
      <c r="C10536" s="6"/>
      <c r="G10536" s="6"/>
      <c r="K10536" s="6"/>
    </row>
    <row r="10537" spans="3:11" x14ac:dyDescent="0.25">
      <c r="C10537" s="6"/>
      <c r="G10537" s="6"/>
      <c r="K10537" s="6"/>
    </row>
    <row r="10538" spans="3:11" x14ac:dyDescent="0.25">
      <c r="C10538" s="6"/>
      <c r="G10538" s="6"/>
      <c r="K10538" s="6"/>
    </row>
    <row r="10539" spans="3:11" x14ac:dyDescent="0.25">
      <c r="C10539" s="6"/>
      <c r="G10539" s="6"/>
      <c r="K10539" s="6"/>
    </row>
    <row r="10540" spans="3:11" x14ac:dyDescent="0.25">
      <c r="C10540" s="6"/>
      <c r="G10540" s="6"/>
      <c r="K10540" s="6"/>
    </row>
    <row r="10541" spans="3:11" x14ac:dyDescent="0.25">
      <c r="C10541" s="6"/>
      <c r="G10541" s="6"/>
      <c r="K10541" s="6"/>
    </row>
    <row r="10542" spans="3:11" x14ac:dyDescent="0.25">
      <c r="C10542" s="6"/>
      <c r="G10542" s="6"/>
      <c r="K10542" s="6"/>
    </row>
    <row r="10543" spans="3:11" x14ac:dyDescent="0.25">
      <c r="C10543" s="6"/>
      <c r="G10543" s="6"/>
      <c r="K10543" s="6"/>
    </row>
    <row r="10544" spans="3:11" x14ac:dyDescent="0.25">
      <c r="C10544" s="6"/>
      <c r="G10544" s="6"/>
      <c r="K10544" s="6"/>
    </row>
    <row r="10545" spans="3:11" x14ac:dyDescent="0.25">
      <c r="C10545" s="6"/>
      <c r="G10545" s="6"/>
      <c r="K10545" s="6"/>
    </row>
    <row r="10546" spans="3:11" x14ac:dyDescent="0.25">
      <c r="C10546" s="6"/>
      <c r="G10546" s="6"/>
      <c r="K10546" s="6"/>
    </row>
    <row r="10547" spans="3:11" x14ac:dyDescent="0.25">
      <c r="C10547" s="6"/>
      <c r="G10547" s="6"/>
      <c r="K10547" s="6"/>
    </row>
    <row r="10548" spans="3:11" x14ac:dyDescent="0.25">
      <c r="C10548" s="6"/>
      <c r="G10548" s="6"/>
      <c r="K10548" s="6"/>
    </row>
    <row r="10549" spans="3:11" x14ac:dyDescent="0.25">
      <c r="C10549" s="6"/>
      <c r="G10549" s="6"/>
      <c r="K10549" s="6"/>
    </row>
    <row r="10550" spans="3:11" x14ac:dyDescent="0.25">
      <c r="C10550" s="6"/>
      <c r="G10550" s="6"/>
      <c r="K10550" s="6"/>
    </row>
    <row r="10551" spans="3:11" x14ac:dyDescent="0.25">
      <c r="C10551" s="6"/>
      <c r="G10551" s="6"/>
      <c r="K10551" s="6"/>
    </row>
    <row r="10552" spans="3:11" x14ac:dyDescent="0.25">
      <c r="C10552" s="6"/>
      <c r="G10552" s="6"/>
      <c r="K10552" s="6"/>
    </row>
    <row r="10553" spans="3:11" x14ac:dyDescent="0.25">
      <c r="C10553" s="6"/>
      <c r="G10553" s="6"/>
      <c r="K10553" s="6"/>
    </row>
    <row r="10554" spans="3:11" x14ac:dyDescent="0.25">
      <c r="C10554" s="6"/>
      <c r="G10554" s="6"/>
      <c r="K10554" s="6"/>
    </row>
    <row r="10555" spans="3:11" x14ac:dyDescent="0.25">
      <c r="C10555" s="6"/>
      <c r="G10555" s="6"/>
      <c r="K10555" s="6"/>
    </row>
    <row r="10556" spans="3:11" x14ac:dyDescent="0.25">
      <c r="C10556" s="6"/>
      <c r="G10556" s="6"/>
      <c r="K10556" s="6"/>
    </row>
    <row r="10557" spans="3:11" x14ac:dyDescent="0.25">
      <c r="C10557" s="6"/>
      <c r="G10557" s="6"/>
      <c r="K10557" s="6"/>
    </row>
    <row r="10558" spans="3:11" x14ac:dyDescent="0.25">
      <c r="C10558" s="6"/>
      <c r="G10558" s="6"/>
      <c r="K10558" s="6"/>
    </row>
    <row r="10559" spans="3:11" x14ac:dyDescent="0.25">
      <c r="C10559" s="6"/>
      <c r="G10559" s="6"/>
      <c r="K10559" s="6"/>
    </row>
    <row r="10560" spans="3:11" x14ac:dyDescent="0.25">
      <c r="C10560" s="6"/>
      <c r="G10560" s="6"/>
      <c r="K10560" s="6"/>
    </row>
    <row r="10561" spans="3:11" x14ac:dyDescent="0.25">
      <c r="C10561" s="6"/>
      <c r="G10561" s="6"/>
      <c r="K10561" s="6"/>
    </row>
    <row r="10562" spans="3:11" x14ac:dyDescent="0.25">
      <c r="C10562" s="6"/>
      <c r="G10562" s="6"/>
      <c r="K10562" s="6"/>
    </row>
    <row r="10563" spans="3:11" x14ac:dyDescent="0.25">
      <c r="C10563" s="6"/>
      <c r="G10563" s="6"/>
      <c r="K10563" s="6"/>
    </row>
    <row r="10564" spans="3:11" x14ac:dyDescent="0.25">
      <c r="C10564" s="6"/>
      <c r="G10564" s="6"/>
      <c r="K10564" s="6"/>
    </row>
    <row r="10565" spans="3:11" x14ac:dyDescent="0.25">
      <c r="C10565" s="6"/>
      <c r="G10565" s="6"/>
      <c r="K10565" s="6"/>
    </row>
    <row r="10566" spans="3:11" x14ac:dyDescent="0.25">
      <c r="C10566" s="6"/>
      <c r="G10566" s="6"/>
      <c r="K10566" s="6"/>
    </row>
    <row r="10567" spans="3:11" x14ac:dyDescent="0.25">
      <c r="C10567" s="6"/>
      <c r="G10567" s="6"/>
      <c r="K10567" s="6"/>
    </row>
    <row r="10568" spans="3:11" x14ac:dyDescent="0.25">
      <c r="C10568" s="6"/>
      <c r="G10568" s="6"/>
      <c r="K10568" s="6"/>
    </row>
    <row r="10569" spans="3:11" x14ac:dyDescent="0.25">
      <c r="C10569" s="6"/>
      <c r="G10569" s="6"/>
      <c r="K10569" s="6"/>
    </row>
    <row r="10570" spans="3:11" x14ac:dyDescent="0.25">
      <c r="C10570" s="6"/>
      <c r="G10570" s="6"/>
      <c r="K10570" s="6"/>
    </row>
    <row r="10571" spans="3:11" x14ac:dyDescent="0.25">
      <c r="C10571" s="6"/>
      <c r="G10571" s="6"/>
      <c r="K10571" s="6"/>
    </row>
    <row r="10572" spans="3:11" x14ac:dyDescent="0.25">
      <c r="C10572" s="6"/>
      <c r="G10572" s="6"/>
      <c r="K10572" s="6"/>
    </row>
    <row r="10573" spans="3:11" x14ac:dyDescent="0.25">
      <c r="C10573" s="6"/>
      <c r="G10573" s="6"/>
      <c r="K10573" s="6"/>
    </row>
    <row r="10574" spans="3:11" x14ac:dyDescent="0.25">
      <c r="C10574" s="6"/>
      <c r="G10574" s="6"/>
      <c r="K10574" s="6"/>
    </row>
    <row r="10575" spans="3:11" x14ac:dyDescent="0.25">
      <c r="C10575" s="6"/>
      <c r="G10575" s="6"/>
      <c r="K10575" s="6"/>
    </row>
    <row r="10576" spans="3:11" x14ac:dyDescent="0.25">
      <c r="C10576" s="6"/>
      <c r="G10576" s="6"/>
      <c r="K10576" s="6"/>
    </row>
    <row r="10577" spans="3:11" x14ac:dyDescent="0.25">
      <c r="C10577" s="6"/>
      <c r="G10577" s="6"/>
      <c r="K10577" s="6"/>
    </row>
    <row r="10578" spans="3:11" x14ac:dyDescent="0.25">
      <c r="C10578" s="6"/>
      <c r="G10578" s="6"/>
      <c r="K10578" s="6"/>
    </row>
    <row r="10579" spans="3:11" x14ac:dyDescent="0.25">
      <c r="C10579" s="6"/>
      <c r="G10579" s="6"/>
      <c r="K10579" s="6"/>
    </row>
    <row r="10580" spans="3:11" x14ac:dyDescent="0.25">
      <c r="C10580" s="6"/>
      <c r="G10580" s="6"/>
      <c r="K10580" s="6"/>
    </row>
    <row r="10581" spans="3:11" x14ac:dyDescent="0.25">
      <c r="C10581" s="6"/>
      <c r="G10581" s="6"/>
      <c r="K10581" s="6"/>
    </row>
    <row r="10582" spans="3:11" x14ac:dyDescent="0.25">
      <c r="C10582" s="6"/>
      <c r="G10582" s="6"/>
      <c r="K10582" s="6"/>
    </row>
    <row r="10583" spans="3:11" x14ac:dyDescent="0.25">
      <c r="C10583" s="6"/>
      <c r="G10583" s="6"/>
      <c r="K10583" s="6"/>
    </row>
    <row r="10584" spans="3:11" x14ac:dyDescent="0.25">
      <c r="C10584" s="6"/>
      <c r="G10584" s="6"/>
      <c r="K10584" s="6"/>
    </row>
    <row r="10585" spans="3:11" x14ac:dyDescent="0.25">
      <c r="C10585" s="6"/>
      <c r="G10585" s="6"/>
      <c r="K10585" s="6"/>
    </row>
    <row r="10586" spans="3:11" x14ac:dyDescent="0.25">
      <c r="C10586" s="6"/>
      <c r="G10586" s="6"/>
      <c r="K10586" s="6"/>
    </row>
    <row r="10587" spans="3:11" x14ac:dyDescent="0.25">
      <c r="C10587" s="6"/>
      <c r="G10587" s="6"/>
      <c r="K10587" s="6"/>
    </row>
    <row r="10588" spans="3:11" x14ac:dyDescent="0.25">
      <c r="C10588" s="6"/>
      <c r="G10588" s="6"/>
      <c r="K10588" s="6"/>
    </row>
    <row r="10589" spans="3:11" x14ac:dyDescent="0.25">
      <c r="C10589" s="6"/>
      <c r="G10589" s="6"/>
      <c r="K10589" s="6"/>
    </row>
    <row r="10590" spans="3:11" x14ac:dyDescent="0.25">
      <c r="C10590" s="6"/>
      <c r="G10590" s="6"/>
      <c r="K10590" s="6"/>
    </row>
    <row r="10591" spans="3:11" x14ac:dyDescent="0.25">
      <c r="C10591" s="6"/>
      <c r="G10591" s="6"/>
      <c r="K10591" s="6"/>
    </row>
    <row r="10592" spans="3:11" x14ac:dyDescent="0.25">
      <c r="C10592" s="6"/>
      <c r="G10592" s="6"/>
      <c r="K10592" s="6"/>
    </row>
    <row r="10593" spans="3:11" x14ac:dyDescent="0.25">
      <c r="C10593" s="6"/>
      <c r="G10593" s="6"/>
      <c r="K10593" s="6"/>
    </row>
    <row r="10594" spans="3:11" x14ac:dyDescent="0.25">
      <c r="C10594" s="6"/>
      <c r="G10594" s="6"/>
      <c r="K10594" s="6"/>
    </row>
    <row r="10595" spans="3:11" x14ac:dyDescent="0.25">
      <c r="C10595" s="6"/>
      <c r="G10595" s="6"/>
      <c r="K10595" s="6"/>
    </row>
    <row r="10596" spans="3:11" x14ac:dyDescent="0.25">
      <c r="C10596" s="6"/>
      <c r="G10596" s="6"/>
      <c r="K10596" s="6"/>
    </row>
    <row r="10597" spans="3:11" x14ac:dyDescent="0.25">
      <c r="C10597" s="6"/>
      <c r="G10597" s="6"/>
      <c r="K10597" s="6"/>
    </row>
    <row r="10598" spans="3:11" x14ac:dyDescent="0.25">
      <c r="C10598" s="6"/>
      <c r="G10598" s="6"/>
      <c r="K10598" s="6"/>
    </row>
    <row r="10599" spans="3:11" x14ac:dyDescent="0.25">
      <c r="C10599" s="6"/>
      <c r="G10599" s="6"/>
      <c r="K10599" s="6"/>
    </row>
    <row r="10600" spans="3:11" x14ac:dyDescent="0.25">
      <c r="C10600" s="6"/>
      <c r="G10600" s="6"/>
      <c r="K10600" s="6"/>
    </row>
    <row r="10601" spans="3:11" x14ac:dyDescent="0.25">
      <c r="C10601" s="6"/>
      <c r="G10601" s="6"/>
      <c r="K10601" s="6"/>
    </row>
    <row r="10602" spans="3:11" x14ac:dyDescent="0.25">
      <c r="C10602" s="6"/>
      <c r="G10602" s="6"/>
      <c r="K10602" s="6"/>
    </row>
    <row r="10603" spans="3:11" x14ac:dyDescent="0.25">
      <c r="C10603" s="6"/>
      <c r="G10603" s="6"/>
      <c r="K10603" s="6"/>
    </row>
    <row r="10604" spans="3:11" x14ac:dyDescent="0.25">
      <c r="C10604" s="6"/>
      <c r="G10604" s="6"/>
      <c r="K10604" s="6"/>
    </row>
    <row r="10605" spans="3:11" x14ac:dyDescent="0.25">
      <c r="C10605" s="6"/>
      <c r="G10605" s="6"/>
      <c r="K10605" s="6"/>
    </row>
    <row r="10606" spans="3:11" x14ac:dyDescent="0.25">
      <c r="C10606" s="6"/>
      <c r="G10606" s="6"/>
      <c r="K10606" s="6"/>
    </row>
    <row r="10607" spans="3:11" x14ac:dyDescent="0.25">
      <c r="C10607" s="6"/>
      <c r="G10607" s="6"/>
      <c r="K10607" s="6"/>
    </row>
    <row r="10608" spans="3:11" x14ac:dyDescent="0.25">
      <c r="C10608" s="6"/>
      <c r="G10608" s="6"/>
      <c r="K10608" s="6"/>
    </row>
    <row r="10609" spans="3:11" x14ac:dyDescent="0.25">
      <c r="C10609" s="6"/>
      <c r="G10609" s="6"/>
      <c r="K10609" s="6"/>
    </row>
    <row r="10610" spans="3:11" x14ac:dyDescent="0.25">
      <c r="C10610" s="6"/>
      <c r="G10610" s="6"/>
      <c r="K10610" s="6"/>
    </row>
    <row r="10611" spans="3:11" x14ac:dyDescent="0.25">
      <c r="C10611" s="6"/>
      <c r="G10611" s="6"/>
      <c r="K10611" s="6"/>
    </row>
    <row r="10612" spans="3:11" x14ac:dyDescent="0.25">
      <c r="C10612" s="6"/>
      <c r="G10612" s="6"/>
      <c r="K10612" s="6"/>
    </row>
    <row r="10613" spans="3:11" x14ac:dyDescent="0.25">
      <c r="C10613" s="6"/>
      <c r="G10613" s="6"/>
      <c r="K10613" s="6"/>
    </row>
    <row r="10614" spans="3:11" x14ac:dyDescent="0.25">
      <c r="C10614" s="6"/>
      <c r="G10614" s="6"/>
      <c r="K10614" s="6"/>
    </row>
    <row r="10615" spans="3:11" x14ac:dyDescent="0.25">
      <c r="C10615" s="6"/>
      <c r="G10615" s="6"/>
      <c r="K10615" s="6"/>
    </row>
    <row r="10616" spans="3:11" x14ac:dyDescent="0.25">
      <c r="C10616" s="6"/>
      <c r="G10616" s="6"/>
      <c r="K10616" s="6"/>
    </row>
    <row r="10617" spans="3:11" x14ac:dyDescent="0.25">
      <c r="C10617" s="6"/>
      <c r="G10617" s="6"/>
      <c r="K10617" s="6"/>
    </row>
    <row r="10618" spans="3:11" x14ac:dyDescent="0.25">
      <c r="C10618" s="6"/>
      <c r="G10618" s="6"/>
      <c r="K10618" s="6"/>
    </row>
    <row r="10619" spans="3:11" x14ac:dyDescent="0.25">
      <c r="C10619" s="6"/>
      <c r="G10619" s="6"/>
      <c r="K10619" s="6"/>
    </row>
    <row r="10620" spans="3:11" x14ac:dyDescent="0.25">
      <c r="C10620" s="6"/>
      <c r="G10620" s="6"/>
      <c r="K10620" s="6"/>
    </row>
    <row r="10621" spans="3:11" x14ac:dyDescent="0.25">
      <c r="C10621" s="6"/>
      <c r="G10621" s="6"/>
      <c r="K10621" s="6"/>
    </row>
    <row r="10622" spans="3:11" x14ac:dyDescent="0.25">
      <c r="C10622" s="6"/>
      <c r="G10622" s="6"/>
      <c r="K10622" s="6"/>
    </row>
    <row r="10623" spans="3:11" x14ac:dyDescent="0.25">
      <c r="C10623" s="6"/>
      <c r="G10623" s="6"/>
      <c r="K10623" s="6"/>
    </row>
    <row r="10624" spans="3:11" x14ac:dyDescent="0.25">
      <c r="C10624" s="6"/>
      <c r="G10624" s="6"/>
      <c r="K10624" s="6"/>
    </row>
    <row r="10625" spans="3:11" x14ac:dyDescent="0.25">
      <c r="C10625" s="6"/>
      <c r="G10625" s="6"/>
      <c r="K10625" s="6"/>
    </row>
    <row r="10626" spans="3:11" x14ac:dyDescent="0.25">
      <c r="C10626" s="6"/>
      <c r="G10626" s="6"/>
      <c r="K10626" s="6"/>
    </row>
    <row r="10627" spans="3:11" x14ac:dyDescent="0.25">
      <c r="C10627" s="6"/>
      <c r="G10627" s="6"/>
      <c r="K10627" s="6"/>
    </row>
    <row r="10628" spans="3:11" x14ac:dyDescent="0.25">
      <c r="C10628" s="6"/>
      <c r="G10628" s="6"/>
      <c r="K10628" s="6"/>
    </row>
    <row r="10629" spans="3:11" x14ac:dyDescent="0.25">
      <c r="C10629" s="6"/>
      <c r="G10629" s="6"/>
      <c r="K10629" s="6"/>
    </row>
    <row r="10630" spans="3:11" x14ac:dyDescent="0.25">
      <c r="C10630" s="6"/>
      <c r="G10630" s="6"/>
      <c r="K10630" s="6"/>
    </row>
    <row r="10631" spans="3:11" x14ac:dyDescent="0.25">
      <c r="C10631" s="6"/>
      <c r="G10631" s="6"/>
      <c r="K10631" s="6"/>
    </row>
    <row r="10632" spans="3:11" x14ac:dyDescent="0.25">
      <c r="C10632" s="6"/>
      <c r="G10632" s="6"/>
      <c r="K10632" s="6"/>
    </row>
    <row r="10633" spans="3:11" x14ac:dyDescent="0.25">
      <c r="C10633" s="6"/>
      <c r="G10633" s="6"/>
      <c r="K10633" s="6"/>
    </row>
    <row r="10634" spans="3:11" x14ac:dyDescent="0.25">
      <c r="C10634" s="6"/>
      <c r="G10634" s="6"/>
      <c r="K10634" s="6"/>
    </row>
    <row r="10635" spans="3:11" x14ac:dyDescent="0.25">
      <c r="C10635" s="6"/>
      <c r="G10635" s="6"/>
      <c r="K10635" s="6"/>
    </row>
    <row r="10636" spans="3:11" x14ac:dyDescent="0.25">
      <c r="C10636" s="6"/>
      <c r="G10636" s="6"/>
      <c r="K10636" s="6"/>
    </row>
    <row r="10637" spans="3:11" x14ac:dyDescent="0.25">
      <c r="C10637" s="6"/>
      <c r="G10637" s="6"/>
      <c r="K10637" s="6"/>
    </row>
    <row r="10638" spans="3:11" x14ac:dyDescent="0.25">
      <c r="C10638" s="6"/>
      <c r="G10638" s="6"/>
      <c r="K10638" s="6"/>
    </row>
    <row r="10639" spans="3:11" x14ac:dyDescent="0.25">
      <c r="C10639" s="6"/>
      <c r="G10639" s="6"/>
      <c r="K10639" s="6"/>
    </row>
    <row r="10640" spans="3:11" x14ac:dyDescent="0.25">
      <c r="C10640" s="6"/>
      <c r="G10640" s="6"/>
      <c r="K10640" s="6"/>
    </row>
    <row r="10641" spans="3:11" x14ac:dyDescent="0.25">
      <c r="C10641" s="6"/>
      <c r="G10641" s="6"/>
      <c r="K10641" s="6"/>
    </row>
    <row r="10642" spans="3:11" x14ac:dyDescent="0.25">
      <c r="C10642" s="6"/>
      <c r="G10642" s="6"/>
      <c r="K10642" s="6"/>
    </row>
    <row r="10643" spans="3:11" x14ac:dyDescent="0.25">
      <c r="C10643" s="6"/>
      <c r="G10643" s="6"/>
      <c r="K10643" s="6"/>
    </row>
    <row r="10644" spans="3:11" x14ac:dyDescent="0.25">
      <c r="C10644" s="6"/>
      <c r="G10644" s="6"/>
      <c r="K10644" s="6"/>
    </row>
    <row r="10645" spans="3:11" x14ac:dyDescent="0.25">
      <c r="C10645" s="6"/>
      <c r="G10645" s="6"/>
      <c r="K10645" s="6"/>
    </row>
    <row r="10646" spans="3:11" x14ac:dyDescent="0.25">
      <c r="C10646" s="6"/>
      <c r="G10646" s="6"/>
      <c r="K10646" s="6"/>
    </row>
    <row r="10647" spans="3:11" x14ac:dyDescent="0.25">
      <c r="C10647" s="6"/>
      <c r="G10647" s="6"/>
      <c r="K10647" s="6"/>
    </row>
    <row r="10648" spans="3:11" x14ac:dyDescent="0.25">
      <c r="C10648" s="6"/>
      <c r="G10648" s="6"/>
      <c r="K10648" s="6"/>
    </row>
    <row r="10649" spans="3:11" x14ac:dyDescent="0.25">
      <c r="C10649" s="6"/>
      <c r="G10649" s="6"/>
      <c r="K10649" s="6"/>
    </row>
    <row r="10650" spans="3:11" x14ac:dyDescent="0.25">
      <c r="C10650" s="6"/>
      <c r="G10650" s="6"/>
      <c r="K10650" s="6"/>
    </row>
    <row r="10651" spans="3:11" x14ac:dyDescent="0.25">
      <c r="C10651" s="6"/>
      <c r="G10651" s="6"/>
      <c r="K10651" s="6"/>
    </row>
    <row r="10652" spans="3:11" x14ac:dyDescent="0.25">
      <c r="C10652" s="6"/>
      <c r="G10652" s="6"/>
      <c r="K10652" s="6"/>
    </row>
    <row r="10653" spans="3:11" x14ac:dyDescent="0.25">
      <c r="C10653" s="6"/>
      <c r="G10653" s="6"/>
      <c r="K10653" s="6"/>
    </row>
    <row r="10654" spans="3:11" x14ac:dyDescent="0.25">
      <c r="C10654" s="6"/>
      <c r="G10654" s="6"/>
      <c r="K10654" s="6"/>
    </row>
    <row r="10655" spans="3:11" x14ac:dyDescent="0.25">
      <c r="C10655" s="6"/>
      <c r="G10655" s="6"/>
      <c r="K10655" s="6"/>
    </row>
    <row r="10656" spans="3:11" x14ac:dyDescent="0.25">
      <c r="C10656" s="6"/>
      <c r="G10656" s="6"/>
      <c r="K10656" s="6"/>
    </row>
    <row r="10657" spans="3:11" x14ac:dyDescent="0.25">
      <c r="C10657" s="6"/>
      <c r="G10657" s="6"/>
      <c r="K10657" s="6"/>
    </row>
    <row r="10658" spans="3:11" x14ac:dyDescent="0.25">
      <c r="C10658" s="6"/>
      <c r="G10658" s="6"/>
      <c r="K10658" s="6"/>
    </row>
    <row r="10659" spans="3:11" x14ac:dyDescent="0.25">
      <c r="C10659" s="6"/>
      <c r="G10659" s="6"/>
      <c r="K10659" s="6"/>
    </row>
    <row r="10660" spans="3:11" x14ac:dyDescent="0.25">
      <c r="C10660" s="6"/>
      <c r="G10660" s="6"/>
      <c r="K10660" s="6"/>
    </row>
    <row r="10661" spans="3:11" x14ac:dyDescent="0.25">
      <c r="C10661" s="6"/>
      <c r="G10661" s="6"/>
      <c r="K10661" s="6"/>
    </row>
    <row r="10662" spans="3:11" x14ac:dyDescent="0.25">
      <c r="C10662" s="6"/>
      <c r="G10662" s="6"/>
      <c r="K10662" s="6"/>
    </row>
    <row r="10663" spans="3:11" x14ac:dyDescent="0.25">
      <c r="C10663" s="6"/>
      <c r="G10663" s="6"/>
      <c r="K10663" s="6"/>
    </row>
    <row r="10664" spans="3:11" x14ac:dyDescent="0.25">
      <c r="C10664" s="6"/>
      <c r="G10664" s="6"/>
      <c r="K10664" s="6"/>
    </row>
    <row r="10665" spans="3:11" x14ac:dyDescent="0.25">
      <c r="C10665" s="6"/>
      <c r="G10665" s="6"/>
      <c r="K10665" s="6"/>
    </row>
    <row r="10666" spans="3:11" x14ac:dyDescent="0.25">
      <c r="C10666" s="6"/>
      <c r="G10666" s="6"/>
      <c r="K10666" s="6"/>
    </row>
    <row r="10667" spans="3:11" x14ac:dyDescent="0.25">
      <c r="C10667" s="6"/>
      <c r="G10667" s="6"/>
      <c r="K10667" s="6"/>
    </row>
    <row r="10668" spans="3:11" x14ac:dyDescent="0.25">
      <c r="C10668" s="6"/>
      <c r="G10668" s="6"/>
      <c r="K10668" s="6"/>
    </row>
    <row r="10669" spans="3:11" x14ac:dyDescent="0.25">
      <c r="C10669" s="6"/>
      <c r="G10669" s="6"/>
      <c r="K10669" s="6"/>
    </row>
    <row r="10670" spans="3:11" x14ac:dyDescent="0.25">
      <c r="C10670" s="6"/>
      <c r="G10670" s="6"/>
      <c r="K10670" s="6"/>
    </row>
    <row r="10671" spans="3:11" x14ac:dyDescent="0.25">
      <c r="C10671" s="6"/>
      <c r="G10671" s="6"/>
      <c r="K10671" s="6"/>
    </row>
    <row r="10672" spans="3:11" x14ac:dyDescent="0.25">
      <c r="C10672" s="6"/>
      <c r="G10672" s="6"/>
      <c r="K10672" s="6"/>
    </row>
    <row r="10673" spans="3:11" x14ac:dyDescent="0.25">
      <c r="C10673" s="6"/>
      <c r="G10673" s="6"/>
      <c r="K10673" s="6"/>
    </row>
    <row r="10674" spans="3:11" x14ac:dyDescent="0.25">
      <c r="C10674" s="6"/>
      <c r="G10674" s="6"/>
      <c r="K10674" s="6"/>
    </row>
    <row r="10675" spans="3:11" x14ac:dyDescent="0.25">
      <c r="C10675" s="6"/>
      <c r="G10675" s="6"/>
      <c r="K10675" s="6"/>
    </row>
    <row r="10676" spans="3:11" x14ac:dyDescent="0.25">
      <c r="C10676" s="6"/>
      <c r="G10676" s="6"/>
      <c r="K10676" s="6"/>
    </row>
    <row r="10677" spans="3:11" x14ac:dyDescent="0.25">
      <c r="C10677" s="6"/>
      <c r="G10677" s="6"/>
      <c r="K10677" s="6"/>
    </row>
    <row r="10678" spans="3:11" x14ac:dyDescent="0.25">
      <c r="C10678" s="6"/>
      <c r="G10678" s="6"/>
      <c r="K10678" s="6"/>
    </row>
    <row r="10679" spans="3:11" x14ac:dyDescent="0.25">
      <c r="C10679" s="6"/>
      <c r="G10679" s="6"/>
      <c r="K10679" s="6"/>
    </row>
    <row r="10680" spans="3:11" x14ac:dyDescent="0.25">
      <c r="C10680" s="6"/>
      <c r="G10680" s="6"/>
      <c r="K10680" s="6"/>
    </row>
    <row r="10681" spans="3:11" x14ac:dyDescent="0.25">
      <c r="C10681" s="6"/>
      <c r="G10681" s="6"/>
      <c r="K10681" s="6"/>
    </row>
    <row r="10682" spans="3:11" x14ac:dyDescent="0.25">
      <c r="C10682" s="6"/>
      <c r="G10682" s="6"/>
      <c r="K10682" s="6"/>
    </row>
    <row r="10683" spans="3:11" x14ac:dyDescent="0.25">
      <c r="C10683" s="6"/>
      <c r="G10683" s="6"/>
      <c r="K10683" s="6"/>
    </row>
    <row r="10684" spans="3:11" x14ac:dyDescent="0.25">
      <c r="C10684" s="6"/>
      <c r="G10684" s="6"/>
      <c r="K10684" s="6"/>
    </row>
    <row r="10685" spans="3:11" x14ac:dyDescent="0.25">
      <c r="C10685" s="6"/>
      <c r="G10685" s="6"/>
      <c r="K10685" s="6"/>
    </row>
    <row r="10686" spans="3:11" x14ac:dyDescent="0.25">
      <c r="C10686" s="6"/>
      <c r="G10686" s="6"/>
      <c r="K10686" s="6"/>
    </row>
    <row r="10687" spans="3:11" x14ac:dyDescent="0.25">
      <c r="C10687" s="6"/>
      <c r="G10687" s="6"/>
      <c r="K10687" s="6"/>
    </row>
    <row r="10688" spans="3:11" x14ac:dyDescent="0.25">
      <c r="C10688" s="6"/>
      <c r="G10688" s="6"/>
      <c r="K10688" s="6"/>
    </row>
    <row r="10689" spans="3:11" x14ac:dyDescent="0.25">
      <c r="C10689" s="6"/>
      <c r="G10689" s="6"/>
      <c r="K10689" s="6"/>
    </row>
    <row r="10690" spans="3:11" x14ac:dyDescent="0.25">
      <c r="C10690" s="6"/>
      <c r="G10690" s="6"/>
      <c r="K10690" s="6"/>
    </row>
    <row r="10691" spans="3:11" x14ac:dyDescent="0.25">
      <c r="C10691" s="6"/>
      <c r="G10691" s="6"/>
      <c r="K10691" s="6"/>
    </row>
    <row r="10692" spans="3:11" x14ac:dyDescent="0.25">
      <c r="C10692" s="6"/>
      <c r="G10692" s="6"/>
      <c r="K10692" s="6"/>
    </row>
    <row r="10693" spans="3:11" x14ac:dyDescent="0.25">
      <c r="C10693" s="6"/>
      <c r="G10693" s="6"/>
      <c r="K10693" s="6"/>
    </row>
    <row r="10694" spans="3:11" x14ac:dyDescent="0.25">
      <c r="C10694" s="6"/>
      <c r="G10694" s="6"/>
      <c r="K10694" s="6"/>
    </row>
    <row r="10695" spans="3:11" x14ac:dyDescent="0.25">
      <c r="C10695" s="6"/>
      <c r="G10695" s="6"/>
      <c r="K10695" s="6"/>
    </row>
    <row r="10696" spans="3:11" x14ac:dyDescent="0.25">
      <c r="C10696" s="6"/>
      <c r="G10696" s="6"/>
      <c r="K10696" s="6"/>
    </row>
    <row r="10697" spans="3:11" x14ac:dyDescent="0.25">
      <c r="C10697" s="6"/>
      <c r="G10697" s="6"/>
      <c r="K10697" s="6"/>
    </row>
    <row r="10698" spans="3:11" x14ac:dyDescent="0.25">
      <c r="C10698" s="6"/>
      <c r="G10698" s="6"/>
      <c r="K10698" s="6"/>
    </row>
    <row r="10699" spans="3:11" x14ac:dyDescent="0.25">
      <c r="C10699" s="6"/>
      <c r="G10699" s="6"/>
      <c r="K10699" s="6"/>
    </row>
    <row r="10700" spans="3:11" x14ac:dyDescent="0.25">
      <c r="C10700" s="6"/>
      <c r="G10700" s="6"/>
      <c r="K10700" s="6"/>
    </row>
    <row r="10701" spans="3:11" x14ac:dyDescent="0.25">
      <c r="C10701" s="6"/>
      <c r="G10701" s="6"/>
      <c r="K10701" s="6"/>
    </row>
    <row r="10702" spans="3:11" x14ac:dyDescent="0.25">
      <c r="C10702" s="6"/>
      <c r="G10702" s="6"/>
      <c r="K10702" s="6"/>
    </row>
    <row r="10703" spans="3:11" x14ac:dyDescent="0.25">
      <c r="C10703" s="6"/>
      <c r="G10703" s="6"/>
      <c r="K10703" s="6"/>
    </row>
    <row r="10704" spans="3:11" x14ac:dyDescent="0.25">
      <c r="C10704" s="6"/>
      <c r="G10704" s="6"/>
      <c r="K10704" s="6"/>
    </row>
    <row r="10705" spans="3:11" x14ac:dyDescent="0.25">
      <c r="C10705" s="6"/>
      <c r="G10705" s="6"/>
      <c r="K10705" s="6"/>
    </row>
    <row r="10706" spans="3:11" x14ac:dyDescent="0.25">
      <c r="C10706" s="6"/>
      <c r="G10706" s="6"/>
      <c r="K10706" s="6"/>
    </row>
    <row r="10707" spans="3:11" x14ac:dyDescent="0.25">
      <c r="C10707" s="6"/>
      <c r="G10707" s="6"/>
      <c r="K10707" s="6"/>
    </row>
    <row r="10708" spans="3:11" x14ac:dyDescent="0.25">
      <c r="C10708" s="6"/>
      <c r="G10708" s="6"/>
      <c r="K10708" s="6"/>
    </row>
    <row r="10709" spans="3:11" x14ac:dyDescent="0.25">
      <c r="C10709" s="6"/>
      <c r="G10709" s="6"/>
      <c r="K10709" s="6"/>
    </row>
    <row r="10710" spans="3:11" x14ac:dyDescent="0.25">
      <c r="C10710" s="6"/>
      <c r="G10710" s="6"/>
      <c r="K10710" s="6"/>
    </row>
    <row r="10711" spans="3:11" x14ac:dyDescent="0.25">
      <c r="C10711" s="6"/>
      <c r="G10711" s="6"/>
      <c r="K10711" s="6"/>
    </row>
    <row r="10712" spans="3:11" x14ac:dyDescent="0.25">
      <c r="C10712" s="6"/>
      <c r="G10712" s="6"/>
      <c r="K10712" s="6"/>
    </row>
    <row r="10713" spans="3:11" x14ac:dyDescent="0.25">
      <c r="C10713" s="6"/>
      <c r="G10713" s="6"/>
      <c r="K10713" s="6"/>
    </row>
    <row r="10714" spans="3:11" x14ac:dyDescent="0.25">
      <c r="C10714" s="6"/>
      <c r="G10714" s="6"/>
      <c r="K10714" s="6"/>
    </row>
    <row r="10715" spans="3:11" x14ac:dyDescent="0.25">
      <c r="C10715" s="6"/>
      <c r="G10715" s="6"/>
      <c r="K10715" s="6"/>
    </row>
    <row r="10716" spans="3:11" x14ac:dyDescent="0.25">
      <c r="C10716" s="6"/>
      <c r="G10716" s="6"/>
      <c r="K10716" s="6"/>
    </row>
    <row r="10717" spans="3:11" x14ac:dyDescent="0.25">
      <c r="C10717" s="6"/>
      <c r="G10717" s="6"/>
      <c r="K10717" s="6"/>
    </row>
    <row r="10718" spans="3:11" x14ac:dyDescent="0.25">
      <c r="C10718" s="6"/>
      <c r="G10718" s="6"/>
      <c r="K10718" s="6"/>
    </row>
    <row r="10719" spans="3:11" x14ac:dyDescent="0.25">
      <c r="C10719" s="6"/>
      <c r="G10719" s="6"/>
      <c r="K10719" s="6"/>
    </row>
    <row r="10720" spans="3:11" x14ac:dyDescent="0.25">
      <c r="C10720" s="6"/>
      <c r="G10720" s="6"/>
      <c r="K10720" s="6"/>
    </row>
    <row r="10721" spans="3:11" x14ac:dyDescent="0.25">
      <c r="C10721" s="6"/>
      <c r="G10721" s="6"/>
      <c r="K10721" s="6"/>
    </row>
    <row r="10722" spans="3:11" x14ac:dyDescent="0.25">
      <c r="C10722" s="6"/>
      <c r="G10722" s="6"/>
      <c r="K10722" s="6"/>
    </row>
    <row r="10723" spans="3:11" x14ac:dyDescent="0.25">
      <c r="C10723" s="6"/>
      <c r="G10723" s="6"/>
      <c r="K10723" s="6"/>
    </row>
    <row r="10724" spans="3:11" x14ac:dyDescent="0.25">
      <c r="C10724" s="6"/>
      <c r="G10724" s="6"/>
      <c r="K10724" s="6"/>
    </row>
    <row r="10725" spans="3:11" x14ac:dyDescent="0.25">
      <c r="C10725" s="6"/>
      <c r="G10725" s="6"/>
      <c r="K10725" s="6"/>
    </row>
    <row r="10726" spans="3:11" x14ac:dyDescent="0.25">
      <c r="C10726" s="6"/>
      <c r="G10726" s="6"/>
      <c r="K10726" s="6"/>
    </row>
    <row r="10727" spans="3:11" x14ac:dyDescent="0.25">
      <c r="C10727" s="6"/>
      <c r="G10727" s="6"/>
      <c r="K10727" s="6"/>
    </row>
    <row r="10728" spans="3:11" x14ac:dyDescent="0.25">
      <c r="C10728" s="6"/>
      <c r="G10728" s="6"/>
      <c r="K10728" s="6"/>
    </row>
    <row r="10729" spans="3:11" x14ac:dyDescent="0.25">
      <c r="C10729" s="6"/>
      <c r="G10729" s="6"/>
      <c r="K10729" s="6"/>
    </row>
    <row r="10730" spans="3:11" x14ac:dyDescent="0.25">
      <c r="C10730" s="6"/>
      <c r="G10730" s="6"/>
      <c r="K10730" s="6"/>
    </row>
    <row r="10731" spans="3:11" x14ac:dyDescent="0.25">
      <c r="C10731" s="6"/>
      <c r="G10731" s="6"/>
      <c r="K10731" s="6"/>
    </row>
    <row r="10732" spans="3:11" x14ac:dyDescent="0.25">
      <c r="C10732" s="6"/>
      <c r="G10732" s="6"/>
      <c r="K10732" s="6"/>
    </row>
    <row r="10733" spans="3:11" x14ac:dyDescent="0.25">
      <c r="C10733" s="6"/>
      <c r="G10733" s="6"/>
      <c r="K10733" s="6"/>
    </row>
    <row r="10734" spans="3:11" x14ac:dyDescent="0.25">
      <c r="C10734" s="6"/>
      <c r="G10734" s="6"/>
      <c r="K10734" s="6"/>
    </row>
    <row r="10735" spans="3:11" x14ac:dyDescent="0.25">
      <c r="C10735" s="6"/>
      <c r="G10735" s="6"/>
      <c r="K10735" s="6"/>
    </row>
    <row r="10736" spans="3:11" x14ac:dyDescent="0.25">
      <c r="C10736" s="6"/>
      <c r="G10736" s="6"/>
      <c r="K10736" s="6"/>
    </row>
    <row r="10737" spans="3:11" x14ac:dyDescent="0.25">
      <c r="C10737" s="6"/>
      <c r="G10737" s="6"/>
      <c r="K10737" s="6"/>
    </row>
    <row r="10738" spans="3:11" x14ac:dyDescent="0.25">
      <c r="C10738" s="6"/>
      <c r="G10738" s="6"/>
      <c r="K10738" s="6"/>
    </row>
    <row r="10739" spans="3:11" x14ac:dyDescent="0.25">
      <c r="C10739" s="6"/>
      <c r="G10739" s="6"/>
      <c r="K10739" s="6"/>
    </row>
    <row r="10740" spans="3:11" x14ac:dyDescent="0.25">
      <c r="C10740" s="6"/>
      <c r="G10740" s="6"/>
      <c r="K10740" s="6"/>
    </row>
    <row r="10741" spans="3:11" x14ac:dyDescent="0.25">
      <c r="C10741" s="6"/>
      <c r="G10741" s="6"/>
      <c r="K10741" s="6"/>
    </row>
    <row r="10742" spans="3:11" x14ac:dyDescent="0.25">
      <c r="C10742" s="6"/>
      <c r="G10742" s="6"/>
      <c r="K10742" s="6"/>
    </row>
    <row r="10743" spans="3:11" x14ac:dyDescent="0.25">
      <c r="C10743" s="6"/>
      <c r="G10743" s="6"/>
      <c r="K10743" s="6"/>
    </row>
    <row r="10744" spans="3:11" x14ac:dyDescent="0.25">
      <c r="C10744" s="6"/>
      <c r="G10744" s="6"/>
      <c r="K10744" s="6"/>
    </row>
    <row r="10745" spans="3:11" x14ac:dyDescent="0.25">
      <c r="C10745" s="6"/>
      <c r="G10745" s="6"/>
      <c r="K10745" s="6"/>
    </row>
    <row r="10746" spans="3:11" x14ac:dyDescent="0.25">
      <c r="C10746" s="6"/>
      <c r="G10746" s="6"/>
      <c r="K10746" s="6"/>
    </row>
    <row r="10747" spans="3:11" x14ac:dyDescent="0.25">
      <c r="C10747" s="6"/>
      <c r="G10747" s="6"/>
      <c r="K10747" s="6"/>
    </row>
    <row r="10748" spans="3:11" x14ac:dyDescent="0.25">
      <c r="C10748" s="6"/>
      <c r="G10748" s="6"/>
      <c r="K10748" s="6"/>
    </row>
    <row r="10749" spans="3:11" x14ac:dyDescent="0.25">
      <c r="C10749" s="6"/>
      <c r="G10749" s="6"/>
      <c r="K10749" s="6"/>
    </row>
    <row r="10750" spans="3:11" x14ac:dyDescent="0.25">
      <c r="C10750" s="6"/>
      <c r="G10750" s="6"/>
      <c r="K10750" s="6"/>
    </row>
    <row r="10751" spans="3:11" x14ac:dyDescent="0.25">
      <c r="C10751" s="6"/>
      <c r="G10751" s="6"/>
      <c r="K10751" s="6"/>
    </row>
    <row r="10752" spans="3:11" x14ac:dyDescent="0.25">
      <c r="C10752" s="6"/>
      <c r="G10752" s="6"/>
      <c r="K10752" s="6"/>
    </row>
    <row r="10753" spans="3:11" x14ac:dyDescent="0.25">
      <c r="C10753" s="6"/>
      <c r="G10753" s="6"/>
      <c r="K10753" s="6"/>
    </row>
    <row r="10754" spans="3:11" x14ac:dyDescent="0.25">
      <c r="C10754" s="6"/>
      <c r="G10754" s="6"/>
      <c r="K10754" s="6"/>
    </row>
    <row r="10755" spans="3:11" x14ac:dyDescent="0.25">
      <c r="C10755" s="6"/>
      <c r="G10755" s="6"/>
      <c r="K10755" s="6"/>
    </row>
    <row r="10756" spans="3:11" x14ac:dyDescent="0.25">
      <c r="C10756" s="6"/>
      <c r="G10756" s="6"/>
      <c r="K10756" s="6"/>
    </row>
    <row r="10757" spans="3:11" x14ac:dyDescent="0.25">
      <c r="C10757" s="6"/>
      <c r="G10757" s="6"/>
      <c r="K10757" s="6"/>
    </row>
    <row r="10758" spans="3:11" x14ac:dyDescent="0.25">
      <c r="C10758" s="6"/>
      <c r="G10758" s="6"/>
      <c r="K10758" s="6"/>
    </row>
    <row r="10759" spans="3:11" x14ac:dyDescent="0.25">
      <c r="C10759" s="6"/>
      <c r="G10759" s="6"/>
      <c r="K10759" s="6"/>
    </row>
    <row r="10760" spans="3:11" x14ac:dyDescent="0.25">
      <c r="C10760" s="6"/>
      <c r="G10760" s="6"/>
      <c r="K10760" s="6"/>
    </row>
    <row r="10761" spans="3:11" x14ac:dyDescent="0.25">
      <c r="C10761" s="6"/>
      <c r="G10761" s="6"/>
      <c r="K10761" s="6"/>
    </row>
    <row r="10762" spans="3:11" x14ac:dyDescent="0.25">
      <c r="C10762" s="6"/>
      <c r="G10762" s="6"/>
      <c r="K10762" s="6"/>
    </row>
    <row r="10763" spans="3:11" x14ac:dyDescent="0.25">
      <c r="C10763" s="6"/>
      <c r="G10763" s="6"/>
      <c r="K10763" s="6"/>
    </row>
    <row r="10764" spans="3:11" x14ac:dyDescent="0.25">
      <c r="C10764" s="6"/>
      <c r="G10764" s="6"/>
      <c r="K10764" s="6"/>
    </row>
    <row r="10765" spans="3:11" x14ac:dyDescent="0.25">
      <c r="C10765" s="6"/>
      <c r="G10765" s="6"/>
      <c r="K10765" s="6"/>
    </row>
    <row r="10766" spans="3:11" x14ac:dyDescent="0.25">
      <c r="C10766" s="6"/>
      <c r="G10766" s="6"/>
      <c r="K10766" s="6"/>
    </row>
    <row r="10767" spans="3:11" x14ac:dyDescent="0.25">
      <c r="C10767" s="6"/>
      <c r="G10767" s="6"/>
      <c r="K10767" s="6"/>
    </row>
    <row r="10768" spans="3:11" x14ac:dyDescent="0.25">
      <c r="C10768" s="6"/>
      <c r="G10768" s="6"/>
      <c r="K10768" s="6"/>
    </row>
    <row r="10769" spans="3:11" x14ac:dyDescent="0.25">
      <c r="C10769" s="6"/>
      <c r="G10769" s="6"/>
      <c r="K10769" s="6"/>
    </row>
    <row r="10770" spans="3:11" x14ac:dyDescent="0.25">
      <c r="C10770" s="6"/>
      <c r="G10770" s="6"/>
      <c r="K10770" s="6"/>
    </row>
    <row r="10771" spans="3:11" x14ac:dyDescent="0.25">
      <c r="C10771" s="6"/>
      <c r="G10771" s="6"/>
      <c r="K10771" s="6"/>
    </row>
    <row r="10772" spans="3:11" x14ac:dyDescent="0.25">
      <c r="C10772" s="6"/>
      <c r="G10772" s="6"/>
      <c r="K10772" s="6"/>
    </row>
    <row r="10773" spans="3:11" x14ac:dyDescent="0.25">
      <c r="C10773" s="6"/>
      <c r="G10773" s="6"/>
      <c r="K10773" s="6"/>
    </row>
    <row r="10774" spans="3:11" x14ac:dyDescent="0.25">
      <c r="C10774" s="6"/>
      <c r="G10774" s="6"/>
      <c r="K10774" s="6"/>
    </row>
    <row r="10775" spans="3:11" x14ac:dyDescent="0.25">
      <c r="C10775" s="6"/>
      <c r="G10775" s="6"/>
      <c r="K10775" s="6"/>
    </row>
    <row r="10776" spans="3:11" x14ac:dyDescent="0.25">
      <c r="C10776" s="6"/>
      <c r="G10776" s="6"/>
      <c r="K10776" s="6"/>
    </row>
    <row r="10777" spans="3:11" x14ac:dyDescent="0.25">
      <c r="C10777" s="6"/>
      <c r="G10777" s="6"/>
      <c r="K10777" s="6"/>
    </row>
    <row r="10778" spans="3:11" x14ac:dyDescent="0.25">
      <c r="C10778" s="6"/>
      <c r="G10778" s="6"/>
      <c r="K10778" s="6"/>
    </row>
    <row r="10779" spans="3:11" x14ac:dyDescent="0.25">
      <c r="C10779" s="6"/>
      <c r="G10779" s="6"/>
      <c r="K10779" s="6"/>
    </row>
    <row r="10780" spans="3:11" x14ac:dyDescent="0.25">
      <c r="C10780" s="6"/>
      <c r="G10780" s="6"/>
      <c r="K10780" s="6"/>
    </row>
    <row r="10781" spans="3:11" x14ac:dyDescent="0.25">
      <c r="C10781" s="6"/>
      <c r="G10781" s="6"/>
      <c r="K10781" s="6"/>
    </row>
    <row r="10782" spans="3:11" x14ac:dyDescent="0.25">
      <c r="C10782" s="6"/>
      <c r="G10782" s="6"/>
      <c r="K10782" s="6"/>
    </row>
    <row r="10783" spans="3:11" x14ac:dyDescent="0.25">
      <c r="C10783" s="6"/>
      <c r="G10783" s="6"/>
      <c r="K10783" s="6"/>
    </row>
    <row r="10784" spans="3:11" x14ac:dyDescent="0.25">
      <c r="C10784" s="6"/>
      <c r="G10784" s="6"/>
      <c r="K10784" s="6"/>
    </row>
    <row r="10785" spans="3:11" x14ac:dyDescent="0.25">
      <c r="C10785" s="6"/>
      <c r="G10785" s="6"/>
      <c r="K10785" s="6"/>
    </row>
    <row r="10786" spans="3:11" x14ac:dyDescent="0.25">
      <c r="C10786" s="6"/>
      <c r="G10786" s="6"/>
      <c r="K10786" s="6"/>
    </row>
    <row r="10787" spans="3:11" x14ac:dyDescent="0.25">
      <c r="C10787" s="6"/>
      <c r="G10787" s="6"/>
      <c r="K10787" s="6"/>
    </row>
    <row r="10788" spans="3:11" x14ac:dyDescent="0.25">
      <c r="C10788" s="6"/>
      <c r="G10788" s="6"/>
      <c r="K10788" s="6"/>
    </row>
    <row r="10789" spans="3:11" x14ac:dyDescent="0.25">
      <c r="C10789" s="6"/>
      <c r="G10789" s="6"/>
      <c r="K10789" s="6"/>
    </row>
    <row r="10790" spans="3:11" x14ac:dyDescent="0.25">
      <c r="C10790" s="6"/>
      <c r="G10790" s="6"/>
      <c r="K10790" s="6"/>
    </row>
    <row r="10791" spans="3:11" x14ac:dyDescent="0.25">
      <c r="C10791" s="6"/>
      <c r="G10791" s="6"/>
      <c r="K10791" s="6"/>
    </row>
    <row r="10792" spans="3:11" x14ac:dyDescent="0.25">
      <c r="C10792" s="6"/>
      <c r="G10792" s="6"/>
      <c r="K10792" s="6"/>
    </row>
    <row r="10793" spans="3:11" x14ac:dyDescent="0.25">
      <c r="C10793" s="6"/>
      <c r="G10793" s="6"/>
      <c r="K10793" s="6"/>
    </row>
    <row r="10794" spans="3:11" x14ac:dyDescent="0.25">
      <c r="C10794" s="6"/>
      <c r="G10794" s="6"/>
      <c r="K10794" s="6"/>
    </row>
    <row r="10795" spans="3:11" x14ac:dyDescent="0.25">
      <c r="C10795" s="6"/>
      <c r="G10795" s="6"/>
      <c r="K10795" s="6"/>
    </row>
    <row r="10796" spans="3:11" x14ac:dyDescent="0.25">
      <c r="C10796" s="6"/>
      <c r="G10796" s="6"/>
      <c r="K10796" s="6"/>
    </row>
    <row r="10797" spans="3:11" x14ac:dyDescent="0.25">
      <c r="C10797" s="6"/>
      <c r="G10797" s="6"/>
      <c r="K10797" s="6"/>
    </row>
    <row r="10798" spans="3:11" x14ac:dyDescent="0.25">
      <c r="C10798" s="6"/>
      <c r="G10798" s="6"/>
      <c r="K10798" s="6"/>
    </row>
    <row r="10799" spans="3:11" x14ac:dyDescent="0.25">
      <c r="C10799" s="6"/>
      <c r="G10799" s="6"/>
      <c r="K10799" s="6"/>
    </row>
    <row r="10800" spans="3:11" x14ac:dyDescent="0.25">
      <c r="C10800" s="6"/>
      <c r="G10800" s="6"/>
      <c r="K10800" s="6"/>
    </row>
    <row r="10801" spans="3:11" x14ac:dyDescent="0.25">
      <c r="C10801" s="6"/>
      <c r="G10801" s="6"/>
      <c r="K10801" s="6"/>
    </row>
    <row r="10802" spans="3:11" x14ac:dyDescent="0.25">
      <c r="C10802" s="6"/>
      <c r="G10802" s="6"/>
      <c r="K10802" s="6"/>
    </row>
    <row r="10803" spans="3:11" x14ac:dyDescent="0.25">
      <c r="C10803" s="6"/>
      <c r="G10803" s="6"/>
      <c r="K10803" s="6"/>
    </row>
    <row r="10804" spans="3:11" x14ac:dyDescent="0.25">
      <c r="C10804" s="6"/>
      <c r="G10804" s="6"/>
      <c r="K10804" s="6"/>
    </row>
    <row r="10805" spans="3:11" x14ac:dyDescent="0.25">
      <c r="C10805" s="6"/>
      <c r="G10805" s="6"/>
      <c r="K10805" s="6"/>
    </row>
    <row r="10806" spans="3:11" x14ac:dyDescent="0.25">
      <c r="C10806" s="6"/>
      <c r="G10806" s="6"/>
      <c r="K10806" s="6"/>
    </row>
    <row r="10807" spans="3:11" x14ac:dyDescent="0.25">
      <c r="C10807" s="6"/>
      <c r="G10807" s="6"/>
      <c r="K10807" s="6"/>
    </row>
    <row r="10808" spans="3:11" x14ac:dyDescent="0.25">
      <c r="C10808" s="6"/>
      <c r="G10808" s="6"/>
      <c r="K10808" s="6"/>
    </row>
    <row r="10809" spans="3:11" x14ac:dyDescent="0.25">
      <c r="C10809" s="6"/>
      <c r="G10809" s="6"/>
      <c r="K10809" s="6"/>
    </row>
    <row r="10810" spans="3:11" x14ac:dyDescent="0.25">
      <c r="C10810" s="6"/>
      <c r="G10810" s="6"/>
      <c r="K10810" s="6"/>
    </row>
    <row r="10811" spans="3:11" x14ac:dyDescent="0.25">
      <c r="C10811" s="6"/>
      <c r="G10811" s="6"/>
      <c r="K10811" s="6"/>
    </row>
    <row r="10812" spans="3:11" x14ac:dyDescent="0.25">
      <c r="C10812" s="6"/>
      <c r="G10812" s="6"/>
      <c r="K10812" s="6"/>
    </row>
    <row r="10813" spans="3:11" x14ac:dyDescent="0.25">
      <c r="C10813" s="6"/>
      <c r="G10813" s="6"/>
      <c r="K10813" s="6"/>
    </row>
    <row r="10814" spans="3:11" x14ac:dyDescent="0.25">
      <c r="C10814" s="6"/>
      <c r="G10814" s="6"/>
      <c r="K10814" s="6"/>
    </row>
    <row r="10815" spans="3:11" x14ac:dyDescent="0.25">
      <c r="C10815" s="6"/>
      <c r="G10815" s="6"/>
      <c r="K10815" s="6"/>
    </row>
    <row r="10816" spans="3:11" x14ac:dyDescent="0.25">
      <c r="C10816" s="6"/>
      <c r="G10816" s="6"/>
      <c r="K10816" s="6"/>
    </row>
    <row r="10817" spans="3:11" x14ac:dyDescent="0.25">
      <c r="C10817" s="6"/>
      <c r="G10817" s="6"/>
      <c r="K10817" s="6"/>
    </row>
    <row r="10818" spans="3:11" x14ac:dyDescent="0.25">
      <c r="C10818" s="6"/>
      <c r="G10818" s="6"/>
      <c r="K10818" s="6"/>
    </row>
    <row r="10819" spans="3:11" x14ac:dyDescent="0.25">
      <c r="C10819" s="6"/>
      <c r="G10819" s="6"/>
      <c r="K10819" s="6"/>
    </row>
    <row r="10820" spans="3:11" x14ac:dyDescent="0.25">
      <c r="C10820" s="6"/>
      <c r="G10820" s="6"/>
      <c r="K10820" s="6"/>
    </row>
    <row r="10821" spans="3:11" x14ac:dyDescent="0.25">
      <c r="C10821" s="6"/>
      <c r="G10821" s="6"/>
      <c r="K10821" s="6"/>
    </row>
    <row r="10822" spans="3:11" x14ac:dyDescent="0.25">
      <c r="C10822" s="6"/>
      <c r="G10822" s="6"/>
      <c r="K10822" s="6"/>
    </row>
    <row r="10823" spans="3:11" x14ac:dyDescent="0.25">
      <c r="C10823" s="6"/>
      <c r="G10823" s="6"/>
      <c r="K10823" s="6"/>
    </row>
    <row r="10824" spans="3:11" x14ac:dyDescent="0.25">
      <c r="C10824" s="6"/>
      <c r="G10824" s="6"/>
      <c r="K10824" s="6"/>
    </row>
    <row r="10825" spans="3:11" x14ac:dyDescent="0.25">
      <c r="C10825" s="6"/>
      <c r="G10825" s="6"/>
      <c r="K10825" s="6"/>
    </row>
    <row r="10826" spans="3:11" x14ac:dyDescent="0.25">
      <c r="C10826" s="6"/>
      <c r="G10826" s="6"/>
      <c r="K10826" s="6"/>
    </row>
    <row r="10827" spans="3:11" x14ac:dyDescent="0.25">
      <c r="C10827" s="6"/>
      <c r="G10827" s="6"/>
      <c r="K10827" s="6"/>
    </row>
    <row r="10828" spans="3:11" x14ac:dyDescent="0.25">
      <c r="C10828" s="6"/>
      <c r="G10828" s="6"/>
      <c r="K10828" s="6"/>
    </row>
    <row r="10829" spans="3:11" x14ac:dyDescent="0.25">
      <c r="C10829" s="6"/>
      <c r="G10829" s="6"/>
      <c r="K10829" s="6"/>
    </row>
    <row r="10830" spans="3:11" x14ac:dyDescent="0.25">
      <c r="C10830" s="6"/>
      <c r="G10830" s="6"/>
      <c r="K10830" s="6"/>
    </row>
    <row r="10831" spans="3:11" x14ac:dyDescent="0.25">
      <c r="C10831" s="6"/>
      <c r="G10831" s="6"/>
      <c r="K10831" s="6"/>
    </row>
    <row r="10832" spans="3:11" x14ac:dyDescent="0.25">
      <c r="C10832" s="6"/>
      <c r="G10832" s="6"/>
      <c r="K10832" s="6"/>
    </row>
    <row r="10833" spans="3:11" x14ac:dyDescent="0.25">
      <c r="C10833" s="6"/>
      <c r="G10833" s="6"/>
      <c r="K10833" s="6"/>
    </row>
    <row r="10834" spans="3:11" x14ac:dyDescent="0.25">
      <c r="C10834" s="6"/>
      <c r="G10834" s="6"/>
      <c r="K10834" s="6"/>
    </row>
    <row r="10835" spans="3:11" x14ac:dyDescent="0.25">
      <c r="C10835" s="6"/>
      <c r="G10835" s="6"/>
      <c r="K10835" s="6"/>
    </row>
    <row r="10836" spans="3:11" x14ac:dyDescent="0.25">
      <c r="C10836" s="6"/>
      <c r="G10836" s="6"/>
      <c r="K10836" s="6"/>
    </row>
    <row r="10837" spans="3:11" x14ac:dyDescent="0.25">
      <c r="C10837" s="6"/>
      <c r="G10837" s="6"/>
      <c r="K10837" s="6"/>
    </row>
    <row r="10838" spans="3:11" x14ac:dyDescent="0.25">
      <c r="C10838" s="6"/>
      <c r="G10838" s="6"/>
      <c r="K10838" s="6"/>
    </row>
    <row r="10839" spans="3:11" x14ac:dyDescent="0.25">
      <c r="C10839" s="6"/>
      <c r="G10839" s="6"/>
      <c r="K10839" s="6"/>
    </row>
    <row r="10840" spans="3:11" x14ac:dyDescent="0.25">
      <c r="C10840" s="6"/>
      <c r="G10840" s="6"/>
      <c r="K10840" s="6"/>
    </row>
    <row r="10841" spans="3:11" x14ac:dyDescent="0.25">
      <c r="C10841" s="6"/>
      <c r="G10841" s="6"/>
      <c r="K10841" s="6"/>
    </row>
    <row r="10842" spans="3:11" x14ac:dyDescent="0.25">
      <c r="C10842" s="6"/>
      <c r="G10842" s="6"/>
      <c r="K10842" s="6"/>
    </row>
    <row r="10843" spans="3:11" x14ac:dyDescent="0.25">
      <c r="C10843" s="6"/>
      <c r="G10843" s="6"/>
      <c r="K10843" s="6"/>
    </row>
    <row r="10844" spans="3:11" x14ac:dyDescent="0.25">
      <c r="C10844" s="6"/>
      <c r="G10844" s="6"/>
      <c r="K10844" s="6"/>
    </row>
    <row r="10845" spans="3:11" x14ac:dyDescent="0.25">
      <c r="C10845" s="6"/>
      <c r="G10845" s="6"/>
      <c r="K10845" s="6"/>
    </row>
    <row r="10846" spans="3:11" x14ac:dyDescent="0.25">
      <c r="C10846" s="6"/>
      <c r="G10846" s="6"/>
      <c r="K10846" s="6"/>
    </row>
    <row r="10847" spans="3:11" x14ac:dyDescent="0.25">
      <c r="C10847" s="6"/>
      <c r="G10847" s="6"/>
      <c r="K10847" s="6"/>
    </row>
    <row r="10848" spans="3:11" x14ac:dyDescent="0.25">
      <c r="C10848" s="6"/>
      <c r="G10848" s="6"/>
      <c r="K10848" s="6"/>
    </row>
    <row r="10849" spans="3:11" x14ac:dyDescent="0.25">
      <c r="C10849" s="6"/>
      <c r="G10849" s="6"/>
      <c r="K10849" s="6"/>
    </row>
    <row r="10850" spans="3:11" x14ac:dyDescent="0.25">
      <c r="C10850" s="6"/>
      <c r="G10850" s="6"/>
      <c r="K10850" s="6"/>
    </row>
    <row r="10851" spans="3:11" x14ac:dyDescent="0.25">
      <c r="C10851" s="6"/>
      <c r="G10851" s="6"/>
      <c r="K10851" s="6"/>
    </row>
    <row r="10852" spans="3:11" x14ac:dyDescent="0.25">
      <c r="C10852" s="6"/>
      <c r="G10852" s="6"/>
      <c r="K10852" s="6"/>
    </row>
    <row r="10853" spans="3:11" x14ac:dyDescent="0.25">
      <c r="C10853" s="6"/>
      <c r="G10853" s="6"/>
      <c r="K10853" s="6"/>
    </row>
    <row r="10854" spans="3:11" x14ac:dyDescent="0.25">
      <c r="C10854" s="6"/>
      <c r="G10854" s="6"/>
      <c r="K10854" s="6"/>
    </row>
    <row r="10855" spans="3:11" x14ac:dyDescent="0.25">
      <c r="C10855" s="6"/>
      <c r="G10855" s="6"/>
      <c r="K10855" s="6"/>
    </row>
    <row r="10856" spans="3:11" x14ac:dyDescent="0.25">
      <c r="C10856" s="6"/>
      <c r="G10856" s="6"/>
      <c r="K10856" s="6"/>
    </row>
    <row r="10857" spans="3:11" x14ac:dyDescent="0.25">
      <c r="C10857" s="6"/>
      <c r="G10857" s="6"/>
      <c r="K10857" s="6"/>
    </row>
    <row r="10858" spans="3:11" x14ac:dyDescent="0.25">
      <c r="C10858" s="6"/>
      <c r="G10858" s="6"/>
      <c r="K10858" s="6"/>
    </row>
    <row r="10859" spans="3:11" x14ac:dyDescent="0.25">
      <c r="C10859" s="6"/>
      <c r="G10859" s="6"/>
      <c r="K10859" s="6"/>
    </row>
    <row r="10860" spans="3:11" x14ac:dyDescent="0.25">
      <c r="C10860" s="6"/>
      <c r="G10860" s="6"/>
      <c r="K10860" s="6"/>
    </row>
    <row r="10861" spans="3:11" x14ac:dyDescent="0.25">
      <c r="C10861" s="6"/>
      <c r="G10861" s="6"/>
      <c r="K10861" s="6"/>
    </row>
    <row r="10862" spans="3:11" x14ac:dyDescent="0.25">
      <c r="C10862" s="6"/>
      <c r="G10862" s="6"/>
      <c r="K10862" s="6"/>
    </row>
    <row r="10863" spans="3:11" x14ac:dyDescent="0.25">
      <c r="C10863" s="6"/>
      <c r="G10863" s="6"/>
      <c r="K10863" s="6"/>
    </row>
    <row r="10864" spans="3:11" x14ac:dyDescent="0.25">
      <c r="C10864" s="6"/>
      <c r="G10864" s="6"/>
      <c r="K10864" s="6"/>
    </row>
    <row r="10865" spans="3:11" x14ac:dyDescent="0.25">
      <c r="C10865" s="6"/>
      <c r="G10865" s="6"/>
      <c r="K10865" s="6"/>
    </row>
    <row r="10866" spans="3:11" x14ac:dyDescent="0.25">
      <c r="C10866" s="6"/>
      <c r="G10866" s="6"/>
      <c r="K10866" s="6"/>
    </row>
    <row r="10867" spans="3:11" x14ac:dyDescent="0.25">
      <c r="C10867" s="6"/>
      <c r="G10867" s="6"/>
      <c r="K10867" s="6"/>
    </row>
    <row r="10868" spans="3:11" x14ac:dyDescent="0.25">
      <c r="C10868" s="6"/>
      <c r="G10868" s="6"/>
      <c r="K10868" s="6"/>
    </row>
    <row r="10869" spans="3:11" x14ac:dyDescent="0.25">
      <c r="C10869" s="6"/>
      <c r="G10869" s="6"/>
      <c r="K10869" s="6"/>
    </row>
    <row r="10870" spans="3:11" x14ac:dyDescent="0.25">
      <c r="C10870" s="6"/>
      <c r="G10870" s="6"/>
      <c r="K10870" s="6"/>
    </row>
    <row r="10871" spans="3:11" x14ac:dyDescent="0.25">
      <c r="C10871" s="6"/>
      <c r="G10871" s="6"/>
      <c r="K10871" s="6"/>
    </row>
    <row r="10872" spans="3:11" x14ac:dyDescent="0.25">
      <c r="C10872" s="6"/>
      <c r="G10872" s="6"/>
      <c r="K10872" s="6"/>
    </row>
    <row r="10873" spans="3:11" x14ac:dyDescent="0.25">
      <c r="C10873" s="6"/>
      <c r="G10873" s="6"/>
      <c r="K10873" s="6"/>
    </row>
    <row r="10874" spans="3:11" x14ac:dyDescent="0.25">
      <c r="C10874" s="6"/>
      <c r="G10874" s="6"/>
      <c r="K10874" s="6"/>
    </row>
    <row r="10875" spans="3:11" x14ac:dyDescent="0.25">
      <c r="C10875" s="6"/>
      <c r="G10875" s="6"/>
      <c r="K10875" s="6"/>
    </row>
    <row r="10876" spans="3:11" x14ac:dyDescent="0.25">
      <c r="C10876" s="6"/>
      <c r="G10876" s="6"/>
      <c r="K10876" s="6"/>
    </row>
    <row r="10877" spans="3:11" x14ac:dyDescent="0.25">
      <c r="C10877" s="6"/>
      <c r="G10877" s="6"/>
      <c r="K10877" s="6"/>
    </row>
    <row r="10878" spans="3:11" x14ac:dyDescent="0.25">
      <c r="C10878" s="6"/>
      <c r="G10878" s="6"/>
      <c r="K10878" s="6"/>
    </row>
    <row r="10879" spans="3:11" x14ac:dyDescent="0.25">
      <c r="C10879" s="6"/>
      <c r="G10879" s="6"/>
      <c r="K10879" s="6"/>
    </row>
    <row r="10880" spans="3:11" x14ac:dyDescent="0.25">
      <c r="C10880" s="6"/>
      <c r="G10880" s="6"/>
      <c r="K10880" s="6"/>
    </row>
    <row r="10881" spans="3:11" x14ac:dyDescent="0.25">
      <c r="C10881" s="6"/>
      <c r="G10881" s="6"/>
      <c r="K10881" s="6"/>
    </row>
    <row r="10882" spans="3:11" x14ac:dyDescent="0.25">
      <c r="C10882" s="6"/>
      <c r="G10882" s="6"/>
      <c r="K10882" s="6"/>
    </row>
    <row r="10883" spans="3:11" x14ac:dyDescent="0.25">
      <c r="C10883" s="6"/>
      <c r="G10883" s="6"/>
      <c r="K10883" s="6"/>
    </row>
    <row r="10884" spans="3:11" x14ac:dyDescent="0.25">
      <c r="C10884" s="6"/>
      <c r="G10884" s="6"/>
      <c r="K10884" s="6"/>
    </row>
    <row r="10885" spans="3:11" x14ac:dyDescent="0.25">
      <c r="C10885" s="6"/>
      <c r="G10885" s="6"/>
      <c r="K10885" s="6"/>
    </row>
    <row r="10886" spans="3:11" x14ac:dyDescent="0.25">
      <c r="C10886" s="6"/>
      <c r="G10886" s="6"/>
      <c r="K10886" s="6"/>
    </row>
    <row r="10887" spans="3:11" x14ac:dyDescent="0.25">
      <c r="C10887" s="6"/>
      <c r="G10887" s="6"/>
      <c r="K10887" s="6"/>
    </row>
    <row r="10888" spans="3:11" x14ac:dyDescent="0.25">
      <c r="C10888" s="6"/>
      <c r="G10888" s="6"/>
      <c r="K10888" s="6"/>
    </row>
    <row r="10889" spans="3:11" x14ac:dyDescent="0.25">
      <c r="C10889" s="6"/>
      <c r="G10889" s="6"/>
      <c r="K10889" s="6"/>
    </row>
    <row r="10890" spans="3:11" x14ac:dyDescent="0.25">
      <c r="C10890" s="6"/>
      <c r="G10890" s="6"/>
      <c r="K10890" s="6"/>
    </row>
    <row r="10891" spans="3:11" x14ac:dyDescent="0.25">
      <c r="C10891" s="6"/>
      <c r="G10891" s="6"/>
      <c r="K10891" s="6"/>
    </row>
    <row r="10892" spans="3:11" x14ac:dyDescent="0.25">
      <c r="C10892" s="6"/>
      <c r="G10892" s="6"/>
      <c r="K10892" s="6"/>
    </row>
    <row r="10893" spans="3:11" x14ac:dyDescent="0.25">
      <c r="C10893" s="6"/>
      <c r="G10893" s="6"/>
      <c r="K10893" s="6"/>
    </row>
    <row r="10894" spans="3:11" x14ac:dyDescent="0.25">
      <c r="C10894" s="6"/>
      <c r="G10894" s="6"/>
      <c r="K10894" s="6"/>
    </row>
    <row r="10895" spans="3:11" x14ac:dyDescent="0.25">
      <c r="C10895" s="6"/>
      <c r="G10895" s="6"/>
      <c r="K10895" s="6"/>
    </row>
    <row r="10896" spans="3:11" x14ac:dyDescent="0.25">
      <c r="C10896" s="6"/>
      <c r="G10896" s="6"/>
      <c r="K10896" s="6"/>
    </row>
    <row r="10897" spans="3:11" x14ac:dyDescent="0.25">
      <c r="C10897" s="6"/>
      <c r="G10897" s="6"/>
      <c r="K10897" s="6"/>
    </row>
    <row r="10898" spans="3:11" x14ac:dyDescent="0.25">
      <c r="C10898" s="6"/>
      <c r="G10898" s="6"/>
      <c r="K10898" s="6"/>
    </row>
    <row r="10899" spans="3:11" x14ac:dyDescent="0.25">
      <c r="C10899" s="6"/>
      <c r="G10899" s="6"/>
      <c r="K10899" s="6"/>
    </row>
    <row r="10900" spans="3:11" x14ac:dyDescent="0.25">
      <c r="C10900" s="6"/>
      <c r="G10900" s="6"/>
      <c r="K10900" s="6"/>
    </row>
    <row r="10901" spans="3:11" x14ac:dyDescent="0.25">
      <c r="C10901" s="6"/>
      <c r="G10901" s="6"/>
      <c r="K10901" s="6"/>
    </row>
    <row r="10902" spans="3:11" x14ac:dyDescent="0.25">
      <c r="C10902" s="6"/>
      <c r="G10902" s="6"/>
      <c r="K10902" s="6"/>
    </row>
    <row r="10903" spans="3:11" x14ac:dyDescent="0.25">
      <c r="C10903" s="6"/>
      <c r="G10903" s="6"/>
      <c r="K10903" s="6"/>
    </row>
    <row r="10904" spans="3:11" x14ac:dyDescent="0.25">
      <c r="C10904" s="6"/>
      <c r="G10904" s="6"/>
      <c r="K10904" s="6"/>
    </row>
    <row r="10905" spans="3:11" x14ac:dyDescent="0.25">
      <c r="C10905" s="6"/>
      <c r="G10905" s="6"/>
      <c r="K10905" s="6"/>
    </row>
    <row r="10906" spans="3:11" x14ac:dyDescent="0.25">
      <c r="C10906" s="6"/>
      <c r="G10906" s="6"/>
      <c r="K10906" s="6"/>
    </row>
    <row r="10907" spans="3:11" x14ac:dyDescent="0.25">
      <c r="C10907" s="6"/>
      <c r="G10907" s="6"/>
      <c r="K10907" s="6"/>
    </row>
    <row r="10908" spans="3:11" x14ac:dyDescent="0.25">
      <c r="C10908" s="6"/>
      <c r="G10908" s="6"/>
      <c r="K10908" s="6"/>
    </row>
    <row r="10909" spans="3:11" x14ac:dyDescent="0.25">
      <c r="C10909" s="6"/>
      <c r="G10909" s="6"/>
      <c r="K10909" s="6"/>
    </row>
    <row r="10910" spans="3:11" x14ac:dyDescent="0.25">
      <c r="C10910" s="6"/>
      <c r="G10910" s="6"/>
      <c r="K10910" s="6"/>
    </row>
    <row r="10911" spans="3:11" x14ac:dyDescent="0.25">
      <c r="C10911" s="6"/>
      <c r="G10911" s="6"/>
      <c r="K10911" s="6"/>
    </row>
    <row r="10912" spans="3:11" x14ac:dyDescent="0.25">
      <c r="C10912" s="6"/>
      <c r="G10912" s="6"/>
      <c r="K10912" s="6"/>
    </row>
    <row r="10913" spans="3:11" x14ac:dyDescent="0.25">
      <c r="C10913" s="6"/>
      <c r="G10913" s="6"/>
      <c r="K10913" s="6"/>
    </row>
    <row r="10914" spans="3:11" x14ac:dyDescent="0.25">
      <c r="C10914" s="6"/>
      <c r="G10914" s="6"/>
      <c r="K10914" s="6"/>
    </row>
    <row r="10915" spans="3:11" x14ac:dyDescent="0.25">
      <c r="C10915" s="6"/>
      <c r="G10915" s="6"/>
      <c r="K10915" s="6"/>
    </row>
    <row r="10916" spans="3:11" x14ac:dyDescent="0.25">
      <c r="C10916" s="6"/>
      <c r="G10916" s="6"/>
      <c r="K10916" s="6"/>
    </row>
    <row r="10917" spans="3:11" x14ac:dyDescent="0.25">
      <c r="C10917" s="6"/>
      <c r="G10917" s="6"/>
      <c r="K10917" s="6"/>
    </row>
    <row r="10918" spans="3:11" x14ac:dyDescent="0.25">
      <c r="C10918" s="6"/>
      <c r="G10918" s="6"/>
      <c r="K10918" s="6"/>
    </row>
    <row r="10919" spans="3:11" x14ac:dyDescent="0.25">
      <c r="C10919" s="6"/>
      <c r="G10919" s="6"/>
      <c r="K10919" s="6"/>
    </row>
    <row r="10920" spans="3:11" x14ac:dyDescent="0.25">
      <c r="C10920" s="6"/>
      <c r="G10920" s="6"/>
      <c r="K10920" s="6"/>
    </row>
    <row r="10921" spans="3:11" x14ac:dyDescent="0.25">
      <c r="C10921" s="6"/>
      <c r="G10921" s="6"/>
      <c r="K10921" s="6"/>
    </row>
    <row r="10922" spans="3:11" x14ac:dyDescent="0.25">
      <c r="C10922" s="6"/>
      <c r="G10922" s="6"/>
      <c r="K10922" s="6"/>
    </row>
    <row r="10923" spans="3:11" x14ac:dyDescent="0.25">
      <c r="C10923" s="6"/>
      <c r="G10923" s="6"/>
      <c r="K10923" s="6"/>
    </row>
    <row r="10924" spans="3:11" x14ac:dyDescent="0.25">
      <c r="C10924" s="6"/>
      <c r="G10924" s="6"/>
      <c r="K10924" s="6"/>
    </row>
    <row r="10925" spans="3:11" x14ac:dyDescent="0.25">
      <c r="C10925" s="6"/>
      <c r="G10925" s="6"/>
      <c r="K10925" s="6"/>
    </row>
    <row r="10926" spans="3:11" x14ac:dyDescent="0.25">
      <c r="C10926" s="6"/>
      <c r="G10926" s="6"/>
      <c r="K10926" s="6"/>
    </row>
    <row r="10927" spans="3:11" x14ac:dyDescent="0.25">
      <c r="C10927" s="6"/>
      <c r="G10927" s="6"/>
      <c r="K10927" s="6"/>
    </row>
    <row r="10928" spans="3:11" x14ac:dyDescent="0.25">
      <c r="C10928" s="6"/>
      <c r="G10928" s="6"/>
      <c r="K10928" s="6"/>
    </row>
    <row r="10929" spans="3:11" x14ac:dyDescent="0.25">
      <c r="C10929" s="6"/>
      <c r="G10929" s="6"/>
      <c r="K10929" s="6"/>
    </row>
    <row r="10930" spans="3:11" x14ac:dyDescent="0.25">
      <c r="C10930" s="6"/>
      <c r="G10930" s="6"/>
      <c r="K10930" s="6"/>
    </row>
    <row r="10931" spans="3:11" x14ac:dyDescent="0.25">
      <c r="C10931" s="6"/>
      <c r="G10931" s="6"/>
      <c r="K10931" s="6"/>
    </row>
    <row r="10932" spans="3:11" x14ac:dyDescent="0.25">
      <c r="C10932" s="6"/>
      <c r="G10932" s="6"/>
      <c r="K10932" s="6"/>
    </row>
    <row r="10933" spans="3:11" x14ac:dyDescent="0.25">
      <c r="C10933" s="6"/>
      <c r="G10933" s="6"/>
      <c r="K10933" s="6"/>
    </row>
    <row r="10934" spans="3:11" x14ac:dyDescent="0.25">
      <c r="C10934" s="6"/>
      <c r="G10934" s="6"/>
      <c r="K10934" s="6"/>
    </row>
    <row r="10935" spans="3:11" x14ac:dyDescent="0.25">
      <c r="C10935" s="6"/>
      <c r="G10935" s="6"/>
      <c r="K10935" s="6"/>
    </row>
    <row r="10936" spans="3:11" x14ac:dyDescent="0.25">
      <c r="C10936" s="6"/>
      <c r="G10936" s="6"/>
      <c r="K10936" s="6"/>
    </row>
    <row r="10937" spans="3:11" x14ac:dyDescent="0.25">
      <c r="C10937" s="6"/>
      <c r="G10937" s="6"/>
      <c r="K10937" s="6"/>
    </row>
    <row r="10938" spans="3:11" x14ac:dyDescent="0.25">
      <c r="C10938" s="6"/>
      <c r="G10938" s="6"/>
      <c r="K10938" s="6"/>
    </row>
    <row r="10939" spans="3:11" x14ac:dyDescent="0.25">
      <c r="C10939" s="6"/>
      <c r="G10939" s="6"/>
      <c r="K10939" s="6"/>
    </row>
    <row r="10940" spans="3:11" x14ac:dyDescent="0.25">
      <c r="C10940" s="6"/>
      <c r="G10940" s="6"/>
      <c r="K10940" s="6"/>
    </row>
    <row r="10941" spans="3:11" x14ac:dyDescent="0.25">
      <c r="C10941" s="6"/>
      <c r="G10941" s="6"/>
      <c r="K10941" s="6"/>
    </row>
    <row r="10942" spans="3:11" x14ac:dyDescent="0.25">
      <c r="C10942" s="6"/>
      <c r="G10942" s="6"/>
      <c r="K10942" s="6"/>
    </row>
    <row r="10943" spans="3:11" x14ac:dyDescent="0.25">
      <c r="C10943" s="6"/>
      <c r="G10943" s="6"/>
      <c r="K10943" s="6"/>
    </row>
    <row r="10944" spans="3:11" x14ac:dyDescent="0.25">
      <c r="C10944" s="6"/>
      <c r="G10944" s="6"/>
      <c r="K10944" s="6"/>
    </row>
    <row r="10945" spans="3:11" x14ac:dyDescent="0.25">
      <c r="C10945" s="6"/>
      <c r="G10945" s="6"/>
      <c r="K10945" s="6"/>
    </row>
    <row r="10946" spans="3:11" x14ac:dyDescent="0.25">
      <c r="C10946" s="6"/>
      <c r="G10946" s="6"/>
      <c r="K10946" s="6"/>
    </row>
    <row r="10947" spans="3:11" x14ac:dyDescent="0.25">
      <c r="C10947" s="6"/>
      <c r="G10947" s="6"/>
      <c r="K10947" s="6"/>
    </row>
    <row r="10948" spans="3:11" x14ac:dyDescent="0.25">
      <c r="C10948" s="6"/>
      <c r="G10948" s="6"/>
      <c r="K10948" s="6"/>
    </row>
    <row r="10949" spans="3:11" x14ac:dyDescent="0.25">
      <c r="C10949" s="6"/>
      <c r="G10949" s="6"/>
      <c r="K10949" s="6"/>
    </row>
    <row r="10950" spans="3:11" x14ac:dyDescent="0.25">
      <c r="C10950" s="6"/>
      <c r="G10950" s="6"/>
      <c r="K10950" s="6"/>
    </row>
    <row r="10951" spans="3:11" x14ac:dyDescent="0.25">
      <c r="C10951" s="6"/>
      <c r="G10951" s="6"/>
      <c r="K10951" s="6"/>
    </row>
    <row r="10952" spans="3:11" x14ac:dyDescent="0.25">
      <c r="C10952" s="6"/>
      <c r="G10952" s="6"/>
      <c r="K10952" s="6"/>
    </row>
    <row r="10953" spans="3:11" x14ac:dyDescent="0.25">
      <c r="C10953" s="6"/>
      <c r="G10953" s="6"/>
      <c r="K10953" s="6"/>
    </row>
    <row r="10954" spans="3:11" x14ac:dyDescent="0.25">
      <c r="C10954" s="6"/>
      <c r="G10954" s="6"/>
      <c r="K10954" s="6"/>
    </row>
    <row r="10955" spans="3:11" x14ac:dyDescent="0.25">
      <c r="C10955" s="6"/>
      <c r="G10955" s="6"/>
      <c r="K10955" s="6"/>
    </row>
    <row r="10956" spans="3:11" x14ac:dyDescent="0.25">
      <c r="C10956" s="6"/>
      <c r="G10956" s="6"/>
      <c r="K10956" s="6"/>
    </row>
    <row r="10957" spans="3:11" x14ac:dyDescent="0.25">
      <c r="C10957" s="6"/>
      <c r="G10957" s="6"/>
      <c r="K10957" s="6"/>
    </row>
    <row r="10958" spans="3:11" x14ac:dyDescent="0.25">
      <c r="C10958" s="6"/>
      <c r="G10958" s="6"/>
      <c r="K10958" s="6"/>
    </row>
    <row r="10959" spans="3:11" x14ac:dyDescent="0.25">
      <c r="C10959" s="6"/>
      <c r="G10959" s="6"/>
      <c r="K10959" s="6"/>
    </row>
    <row r="10960" spans="3:11" x14ac:dyDescent="0.25">
      <c r="C10960" s="6"/>
      <c r="G10960" s="6"/>
      <c r="K10960" s="6"/>
    </row>
    <row r="10961" spans="3:11" x14ac:dyDescent="0.25">
      <c r="C10961" s="6"/>
      <c r="G10961" s="6"/>
      <c r="K10961" s="6"/>
    </row>
    <row r="10962" spans="3:11" x14ac:dyDescent="0.25">
      <c r="C10962" s="6"/>
      <c r="G10962" s="6"/>
      <c r="K10962" s="6"/>
    </row>
    <row r="10963" spans="3:11" x14ac:dyDescent="0.25">
      <c r="C10963" s="6"/>
      <c r="G10963" s="6"/>
      <c r="K10963" s="6"/>
    </row>
    <row r="10964" spans="3:11" x14ac:dyDescent="0.25">
      <c r="C10964" s="6"/>
      <c r="G10964" s="6"/>
      <c r="K10964" s="6"/>
    </row>
    <row r="10965" spans="3:11" x14ac:dyDescent="0.25">
      <c r="C10965" s="6"/>
      <c r="G10965" s="6"/>
      <c r="K10965" s="6"/>
    </row>
    <row r="10966" spans="3:11" x14ac:dyDescent="0.25">
      <c r="C10966" s="6"/>
      <c r="G10966" s="6"/>
      <c r="K10966" s="6"/>
    </row>
    <row r="10967" spans="3:11" x14ac:dyDescent="0.25">
      <c r="C10967" s="6"/>
      <c r="G10967" s="6"/>
      <c r="K10967" s="6"/>
    </row>
    <row r="10968" spans="3:11" x14ac:dyDescent="0.25">
      <c r="C10968" s="6"/>
      <c r="G10968" s="6"/>
      <c r="K10968" s="6"/>
    </row>
    <row r="10969" spans="3:11" x14ac:dyDescent="0.25">
      <c r="C10969" s="6"/>
      <c r="G10969" s="6"/>
      <c r="K10969" s="6"/>
    </row>
    <row r="10970" spans="3:11" x14ac:dyDescent="0.25">
      <c r="C10970" s="6"/>
      <c r="G10970" s="6"/>
      <c r="K10970" s="6"/>
    </row>
    <row r="10971" spans="3:11" x14ac:dyDescent="0.25">
      <c r="C10971" s="6"/>
      <c r="G10971" s="6"/>
      <c r="K10971" s="6"/>
    </row>
    <row r="10972" spans="3:11" x14ac:dyDescent="0.25">
      <c r="C10972" s="6"/>
      <c r="G10972" s="6"/>
      <c r="K10972" s="6"/>
    </row>
    <row r="10973" spans="3:11" x14ac:dyDescent="0.25">
      <c r="C10973" s="6"/>
      <c r="G10973" s="6"/>
      <c r="K10973" s="6"/>
    </row>
    <row r="10974" spans="3:11" x14ac:dyDescent="0.25">
      <c r="C10974" s="6"/>
      <c r="G10974" s="6"/>
      <c r="K10974" s="6"/>
    </row>
    <row r="10975" spans="3:11" x14ac:dyDescent="0.25">
      <c r="C10975" s="6"/>
      <c r="G10975" s="6"/>
      <c r="K10975" s="6"/>
    </row>
    <row r="10976" spans="3:11" x14ac:dyDescent="0.25">
      <c r="C10976" s="6"/>
      <c r="G10976" s="6"/>
      <c r="K10976" s="6"/>
    </row>
    <row r="10977" spans="3:11" x14ac:dyDescent="0.25">
      <c r="C10977" s="6"/>
      <c r="G10977" s="6"/>
      <c r="K10977" s="6"/>
    </row>
    <row r="10978" spans="3:11" x14ac:dyDescent="0.25">
      <c r="C10978" s="6"/>
      <c r="G10978" s="6"/>
      <c r="K10978" s="6"/>
    </row>
    <row r="10979" spans="3:11" x14ac:dyDescent="0.25">
      <c r="C10979" s="6"/>
      <c r="G10979" s="6"/>
      <c r="K10979" s="6"/>
    </row>
    <row r="10980" spans="3:11" x14ac:dyDescent="0.25">
      <c r="C10980" s="6"/>
      <c r="G10980" s="6"/>
      <c r="K10980" s="6"/>
    </row>
    <row r="10981" spans="3:11" x14ac:dyDescent="0.25">
      <c r="C10981" s="6"/>
      <c r="G10981" s="6"/>
      <c r="K10981" s="6"/>
    </row>
    <row r="10982" spans="3:11" x14ac:dyDescent="0.25">
      <c r="C10982" s="6"/>
      <c r="G10982" s="6"/>
      <c r="K10982" s="6"/>
    </row>
    <row r="10983" spans="3:11" x14ac:dyDescent="0.25">
      <c r="C10983" s="6"/>
      <c r="G10983" s="6"/>
      <c r="K10983" s="6"/>
    </row>
    <row r="10984" spans="3:11" x14ac:dyDescent="0.25">
      <c r="C10984" s="6"/>
      <c r="G10984" s="6"/>
      <c r="K10984" s="6"/>
    </row>
    <row r="10985" spans="3:11" x14ac:dyDescent="0.25">
      <c r="C10985" s="6"/>
      <c r="G10985" s="6"/>
      <c r="K10985" s="6"/>
    </row>
    <row r="10986" spans="3:11" x14ac:dyDescent="0.25">
      <c r="C10986" s="6"/>
      <c r="G10986" s="6"/>
      <c r="K10986" s="6"/>
    </row>
    <row r="10987" spans="3:11" x14ac:dyDescent="0.25">
      <c r="C10987" s="6"/>
      <c r="G10987" s="6"/>
      <c r="K10987" s="6"/>
    </row>
    <row r="10988" spans="3:11" x14ac:dyDescent="0.25">
      <c r="C10988" s="6"/>
      <c r="G10988" s="6"/>
      <c r="K10988" s="6"/>
    </row>
    <row r="10989" spans="3:11" x14ac:dyDescent="0.25">
      <c r="C10989" s="6"/>
      <c r="G10989" s="6"/>
      <c r="K10989" s="6"/>
    </row>
    <row r="10990" spans="3:11" x14ac:dyDescent="0.25">
      <c r="C10990" s="6"/>
      <c r="G10990" s="6"/>
      <c r="K10990" s="6"/>
    </row>
    <row r="10991" spans="3:11" x14ac:dyDescent="0.25">
      <c r="C10991" s="6"/>
      <c r="G10991" s="6"/>
      <c r="K10991" s="6"/>
    </row>
    <row r="10992" spans="3:11" x14ac:dyDescent="0.25">
      <c r="C10992" s="6"/>
      <c r="G10992" s="6"/>
      <c r="K10992" s="6"/>
    </row>
    <row r="10993" spans="3:11" x14ac:dyDescent="0.25">
      <c r="C10993" s="6"/>
      <c r="G10993" s="6"/>
      <c r="K10993" s="6"/>
    </row>
    <row r="10994" spans="3:11" x14ac:dyDescent="0.25">
      <c r="C10994" s="6"/>
      <c r="G10994" s="6"/>
      <c r="K10994" s="6"/>
    </row>
    <row r="10995" spans="3:11" x14ac:dyDescent="0.25">
      <c r="C10995" s="6"/>
      <c r="G10995" s="6"/>
      <c r="K10995" s="6"/>
    </row>
    <row r="10996" spans="3:11" x14ac:dyDescent="0.25">
      <c r="C10996" s="6"/>
      <c r="G10996" s="6"/>
      <c r="K10996" s="6"/>
    </row>
    <row r="10997" spans="3:11" x14ac:dyDescent="0.25">
      <c r="C10997" s="6"/>
      <c r="G10997" s="6"/>
      <c r="K10997" s="6"/>
    </row>
    <row r="10998" spans="3:11" x14ac:dyDescent="0.25">
      <c r="C10998" s="6"/>
      <c r="G10998" s="6"/>
      <c r="K10998" s="6"/>
    </row>
    <row r="10999" spans="3:11" x14ac:dyDescent="0.25">
      <c r="C10999" s="6"/>
      <c r="G10999" s="6"/>
      <c r="K10999" s="6"/>
    </row>
    <row r="11000" spans="3:11" x14ac:dyDescent="0.25">
      <c r="C11000" s="6"/>
      <c r="G11000" s="6"/>
      <c r="K11000" s="6"/>
    </row>
    <row r="11001" spans="3:11" x14ac:dyDescent="0.25">
      <c r="C11001" s="6"/>
      <c r="G11001" s="6"/>
      <c r="K11001" s="6"/>
    </row>
    <row r="11002" spans="3:11" x14ac:dyDescent="0.25">
      <c r="C11002" s="6"/>
      <c r="G11002" s="6"/>
      <c r="K11002" s="6"/>
    </row>
    <row r="11003" spans="3:11" x14ac:dyDescent="0.25">
      <c r="C11003" s="6"/>
      <c r="G11003" s="6"/>
      <c r="K11003" s="6"/>
    </row>
    <row r="11004" spans="3:11" x14ac:dyDescent="0.25">
      <c r="C11004" s="6"/>
      <c r="G11004" s="6"/>
      <c r="K11004" s="6"/>
    </row>
    <row r="11005" spans="3:11" x14ac:dyDescent="0.25">
      <c r="C11005" s="6"/>
      <c r="G11005" s="6"/>
      <c r="K11005" s="6"/>
    </row>
    <row r="11006" spans="3:11" x14ac:dyDescent="0.25">
      <c r="C11006" s="6"/>
      <c r="G11006" s="6"/>
      <c r="K11006" s="6"/>
    </row>
    <row r="11007" spans="3:11" x14ac:dyDescent="0.25">
      <c r="C11007" s="6"/>
      <c r="G11007" s="6"/>
      <c r="K11007" s="6"/>
    </row>
    <row r="11008" spans="3:11" x14ac:dyDescent="0.25">
      <c r="C11008" s="6"/>
      <c r="G11008" s="6"/>
      <c r="K11008" s="6"/>
    </row>
    <row r="11009" spans="3:11" x14ac:dyDescent="0.25">
      <c r="C11009" s="6"/>
      <c r="G11009" s="6"/>
      <c r="K11009" s="6"/>
    </row>
    <row r="11010" spans="3:11" x14ac:dyDescent="0.25">
      <c r="C11010" s="6"/>
      <c r="G11010" s="6"/>
      <c r="K11010" s="6"/>
    </row>
    <row r="11011" spans="3:11" x14ac:dyDescent="0.25">
      <c r="C11011" s="6"/>
      <c r="G11011" s="6"/>
      <c r="K11011" s="6"/>
    </row>
    <row r="11012" spans="3:11" x14ac:dyDescent="0.25">
      <c r="C11012" s="6"/>
      <c r="G11012" s="6"/>
      <c r="K11012" s="6"/>
    </row>
    <row r="11013" spans="3:11" x14ac:dyDescent="0.25">
      <c r="C11013" s="6"/>
      <c r="G11013" s="6"/>
      <c r="K11013" s="6"/>
    </row>
    <row r="11014" spans="3:11" x14ac:dyDescent="0.25">
      <c r="C11014" s="6"/>
      <c r="G11014" s="6"/>
      <c r="K11014" s="6"/>
    </row>
    <row r="11015" spans="3:11" x14ac:dyDescent="0.25">
      <c r="C11015" s="6"/>
      <c r="G11015" s="6"/>
      <c r="K11015" s="6"/>
    </row>
    <row r="11016" spans="3:11" x14ac:dyDescent="0.25">
      <c r="C11016" s="6"/>
      <c r="G11016" s="6"/>
      <c r="K11016" s="6"/>
    </row>
    <row r="11017" spans="3:11" x14ac:dyDescent="0.25">
      <c r="C11017" s="6"/>
      <c r="G11017" s="6"/>
      <c r="K11017" s="6"/>
    </row>
    <row r="11018" spans="3:11" x14ac:dyDescent="0.25">
      <c r="C11018" s="6"/>
      <c r="G11018" s="6"/>
      <c r="K11018" s="6"/>
    </row>
    <row r="11019" spans="3:11" x14ac:dyDescent="0.25">
      <c r="C11019" s="6"/>
      <c r="G11019" s="6"/>
      <c r="K11019" s="6"/>
    </row>
    <row r="11020" spans="3:11" x14ac:dyDescent="0.25">
      <c r="C11020" s="6"/>
      <c r="G11020" s="6"/>
      <c r="K11020" s="6"/>
    </row>
    <row r="11021" spans="3:11" x14ac:dyDescent="0.25">
      <c r="C11021" s="6"/>
      <c r="G11021" s="6"/>
      <c r="K11021" s="6"/>
    </row>
    <row r="11022" spans="3:11" x14ac:dyDescent="0.25">
      <c r="C11022" s="6"/>
      <c r="G11022" s="6"/>
      <c r="K11022" s="6"/>
    </row>
    <row r="11023" spans="3:11" x14ac:dyDescent="0.25">
      <c r="C11023" s="6"/>
      <c r="G11023" s="6"/>
      <c r="K11023" s="6"/>
    </row>
    <row r="11024" spans="3:11" x14ac:dyDescent="0.25">
      <c r="C11024" s="6"/>
      <c r="G11024" s="6"/>
      <c r="K11024" s="6"/>
    </row>
    <row r="11025" spans="3:11" x14ac:dyDescent="0.25">
      <c r="C11025" s="6"/>
      <c r="G11025" s="6"/>
      <c r="K11025" s="6"/>
    </row>
    <row r="11026" spans="3:11" x14ac:dyDescent="0.25">
      <c r="C11026" s="6"/>
      <c r="G11026" s="6"/>
      <c r="K11026" s="6"/>
    </row>
    <row r="11027" spans="3:11" x14ac:dyDescent="0.25">
      <c r="C11027" s="6"/>
      <c r="G11027" s="6"/>
      <c r="K11027" s="6"/>
    </row>
    <row r="11028" spans="3:11" x14ac:dyDescent="0.25">
      <c r="C11028" s="6"/>
      <c r="G11028" s="6"/>
      <c r="K11028" s="6"/>
    </row>
    <row r="11029" spans="3:11" x14ac:dyDescent="0.25">
      <c r="C11029" s="6"/>
      <c r="G11029" s="6"/>
      <c r="K11029" s="6"/>
    </row>
    <row r="11030" spans="3:11" x14ac:dyDescent="0.25">
      <c r="C11030" s="6"/>
      <c r="G11030" s="6"/>
      <c r="K11030" s="6"/>
    </row>
    <row r="11031" spans="3:11" x14ac:dyDescent="0.25">
      <c r="C11031" s="6"/>
      <c r="G11031" s="6"/>
      <c r="K11031" s="6"/>
    </row>
    <row r="11032" spans="3:11" x14ac:dyDescent="0.25">
      <c r="C11032" s="6"/>
      <c r="G11032" s="6"/>
      <c r="K11032" s="6"/>
    </row>
    <row r="11033" spans="3:11" x14ac:dyDescent="0.25">
      <c r="C11033" s="6"/>
      <c r="G11033" s="6"/>
      <c r="K11033" s="6"/>
    </row>
    <row r="11034" spans="3:11" x14ac:dyDescent="0.25">
      <c r="C11034" s="6"/>
      <c r="G11034" s="6"/>
      <c r="K11034" s="6"/>
    </row>
    <row r="11035" spans="3:11" x14ac:dyDescent="0.25">
      <c r="C11035" s="6"/>
      <c r="G11035" s="6"/>
      <c r="K11035" s="6"/>
    </row>
    <row r="11036" spans="3:11" x14ac:dyDescent="0.25">
      <c r="C11036" s="6"/>
      <c r="G11036" s="6"/>
      <c r="K11036" s="6"/>
    </row>
    <row r="11037" spans="3:11" x14ac:dyDescent="0.25">
      <c r="C11037" s="6"/>
      <c r="G11037" s="6"/>
      <c r="K11037" s="6"/>
    </row>
    <row r="11038" spans="3:11" x14ac:dyDescent="0.25">
      <c r="C11038" s="6"/>
      <c r="G11038" s="6"/>
      <c r="K11038" s="6"/>
    </row>
    <row r="11039" spans="3:11" x14ac:dyDescent="0.25">
      <c r="C11039" s="6"/>
      <c r="G11039" s="6"/>
      <c r="K11039" s="6"/>
    </row>
    <row r="11040" spans="3:11" x14ac:dyDescent="0.25">
      <c r="C11040" s="6"/>
      <c r="G11040" s="6"/>
      <c r="K11040" s="6"/>
    </row>
    <row r="11041" spans="3:11" x14ac:dyDescent="0.25">
      <c r="C11041" s="6"/>
      <c r="G11041" s="6"/>
      <c r="K11041" s="6"/>
    </row>
    <row r="11042" spans="3:11" x14ac:dyDescent="0.25">
      <c r="C11042" s="6"/>
      <c r="G11042" s="6"/>
      <c r="K11042" s="6"/>
    </row>
    <row r="11043" spans="3:11" x14ac:dyDescent="0.25">
      <c r="C11043" s="6"/>
      <c r="G11043" s="6"/>
      <c r="K11043" s="6"/>
    </row>
    <row r="11044" spans="3:11" x14ac:dyDescent="0.25">
      <c r="C11044" s="6"/>
      <c r="G11044" s="6"/>
      <c r="K11044" s="6"/>
    </row>
    <row r="11045" spans="3:11" x14ac:dyDescent="0.25">
      <c r="C11045" s="6"/>
      <c r="G11045" s="6"/>
      <c r="K11045" s="6"/>
    </row>
    <row r="11046" spans="3:11" x14ac:dyDescent="0.25">
      <c r="C11046" s="6"/>
      <c r="G11046" s="6"/>
      <c r="K11046" s="6"/>
    </row>
    <row r="11047" spans="3:11" x14ac:dyDescent="0.25">
      <c r="C11047" s="6"/>
      <c r="G11047" s="6"/>
      <c r="K11047" s="6"/>
    </row>
    <row r="11048" spans="3:11" x14ac:dyDescent="0.25">
      <c r="C11048" s="6"/>
      <c r="G11048" s="6"/>
      <c r="K11048" s="6"/>
    </row>
    <row r="11049" spans="3:11" x14ac:dyDescent="0.25">
      <c r="C11049" s="6"/>
      <c r="G11049" s="6"/>
      <c r="K11049" s="6"/>
    </row>
    <row r="11050" spans="3:11" x14ac:dyDescent="0.25">
      <c r="C11050" s="6"/>
      <c r="G11050" s="6"/>
      <c r="K11050" s="6"/>
    </row>
    <row r="11051" spans="3:11" x14ac:dyDescent="0.25">
      <c r="C11051" s="6"/>
      <c r="G11051" s="6"/>
      <c r="K11051" s="6"/>
    </row>
    <row r="11052" spans="3:11" x14ac:dyDescent="0.25">
      <c r="C11052" s="6"/>
      <c r="G11052" s="6"/>
      <c r="K11052" s="6"/>
    </row>
    <row r="11053" spans="3:11" x14ac:dyDescent="0.25">
      <c r="C11053" s="6"/>
      <c r="G11053" s="6"/>
      <c r="K11053" s="6"/>
    </row>
    <row r="11054" spans="3:11" x14ac:dyDescent="0.25">
      <c r="C11054" s="6"/>
      <c r="G11054" s="6"/>
      <c r="K11054" s="6"/>
    </row>
    <row r="11055" spans="3:11" x14ac:dyDescent="0.25">
      <c r="C11055" s="6"/>
      <c r="G11055" s="6"/>
      <c r="K11055" s="6"/>
    </row>
    <row r="11056" spans="3:11" x14ac:dyDescent="0.25">
      <c r="C11056" s="6"/>
      <c r="G11056" s="6"/>
      <c r="K11056" s="6"/>
    </row>
    <row r="11057" spans="3:11" x14ac:dyDescent="0.25">
      <c r="C11057" s="6"/>
      <c r="G11057" s="6"/>
      <c r="K11057" s="6"/>
    </row>
    <row r="11058" spans="3:11" x14ac:dyDescent="0.25">
      <c r="C11058" s="6"/>
      <c r="G11058" s="6"/>
      <c r="K11058" s="6"/>
    </row>
    <row r="11059" spans="3:11" x14ac:dyDescent="0.25">
      <c r="C11059" s="6"/>
      <c r="G11059" s="6"/>
      <c r="K11059" s="6"/>
    </row>
    <row r="11060" spans="3:11" x14ac:dyDescent="0.25">
      <c r="C11060" s="6"/>
      <c r="G11060" s="6"/>
      <c r="K11060" s="6"/>
    </row>
    <row r="11061" spans="3:11" x14ac:dyDescent="0.25">
      <c r="C11061" s="6"/>
      <c r="G11061" s="6"/>
      <c r="K11061" s="6"/>
    </row>
    <row r="11062" spans="3:11" x14ac:dyDescent="0.25">
      <c r="C11062" s="6"/>
      <c r="G11062" s="6"/>
      <c r="K11062" s="6"/>
    </row>
    <row r="11063" spans="3:11" x14ac:dyDescent="0.25">
      <c r="C11063" s="6"/>
      <c r="G11063" s="6"/>
      <c r="K11063" s="6"/>
    </row>
    <row r="11064" spans="3:11" x14ac:dyDescent="0.25">
      <c r="C11064" s="6"/>
      <c r="G11064" s="6"/>
      <c r="K11064" s="6"/>
    </row>
    <row r="11065" spans="3:11" x14ac:dyDescent="0.25">
      <c r="C11065" s="6"/>
      <c r="G11065" s="6"/>
      <c r="K11065" s="6"/>
    </row>
    <row r="11066" spans="3:11" x14ac:dyDescent="0.25">
      <c r="C11066" s="6"/>
      <c r="G11066" s="6"/>
      <c r="K11066" s="6"/>
    </row>
    <row r="11067" spans="3:11" x14ac:dyDescent="0.25">
      <c r="C11067" s="6"/>
      <c r="G11067" s="6"/>
      <c r="K11067" s="6"/>
    </row>
    <row r="11068" spans="3:11" x14ac:dyDescent="0.25">
      <c r="C11068" s="6"/>
      <c r="G11068" s="6"/>
      <c r="K11068" s="6"/>
    </row>
    <row r="11069" spans="3:11" x14ac:dyDescent="0.25">
      <c r="C11069" s="6"/>
      <c r="G11069" s="6"/>
      <c r="K11069" s="6"/>
    </row>
    <row r="11070" spans="3:11" x14ac:dyDescent="0.25">
      <c r="C11070" s="6"/>
      <c r="G11070" s="6"/>
      <c r="K11070" s="6"/>
    </row>
    <row r="11071" spans="3:11" x14ac:dyDescent="0.25">
      <c r="C11071" s="6"/>
      <c r="G11071" s="6"/>
      <c r="K11071" s="6"/>
    </row>
    <row r="11072" spans="3:11" x14ac:dyDescent="0.25">
      <c r="C11072" s="6"/>
      <c r="G11072" s="6"/>
      <c r="K11072" s="6"/>
    </row>
    <row r="11073" spans="3:11" x14ac:dyDescent="0.25">
      <c r="C11073" s="6"/>
      <c r="G11073" s="6"/>
      <c r="K11073" s="6"/>
    </row>
    <row r="11074" spans="3:11" x14ac:dyDescent="0.25">
      <c r="C11074" s="6"/>
      <c r="G11074" s="6"/>
      <c r="K11074" s="6"/>
    </row>
    <row r="11075" spans="3:11" x14ac:dyDescent="0.25">
      <c r="C11075" s="6"/>
      <c r="G11075" s="6"/>
      <c r="K11075" s="6"/>
    </row>
    <row r="11076" spans="3:11" x14ac:dyDescent="0.25">
      <c r="C11076" s="6"/>
      <c r="G11076" s="6"/>
      <c r="K11076" s="6"/>
    </row>
    <row r="11077" spans="3:11" x14ac:dyDescent="0.25">
      <c r="C11077" s="6"/>
      <c r="G11077" s="6"/>
      <c r="K11077" s="6"/>
    </row>
    <row r="11078" spans="3:11" x14ac:dyDescent="0.25">
      <c r="C11078" s="6"/>
      <c r="G11078" s="6"/>
      <c r="K11078" s="6"/>
    </row>
    <row r="11079" spans="3:11" x14ac:dyDescent="0.25">
      <c r="C11079" s="6"/>
      <c r="G11079" s="6"/>
      <c r="K11079" s="6"/>
    </row>
    <row r="11080" spans="3:11" x14ac:dyDescent="0.25">
      <c r="C11080" s="6"/>
      <c r="G11080" s="6"/>
      <c r="K11080" s="6"/>
    </row>
    <row r="11081" spans="3:11" x14ac:dyDescent="0.25">
      <c r="C11081" s="6"/>
      <c r="G11081" s="6"/>
      <c r="K11081" s="6"/>
    </row>
    <row r="11082" spans="3:11" x14ac:dyDescent="0.25">
      <c r="C11082" s="6"/>
      <c r="G11082" s="6"/>
      <c r="K11082" s="6"/>
    </row>
    <row r="11083" spans="3:11" x14ac:dyDescent="0.25">
      <c r="C11083" s="6"/>
      <c r="G11083" s="6"/>
      <c r="K11083" s="6"/>
    </row>
    <row r="11084" spans="3:11" x14ac:dyDescent="0.25">
      <c r="C11084" s="6"/>
      <c r="G11084" s="6"/>
      <c r="K11084" s="6"/>
    </row>
    <row r="11085" spans="3:11" x14ac:dyDescent="0.25">
      <c r="C11085" s="6"/>
      <c r="G11085" s="6"/>
      <c r="K11085" s="6"/>
    </row>
    <row r="11086" spans="3:11" x14ac:dyDescent="0.25">
      <c r="C11086" s="6"/>
      <c r="G11086" s="6"/>
      <c r="K11086" s="6"/>
    </row>
    <row r="11087" spans="3:11" x14ac:dyDescent="0.25">
      <c r="C11087" s="6"/>
      <c r="G11087" s="6"/>
      <c r="K11087" s="6"/>
    </row>
    <row r="11088" spans="3:11" x14ac:dyDescent="0.25">
      <c r="C11088" s="6"/>
      <c r="G11088" s="6"/>
      <c r="K11088" s="6"/>
    </row>
    <row r="11089" spans="3:11" x14ac:dyDescent="0.25">
      <c r="C11089" s="6"/>
      <c r="G11089" s="6"/>
      <c r="K11089" s="6"/>
    </row>
    <row r="11090" spans="3:11" x14ac:dyDescent="0.25">
      <c r="C11090" s="6"/>
      <c r="G11090" s="6"/>
      <c r="K11090" s="6"/>
    </row>
    <row r="11091" spans="3:11" x14ac:dyDescent="0.25">
      <c r="C11091" s="6"/>
      <c r="G11091" s="6"/>
      <c r="K11091" s="6"/>
    </row>
    <row r="11092" spans="3:11" x14ac:dyDescent="0.25">
      <c r="C11092" s="6"/>
      <c r="G11092" s="6"/>
      <c r="K11092" s="6"/>
    </row>
    <row r="11093" spans="3:11" x14ac:dyDescent="0.25">
      <c r="C11093" s="6"/>
      <c r="G11093" s="6"/>
      <c r="K11093" s="6"/>
    </row>
    <row r="11094" spans="3:11" x14ac:dyDescent="0.25">
      <c r="C11094" s="6"/>
      <c r="G11094" s="6"/>
      <c r="K11094" s="6"/>
    </row>
    <row r="11095" spans="3:11" x14ac:dyDescent="0.25">
      <c r="C11095" s="6"/>
      <c r="G11095" s="6"/>
      <c r="K11095" s="6"/>
    </row>
    <row r="11096" spans="3:11" x14ac:dyDescent="0.25">
      <c r="C11096" s="6"/>
      <c r="G11096" s="6"/>
      <c r="K11096" s="6"/>
    </row>
    <row r="11097" spans="3:11" x14ac:dyDescent="0.25">
      <c r="C11097" s="6"/>
      <c r="G11097" s="6"/>
      <c r="K11097" s="6"/>
    </row>
    <row r="11098" spans="3:11" x14ac:dyDescent="0.25">
      <c r="C11098" s="6"/>
      <c r="G11098" s="6"/>
      <c r="K11098" s="6"/>
    </row>
    <row r="11099" spans="3:11" x14ac:dyDescent="0.25">
      <c r="C11099" s="6"/>
      <c r="G11099" s="6"/>
      <c r="K11099" s="6"/>
    </row>
    <row r="11100" spans="3:11" x14ac:dyDescent="0.25">
      <c r="C11100" s="6"/>
      <c r="G11100" s="6"/>
      <c r="K11100" s="6"/>
    </row>
    <row r="11101" spans="3:11" x14ac:dyDescent="0.25">
      <c r="C11101" s="6"/>
      <c r="G11101" s="6"/>
      <c r="K11101" s="6"/>
    </row>
    <row r="11102" spans="3:11" x14ac:dyDescent="0.25">
      <c r="C11102" s="6"/>
      <c r="G11102" s="6"/>
      <c r="K11102" s="6"/>
    </row>
    <row r="11103" spans="3:11" x14ac:dyDescent="0.25">
      <c r="C11103" s="6"/>
      <c r="G11103" s="6"/>
      <c r="K11103" s="6"/>
    </row>
    <row r="11104" spans="3:11" x14ac:dyDescent="0.25">
      <c r="C11104" s="6"/>
      <c r="G11104" s="6"/>
      <c r="K11104" s="6"/>
    </row>
    <row r="11105" spans="3:11" x14ac:dyDescent="0.25">
      <c r="C11105" s="6"/>
      <c r="G11105" s="6"/>
      <c r="K11105" s="6"/>
    </row>
    <row r="11106" spans="3:11" x14ac:dyDescent="0.25">
      <c r="C11106" s="6"/>
      <c r="G11106" s="6"/>
      <c r="K11106" s="6"/>
    </row>
    <row r="11107" spans="3:11" x14ac:dyDescent="0.25">
      <c r="C11107" s="6"/>
      <c r="G11107" s="6"/>
      <c r="K11107" s="6"/>
    </row>
    <row r="11108" spans="3:11" x14ac:dyDescent="0.25">
      <c r="C11108" s="6"/>
      <c r="G11108" s="6"/>
      <c r="K11108" s="6"/>
    </row>
    <row r="11109" spans="3:11" x14ac:dyDescent="0.25">
      <c r="C11109" s="6"/>
      <c r="G11109" s="6"/>
      <c r="K11109" s="6"/>
    </row>
    <row r="11110" spans="3:11" x14ac:dyDescent="0.25">
      <c r="C11110" s="6"/>
      <c r="G11110" s="6"/>
      <c r="K11110" s="6"/>
    </row>
    <row r="11111" spans="3:11" x14ac:dyDescent="0.25">
      <c r="C11111" s="6"/>
      <c r="G11111" s="6"/>
      <c r="K11111" s="6"/>
    </row>
    <row r="11112" spans="3:11" x14ac:dyDescent="0.25">
      <c r="C11112" s="6"/>
      <c r="G11112" s="6"/>
      <c r="K11112" s="6"/>
    </row>
    <row r="11113" spans="3:11" x14ac:dyDescent="0.25">
      <c r="C11113" s="6"/>
      <c r="G11113" s="6"/>
      <c r="K11113" s="6"/>
    </row>
    <row r="11114" spans="3:11" x14ac:dyDescent="0.25">
      <c r="C11114" s="6"/>
      <c r="G11114" s="6"/>
      <c r="K11114" s="6"/>
    </row>
    <row r="11115" spans="3:11" x14ac:dyDescent="0.25">
      <c r="C11115" s="6"/>
      <c r="G11115" s="6"/>
      <c r="K11115" s="6"/>
    </row>
    <row r="11116" spans="3:11" x14ac:dyDescent="0.25">
      <c r="C11116" s="6"/>
      <c r="G11116" s="6"/>
      <c r="K11116" s="6"/>
    </row>
    <row r="11117" spans="3:11" x14ac:dyDescent="0.25">
      <c r="C11117" s="6"/>
      <c r="G11117" s="6"/>
      <c r="K11117" s="6"/>
    </row>
    <row r="11118" spans="3:11" x14ac:dyDescent="0.25">
      <c r="C11118" s="6"/>
      <c r="G11118" s="6"/>
      <c r="K11118" s="6"/>
    </row>
    <row r="11119" spans="3:11" x14ac:dyDescent="0.25">
      <c r="C11119" s="6"/>
      <c r="G11119" s="6"/>
      <c r="K11119" s="6"/>
    </row>
    <row r="11120" spans="3:11" x14ac:dyDescent="0.25">
      <c r="C11120" s="6"/>
      <c r="G11120" s="6"/>
      <c r="K11120" s="6"/>
    </row>
    <row r="11121" spans="3:11" x14ac:dyDescent="0.25">
      <c r="C11121" s="6"/>
      <c r="G11121" s="6"/>
      <c r="K11121" s="6"/>
    </row>
    <row r="11122" spans="3:11" x14ac:dyDescent="0.25">
      <c r="C11122" s="6"/>
      <c r="G11122" s="6"/>
      <c r="K11122" s="6"/>
    </row>
    <row r="11123" spans="3:11" x14ac:dyDescent="0.25">
      <c r="C11123" s="6"/>
      <c r="G11123" s="6"/>
      <c r="K11123" s="6"/>
    </row>
    <row r="11124" spans="3:11" x14ac:dyDescent="0.25">
      <c r="C11124" s="6"/>
      <c r="G11124" s="6"/>
      <c r="K11124" s="6"/>
    </row>
    <row r="11125" spans="3:11" x14ac:dyDescent="0.25">
      <c r="C11125" s="6"/>
      <c r="G11125" s="6"/>
      <c r="K11125" s="6"/>
    </row>
    <row r="11126" spans="3:11" x14ac:dyDescent="0.25">
      <c r="C11126" s="6"/>
      <c r="G11126" s="6"/>
      <c r="K11126" s="6"/>
    </row>
    <row r="11127" spans="3:11" x14ac:dyDescent="0.25">
      <c r="C11127" s="6"/>
      <c r="G11127" s="6"/>
      <c r="K11127" s="6"/>
    </row>
    <row r="11128" spans="3:11" x14ac:dyDescent="0.25">
      <c r="C11128" s="6"/>
      <c r="G11128" s="6"/>
      <c r="K11128" s="6"/>
    </row>
    <row r="11129" spans="3:11" x14ac:dyDescent="0.25">
      <c r="C11129" s="6"/>
      <c r="G11129" s="6"/>
      <c r="K11129" s="6"/>
    </row>
    <row r="11130" spans="3:11" x14ac:dyDescent="0.25">
      <c r="C11130" s="6"/>
      <c r="G11130" s="6"/>
      <c r="K11130" s="6"/>
    </row>
    <row r="11131" spans="3:11" x14ac:dyDescent="0.25">
      <c r="C11131" s="6"/>
      <c r="G11131" s="6"/>
      <c r="K11131" s="6"/>
    </row>
    <row r="11132" spans="3:11" x14ac:dyDescent="0.25">
      <c r="C11132" s="6"/>
      <c r="G11132" s="6"/>
      <c r="K11132" s="6"/>
    </row>
    <row r="11133" spans="3:11" x14ac:dyDescent="0.25">
      <c r="C11133" s="6"/>
      <c r="G11133" s="6"/>
      <c r="K11133" s="6"/>
    </row>
    <row r="11134" spans="3:11" x14ac:dyDescent="0.25">
      <c r="C11134" s="6"/>
      <c r="G11134" s="6"/>
      <c r="K11134" s="6"/>
    </row>
    <row r="11135" spans="3:11" x14ac:dyDescent="0.25">
      <c r="C11135" s="6"/>
      <c r="G11135" s="6"/>
      <c r="K11135" s="6"/>
    </row>
    <row r="11136" spans="3:11" x14ac:dyDescent="0.25">
      <c r="C11136" s="6"/>
      <c r="G11136" s="6"/>
      <c r="K11136" s="6"/>
    </row>
    <row r="11137" spans="3:11" x14ac:dyDescent="0.25">
      <c r="C11137" s="6"/>
      <c r="G11137" s="6"/>
      <c r="K11137" s="6"/>
    </row>
    <row r="11138" spans="3:11" x14ac:dyDescent="0.25">
      <c r="C11138" s="6"/>
      <c r="G11138" s="6"/>
      <c r="K11138" s="6"/>
    </row>
    <row r="11139" spans="3:11" x14ac:dyDescent="0.25">
      <c r="C11139" s="6"/>
      <c r="G11139" s="6"/>
      <c r="K11139" s="6"/>
    </row>
    <row r="11140" spans="3:11" x14ac:dyDescent="0.25">
      <c r="C11140" s="6"/>
      <c r="G11140" s="6"/>
      <c r="K11140" s="6"/>
    </row>
    <row r="11141" spans="3:11" x14ac:dyDescent="0.25">
      <c r="C11141" s="6"/>
      <c r="G11141" s="6"/>
      <c r="K11141" s="6"/>
    </row>
    <row r="11142" spans="3:11" x14ac:dyDescent="0.25">
      <c r="C11142" s="6"/>
      <c r="G11142" s="6"/>
      <c r="K11142" s="6"/>
    </row>
    <row r="11143" spans="3:11" x14ac:dyDescent="0.25">
      <c r="C11143" s="6"/>
      <c r="G11143" s="6"/>
      <c r="K11143" s="6"/>
    </row>
    <row r="11144" spans="3:11" x14ac:dyDescent="0.25">
      <c r="C11144" s="6"/>
      <c r="G11144" s="6"/>
      <c r="K11144" s="6"/>
    </row>
    <row r="11145" spans="3:11" x14ac:dyDescent="0.25">
      <c r="C11145" s="6"/>
      <c r="G11145" s="6"/>
      <c r="K11145" s="6"/>
    </row>
    <row r="11146" spans="3:11" x14ac:dyDescent="0.25">
      <c r="C11146" s="6"/>
      <c r="G11146" s="6"/>
      <c r="K11146" s="6"/>
    </row>
    <row r="11147" spans="3:11" x14ac:dyDescent="0.25">
      <c r="C11147" s="6"/>
      <c r="G11147" s="6"/>
      <c r="K11147" s="6"/>
    </row>
    <row r="11148" spans="3:11" x14ac:dyDescent="0.25">
      <c r="C11148" s="6"/>
      <c r="G11148" s="6"/>
      <c r="K11148" s="6"/>
    </row>
    <row r="11149" spans="3:11" x14ac:dyDescent="0.25">
      <c r="C11149" s="6"/>
      <c r="G11149" s="6"/>
      <c r="K11149" s="6"/>
    </row>
    <row r="11150" spans="3:11" x14ac:dyDescent="0.25">
      <c r="C11150" s="6"/>
      <c r="G11150" s="6"/>
      <c r="K11150" s="6"/>
    </row>
    <row r="11151" spans="3:11" x14ac:dyDescent="0.25">
      <c r="C11151" s="6"/>
      <c r="G11151" s="6"/>
      <c r="K11151" s="6"/>
    </row>
    <row r="11152" spans="3:11" x14ac:dyDescent="0.25">
      <c r="C11152" s="6"/>
      <c r="G11152" s="6"/>
      <c r="K11152" s="6"/>
    </row>
    <row r="11153" spans="3:11" x14ac:dyDescent="0.25">
      <c r="C11153" s="6"/>
      <c r="G11153" s="6"/>
      <c r="K11153" s="6"/>
    </row>
    <row r="11154" spans="3:11" x14ac:dyDescent="0.25">
      <c r="C11154" s="6"/>
      <c r="G11154" s="6"/>
      <c r="K11154" s="6"/>
    </row>
    <row r="11155" spans="3:11" x14ac:dyDescent="0.25">
      <c r="C11155" s="6"/>
      <c r="G11155" s="6"/>
      <c r="K11155" s="6"/>
    </row>
    <row r="11156" spans="3:11" x14ac:dyDescent="0.25">
      <c r="C11156" s="6"/>
      <c r="G11156" s="6"/>
      <c r="K11156" s="6"/>
    </row>
    <row r="11157" spans="3:11" x14ac:dyDescent="0.25">
      <c r="C11157" s="6"/>
      <c r="G11157" s="6"/>
      <c r="K11157" s="6"/>
    </row>
    <row r="11158" spans="3:11" x14ac:dyDescent="0.25">
      <c r="C11158" s="6"/>
      <c r="G11158" s="6"/>
      <c r="K11158" s="6"/>
    </row>
    <row r="11159" spans="3:11" x14ac:dyDescent="0.25">
      <c r="C11159" s="6"/>
      <c r="G11159" s="6"/>
      <c r="K11159" s="6"/>
    </row>
    <row r="11160" spans="3:11" x14ac:dyDescent="0.25">
      <c r="C11160" s="6"/>
      <c r="G11160" s="6"/>
      <c r="K11160" s="6"/>
    </row>
    <row r="11161" spans="3:11" x14ac:dyDescent="0.25">
      <c r="C11161" s="6"/>
      <c r="G11161" s="6"/>
      <c r="K11161" s="6"/>
    </row>
    <row r="11162" spans="3:11" x14ac:dyDescent="0.25">
      <c r="C11162" s="6"/>
      <c r="G11162" s="6"/>
      <c r="K11162" s="6"/>
    </row>
    <row r="11163" spans="3:11" x14ac:dyDescent="0.25">
      <c r="C11163" s="6"/>
      <c r="G11163" s="6"/>
      <c r="K11163" s="6"/>
    </row>
    <row r="11164" spans="3:11" x14ac:dyDescent="0.25">
      <c r="C11164" s="6"/>
      <c r="G11164" s="6"/>
      <c r="K11164" s="6"/>
    </row>
    <row r="11165" spans="3:11" x14ac:dyDescent="0.25">
      <c r="C11165" s="6"/>
      <c r="G11165" s="6"/>
      <c r="K11165" s="6"/>
    </row>
    <row r="11166" spans="3:11" x14ac:dyDescent="0.25">
      <c r="C11166" s="6"/>
      <c r="G11166" s="6"/>
      <c r="K11166" s="6"/>
    </row>
    <row r="11167" spans="3:11" x14ac:dyDescent="0.25">
      <c r="C11167" s="6"/>
      <c r="G11167" s="6"/>
      <c r="K11167" s="6"/>
    </row>
    <row r="11168" spans="3:11" x14ac:dyDescent="0.25">
      <c r="C11168" s="6"/>
      <c r="G11168" s="6"/>
      <c r="K11168" s="6"/>
    </row>
    <row r="11169" spans="3:11" x14ac:dyDescent="0.25">
      <c r="C11169" s="6"/>
      <c r="G11169" s="6"/>
      <c r="K11169" s="6"/>
    </row>
    <row r="11170" spans="3:11" x14ac:dyDescent="0.25">
      <c r="C11170" s="6"/>
      <c r="G11170" s="6"/>
      <c r="K11170" s="6"/>
    </row>
    <row r="11171" spans="3:11" x14ac:dyDescent="0.25">
      <c r="C11171" s="6"/>
      <c r="G11171" s="6"/>
      <c r="K11171" s="6"/>
    </row>
    <row r="11172" spans="3:11" x14ac:dyDescent="0.25">
      <c r="C11172" s="6"/>
      <c r="G11172" s="6"/>
      <c r="K11172" s="6"/>
    </row>
    <row r="11173" spans="3:11" x14ac:dyDescent="0.25">
      <c r="C11173" s="6"/>
      <c r="G11173" s="6"/>
      <c r="K11173" s="6"/>
    </row>
    <row r="11174" spans="3:11" x14ac:dyDescent="0.25">
      <c r="C11174" s="6"/>
      <c r="G11174" s="6"/>
      <c r="K11174" s="6"/>
    </row>
    <row r="11175" spans="3:11" x14ac:dyDescent="0.25">
      <c r="C11175" s="6"/>
      <c r="G11175" s="6"/>
      <c r="K11175" s="6"/>
    </row>
    <row r="11176" spans="3:11" x14ac:dyDescent="0.25">
      <c r="C11176" s="6"/>
      <c r="G11176" s="6"/>
      <c r="K11176" s="6"/>
    </row>
    <row r="11177" spans="3:11" x14ac:dyDescent="0.25">
      <c r="C11177" s="6"/>
      <c r="G11177" s="6"/>
      <c r="K11177" s="6"/>
    </row>
    <row r="11178" spans="3:11" x14ac:dyDescent="0.25">
      <c r="C11178" s="6"/>
      <c r="G11178" s="6"/>
      <c r="K11178" s="6"/>
    </row>
    <row r="11179" spans="3:11" x14ac:dyDescent="0.25">
      <c r="C11179" s="6"/>
      <c r="G11179" s="6"/>
      <c r="K11179" s="6"/>
    </row>
    <row r="11180" spans="3:11" x14ac:dyDescent="0.25">
      <c r="C11180" s="6"/>
      <c r="G11180" s="6"/>
      <c r="K11180" s="6"/>
    </row>
    <row r="11181" spans="3:11" x14ac:dyDescent="0.25">
      <c r="C11181" s="6"/>
      <c r="G11181" s="6"/>
      <c r="K11181" s="6"/>
    </row>
    <row r="11182" spans="3:11" x14ac:dyDescent="0.25">
      <c r="C11182" s="6"/>
      <c r="G11182" s="6"/>
      <c r="K11182" s="6"/>
    </row>
    <row r="11183" spans="3:11" x14ac:dyDescent="0.25">
      <c r="C11183" s="6"/>
      <c r="G11183" s="6"/>
      <c r="K11183" s="6"/>
    </row>
    <row r="11184" spans="3:11" x14ac:dyDescent="0.25">
      <c r="C11184" s="6"/>
      <c r="G11184" s="6"/>
      <c r="K11184" s="6"/>
    </row>
    <row r="11185" spans="3:11" x14ac:dyDescent="0.25">
      <c r="C11185" s="6"/>
      <c r="G11185" s="6"/>
      <c r="K11185" s="6"/>
    </row>
    <row r="11186" spans="3:11" x14ac:dyDescent="0.25">
      <c r="C11186" s="6"/>
      <c r="G11186" s="6"/>
      <c r="K11186" s="6"/>
    </row>
    <row r="11187" spans="3:11" x14ac:dyDescent="0.25">
      <c r="C11187" s="6"/>
      <c r="G11187" s="6"/>
      <c r="K11187" s="6"/>
    </row>
    <row r="11188" spans="3:11" x14ac:dyDescent="0.25">
      <c r="C11188" s="6"/>
      <c r="G11188" s="6"/>
      <c r="K11188" s="6"/>
    </row>
    <row r="11189" spans="3:11" x14ac:dyDescent="0.25">
      <c r="C11189" s="6"/>
      <c r="G11189" s="6"/>
      <c r="K11189" s="6"/>
    </row>
    <row r="11190" spans="3:11" x14ac:dyDescent="0.25">
      <c r="C11190" s="6"/>
      <c r="G11190" s="6"/>
      <c r="K11190" s="6"/>
    </row>
    <row r="11191" spans="3:11" x14ac:dyDescent="0.25">
      <c r="C11191" s="6"/>
      <c r="G11191" s="6"/>
      <c r="K11191" s="6"/>
    </row>
    <row r="11192" spans="3:11" x14ac:dyDescent="0.25">
      <c r="C11192" s="6"/>
      <c r="G11192" s="6"/>
      <c r="K11192" s="6"/>
    </row>
    <row r="11193" spans="3:11" x14ac:dyDescent="0.25">
      <c r="C11193" s="6"/>
      <c r="G11193" s="6"/>
      <c r="K11193" s="6"/>
    </row>
    <row r="11194" spans="3:11" x14ac:dyDescent="0.25">
      <c r="C11194" s="6"/>
      <c r="G11194" s="6"/>
      <c r="K11194" s="6"/>
    </row>
    <row r="11195" spans="3:11" x14ac:dyDescent="0.25">
      <c r="C11195" s="6"/>
      <c r="G11195" s="6"/>
      <c r="K11195" s="6"/>
    </row>
    <row r="11196" spans="3:11" x14ac:dyDescent="0.25">
      <c r="C11196" s="6"/>
      <c r="G11196" s="6"/>
      <c r="K11196" s="6"/>
    </row>
    <row r="11197" spans="3:11" x14ac:dyDescent="0.25">
      <c r="C11197" s="6"/>
      <c r="G11197" s="6"/>
      <c r="K11197" s="6"/>
    </row>
    <row r="11198" spans="3:11" x14ac:dyDescent="0.25">
      <c r="C11198" s="6"/>
      <c r="G11198" s="6"/>
      <c r="K11198" s="6"/>
    </row>
    <row r="11199" spans="3:11" x14ac:dyDescent="0.25">
      <c r="C11199" s="6"/>
      <c r="G11199" s="6"/>
      <c r="K11199" s="6"/>
    </row>
    <row r="11200" spans="3:11" x14ac:dyDescent="0.25">
      <c r="C11200" s="6"/>
      <c r="G11200" s="6"/>
      <c r="K11200" s="6"/>
    </row>
    <row r="11201" spans="3:11" x14ac:dyDescent="0.25">
      <c r="C11201" s="6"/>
      <c r="G11201" s="6"/>
      <c r="K11201" s="6"/>
    </row>
    <row r="11202" spans="3:11" x14ac:dyDescent="0.25">
      <c r="C11202" s="6"/>
      <c r="G11202" s="6"/>
      <c r="K11202" s="6"/>
    </row>
    <row r="11203" spans="3:11" x14ac:dyDescent="0.25">
      <c r="C11203" s="6"/>
      <c r="G11203" s="6"/>
      <c r="K11203" s="6"/>
    </row>
    <row r="11204" spans="3:11" x14ac:dyDescent="0.25">
      <c r="C11204" s="6"/>
      <c r="G11204" s="6"/>
      <c r="K11204" s="6"/>
    </row>
    <row r="11205" spans="3:11" x14ac:dyDescent="0.25">
      <c r="C11205" s="6"/>
      <c r="G11205" s="6"/>
      <c r="K11205" s="6"/>
    </row>
    <row r="11206" spans="3:11" x14ac:dyDescent="0.25">
      <c r="C11206" s="6"/>
      <c r="G11206" s="6"/>
      <c r="K11206" s="6"/>
    </row>
    <row r="11207" spans="3:11" x14ac:dyDescent="0.25">
      <c r="C11207" s="6"/>
      <c r="G11207" s="6"/>
      <c r="K11207" s="6"/>
    </row>
    <row r="11208" spans="3:11" x14ac:dyDescent="0.25">
      <c r="C11208" s="6"/>
      <c r="G11208" s="6"/>
      <c r="K11208" s="6"/>
    </row>
    <row r="11209" spans="3:11" x14ac:dyDescent="0.25">
      <c r="C11209" s="6"/>
      <c r="G11209" s="6"/>
      <c r="K11209" s="6"/>
    </row>
    <row r="11210" spans="3:11" x14ac:dyDescent="0.25">
      <c r="C11210" s="6"/>
      <c r="G11210" s="6"/>
      <c r="K11210" s="6"/>
    </row>
    <row r="11211" spans="3:11" x14ac:dyDescent="0.25">
      <c r="C11211" s="6"/>
      <c r="G11211" s="6"/>
      <c r="K11211" s="6"/>
    </row>
    <row r="11212" spans="3:11" x14ac:dyDescent="0.25">
      <c r="C11212" s="6"/>
      <c r="G11212" s="6"/>
      <c r="K11212" s="6"/>
    </row>
    <row r="11213" spans="3:11" x14ac:dyDescent="0.25">
      <c r="C11213" s="6"/>
      <c r="G11213" s="6"/>
      <c r="K11213" s="6"/>
    </row>
    <row r="11214" spans="3:11" x14ac:dyDescent="0.25">
      <c r="C11214" s="6"/>
      <c r="G11214" s="6"/>
      <c r="K11214" s="6"/>
    </row>
    <row r="11215" spans="3:11" x14ac:dyDescent="0.25">
      <c r="C11215" s="6"/>
      <c r="G11215" s="6"/>
      <c r="K11215" s="6"/>
    </row>
    <row r="11216" spans="3:11" x14ac:dyDescent="0.25">
      <c r="C11216" s="6"/>
      <c r="G11216" s="6"/>
      <c r="K11216" s="6"/>
    </row>
    <row r="11217" spans="3:11" x14ac:dyDescent="0.25">
      <c r="C11217" s="6"/>
      <c r="G11217" s="6"/>
      <c r="K11217" s="6"/>
    </row>
    <row r="11218" spans="3:11" x14ac:dyDescent="0.25">
      <c r="C11218" s="6"/>
      <c r="G11218" s="6"/>
      <c r="K11218" s="6"/>
    </row>
    <row r="11219" spans="3:11" x14ac:dyDescent="0.25">
      <c r="C11219" s="6"/>
      <c r="G11219" s="6"/>
      <c r="K11219" s="6"/>
    </row>
    <row r="11220" spans="3:11" x14ac:dyDescent="0.25">
      <c r="C11220" s="6"/>
      <c r="G11220" s="6"/>
      <c r="K11220" s="6"/>
    </row>
    <row r="11221" spans="3:11" x14ac:dyDescent="0.25">
      <c r="C11221" s="6"/>
      <c r="G11221" s="6"/>
      <c r="K11221" s="6"/>
    </row>
    <row r="11222" spans="3:11" x14ac:dyDescent="0.25">
      <c r="C11222" s="6"/>
      <c r="G11222" s="6"/>
      <c r="K11222" s="6"/>
    </row>
    <row r="11223" spans="3:11" x14ac:dyDescent="0.25">
      <c r="C11223" s="6"/>
      <c r="G11223" s="6"/>
      <c r="K11223" s="6"/>
    </row>
    <row r="11224" spans="3:11" x14ac:dyDescent="0.25">
      <c r="C11224" s="6"/>
      <c r="G11224" s="6"/>
      <c r="K11224" s="6"/>
    </row>
    <row r="11225" spans="3:11" x14ac:dyDescent="0.25">
      <c r="C11225" s="6"/>
      <c r="G11225" s="6"/>
      <c r="K11225" s="6"/>
    </row>
    <row r="11226" spans="3:11" x14ac:dyDescent="0.25">
      <c r="C11226" s="6"/>
      <c r="G11226" s="6"/>
      <c r="K11226" s="6"/>
    </row>
    <row r="11227" spans="3:11" x14ac:dyDescent="0.25">
      <c r="C11227" s="6"/>
      <c r="G11227" s="6"/>
      <c r="K11227" s="6"/>
    </row>
    <row r="11228" spans="3:11" x14ac:dyDescent="0.25">
      <c r="C11228" s="6"/>
      <c r="G11228" s="6"/>
      <c r="K11228" s="6"/>
    </row>
    <row r="11229" spans="3:11" x14ac:dyDescent="0.25">
      <c r="C11229" s="6"/>
      <c r="G11229" s="6"/>
      <c r="K11229" s="6"/>
    </row>
    <row r="11230" spans="3:11" x14ac:dyDescent="0.25">
      <c r="C11230" s="6"/>
      <c r="G11230" s="6"/>
      <c r="K11230" s="6"/>
    </row>
    <row r="11231" spans="3:11" x14ac:dyDescent="0.25">
      <c r="C11231" s="6"/>
      <c r="G11231" s="6"/>
      <c r="K11231" s="6"/>
    </row>
    <row r="11232" spans="3:11" x14ac:dyDescent="0.25">
      <c r="C11232" s="6"/>
      <c r="G11232" s="6"/>
      <c r="K11232" s="6"/>
    </row>
    <row r="11233" spans="3:11" x14ac:dyDescent="0.25">
      <c r="C11233" s="6"/>
      <c r="G11233" s="6"/>
      <c r="K11233" s="6"/>
    </row>
    <row r="11234" spans="3:11" x14ac:dyDescent="0.25">
      <c r="C11234" s="6"/>
      <c r="G11234" s="6"/>
      <c r="K11234" s="6"/>
    </row>
    <row r="11235" spans="3:11" x14ac:dyDescent="0.25">
      <c r="C11235" s="6"/>
      <c r="G11235" s="6"/>
      <c r="K11235" s="6"/>
    </row>
    <row r="11236" spans="3:11" x14ac:dyDescent="0.25">
      <c r="C11236" s="6"/>
      <c r="G11236" s="6"/>
      <c r="K11236" s="6"/>
    </row>
    <row r="11237" spans="3:11" x14ac:dyDescent="0.25">
      <c r="C11237" s="6"/>
      <c r="G11237" s="6"/>
      <c r="K11237" s="6"/>
    </row>
    <row r="11238" spans="3:11" x14ac:dyDescent="0.25">
      <c r="C11238" s="6"/>
      <c r="G11238" s="6"/>
      <c r="K11238" s="6"/>
    </row>
    <row r="11239" spans="3:11" x14ac:dyDescent="0.25">
      <c r="C11239" s="6"/>
      <c r="G11239" s="6"/>
      <c r="K11239" s="6"/>
    </row>
    <row r="11240" spans="3:11" x14ac:dyDescent="0.25">
      <c r="C11240" s="6"/>
      <c r="G11240" s="6"/>
      <c r="K11240" s="6"/>
    </row>
    <row r="11241" spans="3:11" x14ac:dyDescent="0.25">
      <c r="C11241" s="6"/>
      <c r="G11241" s="6"/>
      <c r="K11241" s="6"/>
    </row>
    <row r="11242" spans="3:11" x14ac:dyDescent="0.25">
      <c r="C11242" s="6"/>
      <c r="G11242" s="6"/>
      <c r="K11242" s="6"/>
    </row>
    <row r="11243" spans="3:11" x14ac:dyDescent="0.25">
      <c r="C11243" s="6"/>
      <c r="G11243" s="6"/>
      <c r="K11243" s="6"/>
    </row>
    <row r="11244" spans="3:11" x14ac:dyDescent="0.25">
      <c r="C11244" s="6"/>
      <c r="G11244" s="6"/>
      <c r="K11244" s="6"/>
    </row>
    <row r="11245" spans="3:11" x14ac:dyDescent="0.25">
      <c r="C11245" s="6"/>
      <c r="G11245" s="6"/>
      <c r="K11245" s="6"/>
    </row>
    <row r="11246" spans="3:11" x14ac:dyDescent="0.25">
      <c r="C11246" s="6"/>
      <c r="G11246" s="6"/>
      <c r="K11246" s="6"/>
    </row>
    <row r="11247" spans="3:11" x14ac:dyDescent="0.25">
      <c r="C11247" s="6"/>
      <c r="G11247" s="6"/>
      <c r="K11247" s="6"/>
    </row>
    <row r="11248" spans="3:11" x14ac:dyDescent="0.25">
      <c r="C11248" s="6"/>
      <c r="G11248" s="6"/>
      <c r="K11248" s="6"/>
    </row>
    <row r="11249" spans="3:11" x14ac:dyDescent="0.25">
      <c r="C11249" s="6"/>
      <c r="G11249" s="6"/>
      <c r="K11249" s="6"/>
    </row>
    <row r="11250" spans="3:11" x14ac:dyDescent="0.25">
      <c r="C11250" s="6"/>
      <c r="G11250" s="6"/>
      <c r="K11250" s="6"/>
    </row>
    <row r="11251" spans="3:11" x14ac:dyDescent="0.25">
      <c r="C11251" s="6"/>
      <c r="G11251" s="6"/>
      <c r="K11251" s="6"/>
    </row>
    <row r="11252" spans="3:11" x14ac:dyDescent="0.25">
      <c r="C11252" s="6"/>
      <c r="G11252" s="6"/>
      <c r="K11252" s="6"/>
    </row>
    <row r="11253" spans="3:11" x14ac:dyDescent="0.25">
      <c r="C11253" s="6"/>
      <c r="G11253" s="6"/>
      <c r="K11253" s="6"/>
    </row>
    <row r="11254" spans="3:11" x14ac:dyDescent="0.25">
      <c r="C11254" s="6"/>
      <c r="G11254" s="6"/>
      <c r="K11254" s="6"/>
    </row>
    <row r="11255" spans="3:11" x14ac:dyDescent="0.25">
      <c r="C11255" s="6"/>
      <c r="G11255" s="6"/>
      <c r="K11255" s="6"/>
    </row>
    <row r="11256" spans="3:11" x14ac:dyDescent="0.25">
      <c r="C11256" s="6"/>
      <c r="G11256" s="6"/>
      <c r="K11256" s="6"/>
    </row>
    <row r="11257" spans="3:11" x14ac:dyDescent="0.25">
      <c r="C11257" s="6"/>
      <c r="G11257" s="6"/>
      <c r="K11257" s="6"/>
    </row>
    <row r="11258" spans="3:11" x14ac:dyDescent="0.25">
      <c r="C11258" s="6"/>
      <c r="G11258" s="6"/>
      <c r="K11258" s="6"/>
    </row>
    <row r="11259" spans="3:11" x14ac:dyDescent="0.25">
      <c r="C11259" s="6"/>
      <c r="G11259" s="6"/>
      <c r="K11259" s="6"/>
    </row>
    <row r="11260" spans="3:11" x14ac:dyDescent="0.25">
      <c r="C11260" s="6"/>
      <c r="G11260" s="6"/>
      <c r="K11260" s="6"/>
    </row>
    <row r="11261" spans="3:11" x14ac:dyDescent="0.25">
      <c r="C11261" s="6"/>
      <c r="G11261" s="6"/>
      <c r="K11261" s="6"/>
    </row>
    <row r="11262" spans="3:11" x14ac:dyDescent="0.25">
      <c r="C11262" s="6"/>
      <c r="G11262" s="6"/>
      <c r="K11262" s="6"/>
    </row>
    <row r="11263" spans="3:11" x14ac:dyDescent="0.25">
      <c r="C11263" s="6"/>
      <c r="G11263" s="6"/>
      <c r="K11263" s="6"/>
    </row>
    <row r="11264" spans="3:11" x14ac:dyDescent="0.25">
      <c r="C11264" s="6"/>
      <c r="G11264" s="6"/>
      <c r="K11264" s="6"/>
    </row>
    <row r="11265" spans="3:11" x14ac:dyDescent="0.25">
      <c r="C11265" s="6"/>
      <c r="G11265" s="6"/>
      <c r="K11265" s="6"/>
    </row>
    <row r="11266" spans="3:11" x14ac:dyDescent="0.25">
      <c r="C11266" s="6"/>
      <c r="G11266" s="6"/>
      <c r="K11266" s="6"/>
    </row>
    <row r="11267" spans="3:11" x14ac:dyDescent="0.25">
      <c r="C11267" s="6"/>
      <c r="G11267" s="6"/>
      <c r="K11267" s="6"/>
    </row>
    <row r="11268" spans="3:11" x14ac:dyDescent="0.25">
      <c r="C11268" s="6"/>
      <c r="G11268" s="6"/>
      <c r="K11268" s="6"/>
    </row>
    <row r="11269" spans="3:11" x14ac:dyDescent="0.25">
      <c r="C11269" s="6"/>
      <c r="G11269" s="6"/>
      <c r="K11269" s="6"/>
    </row>
    <row r="11270" spans="3:11" x14ac:dyDescent="0.25">
      <c r="C11270" s="6"/>
      <c r="G11270" s="6"/>
      <c r="K11270" s="6"/>
    </row>
    <row r="11271" spans="3:11" x14ac:dyDescent="0.25">
      <c r="C11271" s="6"/>
      <c r="G11271" s="6"/>
      <c r="K11271" s="6"/>
    </row>
    <row r="11272" spans="3:11" x14ac:dyDescent="0.25">
      <c r="C11272" s="6"/>
      <c r="G11272" s="6"/>
      <c r="K11272" s="6"/>
    </row>
    <row r="11273" spans="3:11" x14ac:dyDescent="0.25">
      <c r="C11273" s="6"/>
      <c r="G11273" s="6"/>
      <c r="K11273" s="6"/>
    </row>
    <row r="11274" spans="3:11" x14ac:dyDescent="0.25">
      <c r="C11274" s="6"/>
      <c r="G11274" s="6"/>
      <c r="K11274" s="6"/>
    </row>
    <row r="11275" spans="3:11" x14ac:dyDescent="0.25">
      <c r="C11275" s="6"/>
      <c r="G11275" s="6"/>
      <c r="K11275" s="6"/>
    </row>
    <row r="11276" spans="3:11" x14ac:dyDescent="0.25">
      <c r="C11276" s="6"/>
      <c r="G11276" s="6"/>
      <c r="K11276" s="6"/>
    </row>
    <row r="11277" spans="3:11" x14ac:dyDescent="0.25">
      <c r="C11277" s="6"/>
      <c r="G11277" s="6"/>
      <c r="K11277" s="6"/>
    </row>
    <row r="11278" spans="3:11" x14ac:dyDescent="0.25">
      <c r="C11278" s="6"/>
      <c r="G11278" s="6"/>
      <c r="K11278" s="6"/>
    </row>
    <row r="11279" spans="3:11" x14ac:dyDescent="0.25">
      <c r="C11279" s="6"/>
      <c r="G11279" s="6"/>
      <c r="K11279" s="6"/>
    </row>
    <row r="11280" spans="3:11" x14ac:dyDescent="0.25">
      <c r="C11280" s="6"/>
      <c r="G11280" s="6"/>
      <c r="K11280" s="6"/>
    </row>
    <row r="11281" spans="3:11" x14ac:dyDescent="0.25">
      <c r="C11281" s="6"/>
      <c r="G11281" s="6"/>
      <c r="K11281" s="6"/>
    </row>
    <row r="11282" spans="3:11" x14ac:dyDescent="0.25">
      <c r="C11282" s="6"/>
      <c r="G11282" s="6"/>
      <c r="K11282" s="6"/>
    </row>
    <row r="11283" spans="3:11" x14ac:dyDescent="0.25">
      <c r="C11283" s="6"/>
      <c r="G11283" s="6"/>
      <c r="K11283" s="6"/>
    </row>
    <row r="11284" spans="3:11" x14ac:dyDescent="0.25">
      <c r="C11284" s="6"/>
      <c r="G11284" s="6"/>
      <c r="K11284" s="6"/>
    </row>
    <row r="11285" spans="3:11" x14ac:dyDescent="0.25">
      <c r="C11285" s="6"/>
      <c r="G11285" s="6"/>
      <c r="K11285" s="6"/>
    </row>
    <row r="11286" spans="3:11" x14ac:dyDescent="0.25">
      <c r="C11286" s="6"/>
      <c r="G11286" s="6"/>
      <c r="K11286" s="6"/>
    </row>
    <row r="11287" spans="3:11" x14ac:dyDescent="0.25">
      <c r="C11287" s="6"/>
      <c r="G11287" s="6"/>
      <c r="K11287" s="6"/>
    </row>
    <row r="11288" spans="3:11" x14ac:dyDescent="0.25">
      <c r="C11288" s="6"/>
      <c r="G11288" s="6"/>
      <c r="K11288" s="6"/>
    </row>
    <row r="11289" spans="3:11" x14ac:dyDescent="0.25">
      <c r="C11289" s="6"/>
      <c r="G11289" s="6"/>
      <c r="K11289" s="6"/>
    </row>
    <row r="11290" spans="3:11" x14ac:dyDescent="0.25">
      <c r="C11290" s="6"/>
      <c r="G11290" s="6"/>
      <c r="K11290" s="6"/>
    </row>
    <row r="11291" spans="3:11" x14ac:dyDescent="0.25">
      <c r="C11291" s="6"/>
      <c r="G11291" s="6"/>
      <c r="K11291" s="6"/>
    </row>
    <row r="11292" spans="3:11" x14ac:dyDescent="0.25">
      <c r="C11292" s="6"/>
      <c r="G11292" s="6"/>
      <c r="K11292" s="6"/>
    </row>
    <row r="11293" spans="3:11" x14ac:dyDescent="0.25">
      <c r="C11293" s="6"/>
      <c r="G11293" s="6"/>
      <c r="K11293" s="6"/>
    </row>
    <row r="11294" spans="3:11" x14ac:dyDescent="0.25">
      <c r="C11294" s="6"/>
      <c r="G11294" s="6"/>
      <c r="K11294" s="6"/>
    </row>
    <row r="11295" spans="3:11" x14ac:dyDescent="0.25">
      <c r="C11295" s="6"/>
      <c r="G11295" s="6"/>
      <c r="K11295" s="6"/>
    </row>
    <row r="11296" spans="3:11" x14ac:dyDescent="0.25">
      <c r="C11296" s="6"/>
      <c r="G11296" s="6"/>
      <c r="K11296" s="6"/>
    </row>
    <row r="11297" spans="3:11" x14ac:dyDescent="0.25">
      <c r="C11297" s="6"/>
      <c r="G11297" s="6"/>
      <c r="K11297" s="6"/>
    </row>
    <row r="11298" spans="3:11" x14ac:dyDescent="0.25">
      <c r="C11298" s="6"/>
      <c r="G11298" s="6"/>
      <c r="K11298" s="6"/>
    </row>
    <row r="11299" spans="3:11" x14ac:dyDescent="0.25">
      <c r="C11299" s="6"/>
      <c r="G11299" s="6"/>
      <c r="K11299" s="6"/>
    </row>
    <row r="11300" spans="3:11" x14ac:dyDescent="0.25">
      <c r="C11300" s="6"/>
      <c r="G11300" s="6"/>
      <c r="K11300" s="6"/>
    </row>
    <row r="11301" spans="3:11" x14ac:dyDescent="0.25">
      <c r="C11301" s="6"/>
      <c r="G11301" s="6"/>
      <c r="K11301" s="6"/>
    </row>
    <row r="11302" spans="3:11" x14ac:dyDescent="0.25">
      <c r="C11302" s="6"/>
      <c r="G11302" s="6"/>
      <c r="K11302" s="6"/>
    </row>
    <row r="11303" spans="3:11" x14ac:dyDescent="0.25">
      <c r="C11303" s="6"/>
      <c r="G11303" s="6"/>
      <c r="K11303" s="6"/>
    </row>
    <row r="11304" spans="3:11" x14ac:dyDescent="0.25">
      <c r="C11304" s="6"/>
      <c r="G11304" s="6"/>
      <c r="K11304" s="6"/>
    </row>
    <row r="11305" spans="3:11" x14ac:dyDescent="0.25">
      <c r="C11305" s="6"/>
      <c r="G11305" s="6"/>
      <c r="K11305" s="6"/>
    </row>
    <row r="11306" spans="3:11" x14ac:dyDescent="0.25">
      <c r="C11306" s="6"/>
      <c r="G11306" s="6"/>
      <c r="K11306" s="6"/>
    </row>
    <row r="11307" spans="3:11" x14ac:dyDescent="0.25">
      <c r="C11307" s="6"/>
      <c r="G11307" s="6"/>
      <c r="K11307" s="6"/>
    </row>
    <row r="11308" spans="3:11" x14ac:dyDescent="0.25">
      <c r="C11308" s="6"/>
      <c r="G11308" s="6"/>
      <c r="K11308" s="6"/>
    </row>
    <row r="11309" spans="3:11" x14ac:dyDescent="0.25">
      <c r="C11309" s="6"/>
      <c r="G11309" s="6"/>
      <c r="K11309" s="6"/>
    </row>
    <row r="11310" spans="3:11" x14ac:dyDescent="0.25">
      <c r="C11310" s="6"/>
      <c r="G11310" s="6"/>
      <c r="K11310" s="6"/>
    </row>
    <row r="11311" spans="3:11" x14ac:dyDescent="0.25">
      <c r="C11311" s="6"/>
      <c r="G11311" s="6"/>
      <c r="K11311" s="6"/>
    </row>
    <row r="11312" spans="3:11" x14ac:dyDescent="0.25">
      <c r="C11312" s="6"/>
      <c r="G11312" s="6"/>
      <c r="K11312" s="6"/>
    </row>
    <row r="11313" spans="3:11" x14ac:dyDescent="0.25">
      <c r="C11313" s="6"/>
      <c r="G11313" s="6"/>
      <c r="K11313" s="6"/>
    </row>
    <row r="11314" spans="3:11" x14ac:dyDescent="0.25">
      <c r="C11314" s="6"/>
      <c r="G11314" s="6"/>
      <c r="K11314" s="6"/>
    </row>
    <row r="11315" spans="3:11" x14ac:dyDescent="0.25">
      <c r="C11315" s="6"/>
      <c r="G11315" s="6"/>
      <c r="K11315" s="6"/>
    </row>
    <row r="11316" spans="3:11" x14ac:dyDescent="0.25">
      <c r="C11316" s="6"/>
      <c r="G11316" s="6"/>
      <c r="K11316" s="6"/>
    </row>
    <row r="11317" spans="3:11" x14ac:dyDescent="0.25">
      <c r="C11317" s="6"/>
      <c r="G11317" s="6"/>
      <c r="K11317" s="6"/>
    </row>
    <row r="11318" spans="3:11" x14ac:dyDescent="0.25">
      <c r="C11318" s="6"/>
      <c r="G11318" s="6"/>
      <c r="K11318" s="6"/>
    </row>
    <row r="11319" spans="3:11" x14ac:dyDescent="0.25">
      <c r="C11319" s="6"/>
      <c r="G11319" s="6"/>
      <c r="K11319" s="6"/>
    </row>
    <row r="11320" spans="3:11" x14ac:dyDescent="0.25">
      <c r="C11320" s="6"/>
      <c r="G11320" s="6"/>
      <c r="K11320" s="6"/>
    </row>
    <row r="11321" spans="3:11" x14ac:dyDescent="0.25">
      <c r="C11321" s="6"/>
      <c r="G11321" s="6"/>
      <c r="K11321" s="6"/>
    </row>
    <row r="11322" spans="3:11" x14ac:dyDescent="0.25">
      <c r="C11322" s="6"/>
      <c r="G11322" s="6"/>
      <c r="K11322" s="6"/>
    </row>
    <row r="11323" spans="3:11" x14ac:dyDescent="0.25">
      <c r="C11323" s="6"/>
      <c r="G11323" s="6"/>
      <c r="K11323" s="6"/>
    </row>
    <row r="11324" spans="3:11" x14ac:dyDescent="0.25">
      <c r="C11324" s="6"/>
      <c r="G11324" s="6"/>
      <c r="K11324" s="6"/>
    </row>
    <row r="11325" spans="3:11" x14ac:dyDescent="0.25">
      <c r="C11325" s="6"/>
      <c r="G11325" s="6"/>
      <c r="K11325" s="6"/>
    </row>
    <row r="11326" spans="3:11" x14ac:dyDescent="0.25">
      <c r="C11326" s="6"/>
      <c r="G11326" s="6"/>
      <c r="K11326" s="6"/>
    </row>
    <row r="11327" spans="3:11" x14ac:dyDescent="0.25">
      <c r="C11327" s="6"/>
      <c r="G11327" s="6"/>
      <c r="K11327" s="6"/>
    </row>
    <row r="11328" spans="3:11" x14ac:dyDescent="0.25">
      <c r="C11328" s="6"/>
      <c r="G11328" s="6"/>
      <c r="K11328" s="6"/>
    </row>
    <row r="11329" spans="3:11" x14ac:dyDescent="0.25">
      <c r="C11329" s="6"/>
      <c r="G11329" s="6"/>
      <c r="K11329" s="6"/>
    </row>
    <row r="11330" spans="3:11" x14ac:dyDescent="0.25">
      <c r="C11330" s="6"/>
      <c r="G11330" s="6"/>
      <c r="K11330" s="6"/>
    </row>
    <row r="11331" spans="3:11" x14ac:dyDescent="0.25">
      <c r="C11331" s="6"/>
      <c r="G11331" s="6"/>
      <c r="K11331" s="6"/>
    </row>
    <row r="11332" spans="3:11" x14ac:dyDescent="0.25">
      <c r="C11332" s="6"/>
      <c r="G11332" s="6"/>
      <c r="K11332" s="6"/>
    </row>
    <row r="11333" spans="3:11" x14ac:dyDescent="0.25">
      <c r="C11333" s="6"/>
      <c r="G11333" s="6"/>
      <c r="K11333" s="6"/>
    </row>
    <row r="11334" spans="3:11" x14ac:dyDescent="0.25">
      <c r="C11334" s="6"/>
      <c r="G11334" s="6"/>
      <c r="K11334" s="6"/>
    </row>
    <row r="11335" spans="3:11" x14ac:dyDescent="0.25">
      <c r="C11335" s="6"/>
      <c r="G11335" s="6"/>
      <c r="K11335" s="6"/>
    </row>
    <row r="11336" spans="3:11" x14ac:dyDescent="0.25">
      <c r="C11336" s="6"/>
      <c r="G11336" s="6"/>
      <c r="K11336" s="6"/>
    </row>
    <row r="11337" spans="3:11" x14ac:dyDescent="0.25">
      <c r="C11337" s="6"/>
      <c r="G11337" s="6"/>
      <c r="K11337" s="6"/>
    </row>
    <row r="11338" spans="3:11" x14ac:dyDescent="0.25">
      <c r="C11338" s="6"/>
      <c r="G11338" s="6"/>
      <c r="K11338" s="6"/>
    </row>
    <row r="11339" spans="3:11" x14ac:dyDescent="0.25">
      <c r="C11339" s="6"/>
      <c r="G11339" s="6"/>
      <c r="K11339" s="6"/>
    </row>
    <row r="11340" spans="3:11" x14ac:dyDescent="0.25">
      <c r="C11340" s="6"/>
      <c r="G11340" s="6"/>
      <c r="K11340" s="6"/>
    </row>
    <row r="11341" spans="3:11" x14ac:dyDescent="0.25">
      <c r="C11341" s="6"/>
      <c r="G11341" s="6"/>
      <c r="K11341" s="6"/>
    </row>
    <row r="11342" spans="3:11" x14ac:dyDescent="0.25">
      <c r="C11342" s="6"/>
      <c r="G11342" s="6"/>
      <c r="K11342" s="6"/>
    </row>
    <row r="11343" spans="3:11" x14ac:dyDescent="0.25">
      <c r="C11343" s="6"/>
      <c r="G11343" s="6"/>
      <c r="K11343" s="6"/>
    </row>
    <row r="11344" spans="3:11" x14ac:dyDescent="0.25">
      <c r="C11344" s="6"/>
      <c r="G11344" s="6"/>
      <c r="K11344" s="6"/>
    </row>
    <row r="11345" spans="3:11" x14ac:dyDescent="0.25">
      <c r="C11345" s="6"/>
      <c r="G11345" s="6"/>
      <c r="K11345" s="6"/>
    </row>
    <row r="11346" spans="3:11" x14ac:dyDescent="0.25">
      <c r="C11346" s="6"/>
      <c r="G11346" s="6"/>
      <c r="K11346" s="6"/>
    </row>
    <row r="11347" spans="3:11" x14ac:dyDescent="0.25">
      <c r="C11347" s="6"/>
      <c r="G11347" s="6"/>
      <c r="K11347" s="6"/>
    </row>
    <row r="11348" spans="3:11" x14ac:dyDescent="0.25">
      <c r="C11348" s="6"/>
      <c r="G11348" s="6"/>
      <c r="K11348" s="6"/>
    </row>
    <row r="11349" spans="3:11" x14ac:dyDescent="0.25">
      <c r="C11349" s="6"/>
      <c r="G11349" s="6"/>
      <c r="K11349" s="6"/>
    </row>
    <row r="11350" spans="3:11" x14ac:dyDescent="0.25">
      <c r="C11350" s="6"/>
      <c r="G11350" s="6"/>
      <c r="K11350" s="6"/>
    </row>
    <row r="11351" spans="3:11" x14ac:dyDescent="0.25">
      <c r="C11351" s="6"/>
      <c r="G11351" s="6"/>
      <c r="K11351" s="6"/>
    </row>
    <row r="11352" spans="3:11" x14ac:dyDescent="0.25">
      <c r="C11352" s="6"/>
      <c r="G11352" s="6"/>
      <c r="K11352" s="6"/>
    </row>
    <row r="11353" spans="3:11" x14ac:dyDescent="0.25">
      <c r="C11353" s="6"/>
      <c r="G11353" s="6"/>
      <c r="K11353" s="6"/>
    </row>
    <row r="11354" spans="3:11" x14ac:dyDescent="0.25">
      <c r="C11354" s="6"/>
      <c r="G11354" s="6"/>
      <c r="K11354" s="6"/>
    </row>
    <row r="11355" spans="3:11" x14ac:dyDescent="0.25">
      <c r="C11355" s="6"/>
      <c r="G11355" s="6"/>
      <c r="K11355" s="6"/>
    </row>
    <row r="11356" spans="3:11" x14ac:dyDescent="0.25">
      <c r="C11356" s="6"/>
      <c r="G11356" s="6"/>
      <c r="K11356" s="6"/>
    </row>
    <row r="11357" spans="3:11" x14ac:dyDescent="0.25">
      <c r="C11357" s="6"/>
      <c r="G11357" s="6"/>
      <c r="K11357" s="6"/>
    </row>
    <row r="11358" spans="3:11" x14ac:dyDescent="0.25">
      <c r="C11358" s="6"/>
      <c r="G11358" s="6"/>
      <c r="K11358" s="6"/>
    </row>
    <row r="11359" spans="3:11" x14ac:dyDescent="0.25">
      <c r="C11359" s="6"/>
      <c r="G11359" s="6"/>
      <c r="K11359" s="6"/>
    </row>
    <row r="11360" spans="3:11" x14ac:dyDescent="0.25">
      <c r="C11360" s="6"/>
      <c r="G11360" s="6"/>
      <c r="K11360" s="6"/>
    </row>
    <row r="11361" spans="3:11" x14ac:dyDescent="0.25">
      <c r="C11361" s="6"/>
      <c r="G11361" s="6"/>
      <c r="K11361" s="6"/>
    </row>
    <row r="11362" spans="3:11" x14ac:dyDescent="0.25">
      <c r="C11362" s="6"/>
      <c r="G11362" s="6"/>
      <c r="K11362" s="6"/>
    </row>
    <row r="11363" spans="3:11" x14ac:dyDescent="0.25">
      <c r="C11363" s="6"/>
      <c r="G11363" s="6"/>
      <c r="K11363" s="6"/>
    </row>
    <row r="11364" spans="3:11" x14ac:dyDescent="0.25">
      <c r="C11364" s="6"/>
      <c r="G11364" s="6"/>
      <c r="K11364" s="6"/>
    </row>
    <row r="11365" spans="3:11" x14ac:dyDescent="0.25">
      <c r="C11365" s="6"/>
      <c r="G11365" s="6"/>
      <c r="K11365" s="6"/>
    </row>
    <row r="11366" spans="3:11" x14ac:dyDescent="0.25">
      <c r="C11366" s="6"/>
      <c r="G11366" s="6"/>
      <c r="K11366" s="6"/>
    </row>
    <row r="11367" spans="3:11" x14ac:dyDescent="0.25">
      <c r="C11367" s="6"/>
      <c r="G11367" s="6"/>
      <c r="K11367" s="6"/>
    </row>
    <row r="11368" spans="3:11" x14ac:dyDescent="0.25">
      <c r="C11368" s="6"/>
      <c r="G11368" s="6"/>
      <c r="K11368" s="6"/>
    </row>
    <row r="11369" spans="3:11" x14ac:dyDescent="0.25">
      <c r="C11369" s="6"/>
      <c r="G11369" s="6"/>
      <c r="K11369" s="6"/>
    </row>
    <row r="11370" spans="3:11" x14ac:dyDescent="0.25">
      <c r="C11370" s="6"/>
      <c r="G11370" s="6"/>
      <c r="K11370" s="6"/>
    </row>
    <row r="11371" spans="3:11" x14ac:dyDescent="0.25">
      <c r="C11371" s="6"/>
      <c r="G11371" s="6"/>
      <c r="K11371" s="6"/>
    </row>
    <row r="11372" spans="3:11" x14ac:dyDescent="0.25">
      <c r="C11372" s="6"/>
      <c r="G11372" s="6"/>
      <c r="K11372" s="6"/>
    </row>
    <row r="11373" spans="3:11" x14ac:dyDescent="0.25">
      <c r="C11373" s="6"/>
      <c r="G11373" s="6"/>
      <c r="K11373" s="6"/>
    </row>
    <row r="11374" spans="3:11" x14ac:dyDescent="0.25">
      <c r="C11374" s="6"/>
      <c r="G11374" s="6"/>
      <c r="K11374" s="6"/>
    </row>
    <row r="11375" spans="3:11" x14ac:dyDescent="0.25">
      <c r="C11375" s="6"/>
      <c r="G11375" s="6"/>
      <c r="K11375" s="6"/>
    </row>
    <row r="11376" spans="3:11" x14ac:dyDescent="0.25">
      <c r="C11376" s="6"/>
      <c r="G11376" s="6"/>
      <c r="K11376" s="6"/>
    </row>
    <row r="11377" spans="3:11" x14ac:dyDescent="0.25">
      <c r="C11377" s="6"/>
      <c r="G11377" s="6"/>
      <c r="K11377" s="6"/>
    </row>
    <row r="11378" spans="3:11" x14ac:dyDescent="0.25">
      <c r="C11378" s="6"/>
      <c r="G11378" s="6"/>
      <c r="K11378" s="6"/>
    </row>
    <row r="11379" spans="3:11" x14ac:dyDescent="0.25">
      <c r="C11379" s="6"/>
      <c r="G11379" s="6"/>
      <c r="K11379" s="6"/>
    </row>
    <row r="11380" spans="3:11" x14ac:dyDescent="0.25">
      <c r="C11380" s="6"/>
      <c r="G11380" s="6"/>
      <c r="K11380" s="6"/>
    </row>
    <row r="11381" spans="3:11" x14ac:dyDescent="0.25">
      <c r="C11381" s="6"/>
      <c r="G11381" s="6"/>
      <c r="K11381" s="6"/>
    </row>
    <row r="11382" spans="3:11" x14ac:dyDescent="0.25">
      <c r="C11382" s="6"/>
      <c r="G11382" s="6"/>
      <c r="K11382" s="6"/>
    </row>
    <row r="11383" spans="3:11" x14ac:dyDescent="0.25">
      <c r="C11383" s="6"/>
      <c r="G11383" s="6"/>
      <c r="K11383" s="6"/>
    </row>
    <row r="11384" spans="3:11" x14ac:dyDescent="0.25">
      <c r="C11384" s="6"/>
      <c r="G11384" s="6"/>
      <c r="K11384" s="6"/>
    </row>
    <row r="11385" spans="3:11" x14ac:dyDescent="0.25">
      <c r="C11385" s="6"/>
      <c r="G11385" s="6"/>
      <c r="K11385" s="6"/>
    </row>
    <row r="11386" spans="3:11" x14ac:dyDescent="0.25">
      <c r="C11386" s="6"/>
      <c r="G11386" s="6"/>
      <c r="K11386" s="6"/>
    </row>
    <row r="11387" spans="3:11" x14ac:dyDescent="0.25">
      <c r="C11387" s="6"/>
      <c r="G11387" s="6"/>
      <c r="K11387" s="6"/>
    </row>
    <row r="11388" spans="3:11" x14ac:dyDescent="0.25">
      <c r="C11388" s="6"/>
      <c r="G11388" s="6"/>
      <c r="K11388" s="6"/>
    </row>
    <row r="11389" spans="3:11" x14ac:dyDescent="0.25">
      <c r="C11389" s="6"/>
      <c r="G11389" s="6"/>
      <c r="K11389" s="6"/>
    </row>
    <row r="11390" spans="3:11" x14ac:dyDescent="0.25">
      <c r="C11390" s="6"/>
      <c r="G11390" s="6"/>
      <c r="K11390" s="6"/>
    </row>
    <row r="11391" spans="3:11" x14ac:dyDescent="0.25">
      <c r="C11391" s="6"/>
      <c r="G11391" s="6"/>
      <c r="K11391" s="6"/>
    </row>
    <row r="11392" spans="3:11" x14ac:dyDescent="0.25">
      <c r="C11392" s="6"/>
      <c r="G11392" s="6"/>
      <c r="K11392" s="6"/>
    </row>
    <row r="11393" spans="3:11" x14ac:dyDescent="0.25">
      <c r="C11393" s="6"/>
      <c r="G11393" s="6"/>
      <c r="K11393" s="6"/>
    </row>
    <row r="11394" spans="3:11" x14ac:dyDescent="0.25">
      <c r="C11394" s="6"/>
      <c r="G11394" s="6"/>
      <c r="K11394" s="6"/>
    </row>
    <row r="11395" spans="3:11" x14ac:dyDescent="0.25">
      <c r="C11395" s="6"/>
      <c r="G11395" s="6"/>
      <c r="K11395" s="6"/>
    </row>
    <row r="11396" spans="3:11" x14ac:dyDescent="0.25">
      <c r="C11396" s="6"/>
      <c r="G11396" s="6"/>
      <c r="K11396" s="6"/>
    </row>
    <row r="11397" spans="3:11" x14ac:dyDescent="0.25">
      <c r="C11397" s="6"/>
      <c r="G11397" s="6"/>
      <c r="K11397" s="6"/>
    </row>
    <row r="11398" spans="3:11" x14ac:dyDescent="0.25">
      <c r="C11398" s="6"/>
      <c r="G11398" s="6"/>
      <c r="K11398" s="6"/>
    </row>
    <row r="11399" spans="3:11" x14ac:dyDescent="0.25">
      <c r="C11399" s="6"/>
      <c r="G11399" s="6"/>
      <c r="K11399" s="6"/>
    </row>
    <row r="11400" spans="3:11" x14ac:dyDescent="0.25">
      <c r="C11400" s="6"/>
      <c r="G11400" s="6"/>
      <c r="K11400" s="6"/>
    </row>
    <row r="11401" spans="3:11" x14ac:dyDescent="0.25">
      <c r="C11401" s="6"/>
      <c r="G11401" s="6"/>
      <c r="K11401" s="6"/>
    </row>
    <row r="11402" spans="3:11" x14ac:dyDescent="0.25">
      <c r="C11402" s="6"/>
      <c r="G11402" s="6"/>
      <c r="K11402" s="6"/>
    </row>
    <row r="11403" spans="3:11" x14ac:dyDescent="0.25">
      <c r="C11403" s="6"/>
      <c r="G11403" s="6"/>
      <c r="K11403" s="6"/>
    </row>
    <row r="11404" spans="3:11" x14ac:dyDescent="0.25">
      <c r="C11404" s="6"/>
      <c r="G11404" s="6"/>
      <c r="K11404" s="6"/>
    </row>
    <row r="11405" spans="3:11" x14ac:dyDescent="0.25">
      <c r="C11405" s="6"/>
      <c r="G11405" s="6"/>
      <c r="K11405" s="6"/>
    </row>
    <row r="11406" spans="3:11" x14ac:dyDescent="0.25">
      <c r="C11406" s="6"/>
      <c r="G11406" s="6"/>
      <c r="K11406" s="6"/>
    </row>
    <row r="11407" spans="3:11" x14ac:dyDescent="0.25">
      <c r="C11407" s="6"/>
      <c r="G11407" s="6"/>
      <c r="K11407" s="6"/>
    </row>
    <row r="11408" spans="3:11" x14ac:dyDescent="0.25">
      <c r="C11408" s="6"/>
      <c r="G11408" s="6"/>
      <c r="K11408" s="6"/>
    </row>
    <row r="11409" spans="3:11" x14ac:dyDescent="0.25">
      <c r="C11409" s="6"/>
      <c r="G11409" s="6"/>
      <c r="K11409" s="6"/>
    </row>
    <row r="11410" spans="3:11" x14ac:dyDescent="0.25">
      <c r="C11410" s="6"/>
      <c r="G11410" s="6"/>
      <c r="K11410" s="6"/>
    </row>
    <row r="11411" spans="3:11" x14ac:dyDescent="0.25">
      <c r="C11411" s="6"/>
      <c r="G11411" s="6"/>
      <c r="K11411" s="6"/>
    </row>
    <row r="11412" spans="3:11" x14ac:dyDescent="0.25">
      <c r="C11412" s="6"/>
      <c r="G11412" s="6"/>
      <c r="K11412" s="6"/>
    </row>
    <row r="11413" spans="3:11" x14ac:dyDescent="0.25">
      <c r="C11413" s="6"/>
      <c r="G11413" s="6"/>
      <c r="K11413" s="6"/>
    </row>
    <row r="11414" spans="3:11" x14ac:dyDescent="0.25">
      <c r="C11414" s="6"/>
      <c r="G11414" s="6"/>
      <c r="K11414" s="6"/>
    </row>
    <row r="11415" spans="3:11" x14ac:dyDescent="0.25">
      <c r="C11415" s="6"/>
      <c r="G11415" s="6"/>
      <c r="K11415" s="6"/>
    </row>
    <row r="11416" spans="3:11" x14ac:dyDescent="0.25">
      <c r="C11416" s="6"/>
      <c r="G11416" s="6"/>
      <c r="K11416" s="6"/>
    </row>
    <row r="11417" spans="3:11" x14ac:dyDescent="0.25">
      <c r="C11417" s="6"/>
      <c r="G11417" s="6"/>
      <c r="K11417" s="6"/>
    </row>
    <row r="11418" spans="3:11" x14ac:dyDescent="0.25">
      <c r="C11418" s="6"/>
      <c r="G11418" s="6"/>
      <c r="K11418" s="6"/>
    </row>
    <row r="11419" spans="3:11" x14ac:dyDescent="0.25">
      <c r="C11419" s="6"/>
      <c r="G11419" s="6"/>
      <c r="K11419" s="6"/>
    </row>
    <row r="11420" spans="3:11" x14ac:dyDescent="0.25">
      <c r="C11420" s="6"/>
      <c r="G11420" s="6"/>
      <c r="K11420" s="6"/>
    </row>
    <row r="11421" spans="3:11" x14ac:dyDescent="0.25">
      <c r="C11421" s="6"/>
      <c r="G11421" s="6"/>
      <c r="K11421" s="6"/>
    </row>
    <row r="11422" spans="3:11" x14ac:dyDescent="0.25">
      <c r="C11422" s="6"/>
      <c r="G11422" s="6"/>
      <c r="K11422" s="6"/>
    </row>
    <row r="11423" spans="3:11" x14ac:dyDescent="0.25">
      <c r="C11423" s="6"/>
      <c r="G11423" s="6"/>
      <c r="K11423" s="6"/>
    </row>
    <row r="11424" spans="3:11" x14ac:dyDescent="0.25">
      <c r="C11424" s="6"/>
      <c r="G11424" s="6"/>
      <c r="K11424" s="6"/>
    </row>
    <row r="11425" spans="3:11" x14ac:dyDescent="0.25">
      <c r="C11425" s="6"/>
      <c r="G11425" s="6"/>
      <c r="K11425" s="6"/>
    </row>
    <row r="11426" spans="3:11" x14ac:dyDescent="0.25">
      <c r="C11426" s="6"/>
      <c r="G11426" s="6"/>
      <c r="K11426" s="6"/>
    </row>
    <row r="11427" spans="3:11" x14ac:dyDescent="0.25">
      <c r="C11427" s="6"/>
      <c r="G11427" s="6"/>
      <c r="K11427" s="6"/>
    </row>
    <row r="11428" spans="3:11" x14ac:dyDescent="0.25">
      <c r="C11428" s="6"/>
      <c r="G11428" s="6"/>
      <c r="K11428" s="6"/>
    </row>
    <row r="11429" spans="3:11" x14ac:dyDescent="0.25">
      <c r="C11429" s="6"/>
      <c r="G11429" s="6"/>
      <c r="K11429" s="6"/>
    </row>
    <row r="11430" spans="3:11" x14ac:dyDescent="0.25">
      <c r="C11430" s="6"/>
      <c r="G11430" s="6"/>
      <c r="K11430" s="6"/>
    </row>
    <row r="11431" spans="3:11" x14ac:dyDescent="0.25">
      <c r="C11431" s="6"/>
      <c r="G11431" s="6"/>
      <c r="K11431" s="6"/>
    </row>
    <row r="11432" spans="3:11" x14ac:dyDescent="0.25">
      <c r="C11432" s="6"/>
      <c r="G11432" s="6"/>
      <c r="K11432" s="6"/>
    </row>
    <row r="11433" spans="3:11" x14ac:dyDescent="0.25">
      <c r="C11433" s="6"/>
      <c r="G11433" s="6"/>
      <c r="K11433" s="6"/>
    </row>
    <row r="11434" spans="3:11" x14ac:dyDescent="0.25">
      <c r="C11434" s="6"/>
      <c r="G11434" s="6"/>
      <c r="K11434" s="6"/>
    </row>
    <row r="11435" spans="3:11" x14ac:dyDescent="0.25">
      <c r="C11435" s="6"/>
      <c r="G11435" s="6"/>
      <c r="K11435" s="6"/>
    </row>
    <row r="11436" spans="3:11" x14ac:dyDescent="0.25">
      <c r="C11436" s="6"/>
      <c r="G11436" s="6"/>
      <c r="K11436" s="6"/>
    </row>
    <row r="11437" spans="3:11" x14ac:dyDescent="0.25">
      <c r="C11437" s="6"/>
      <c r="G11437" s="6"/>
      <c r="K11437" s="6"/>
    </row>
    <row r="11438" spans="3:11" x14ac:dyDescent="0.25">
      <c r="C11438" s="6"/>
      <c r="G11438" s="6"/>
      <c r="K11438" s="6"/>
    </row>
    <row r="11439" spans="3:11" x14ac:dyDescent="0.25">
      <c r="C11439" s="6"/>
      <c r="G11439" s="6"/>
      <c r="K11439" s="6"/>
    </row>
    <row r="11440" spans="3:11" x14ac:dyDescent="0.25">
      <c r="C11440" s="6"/>
      <c r="G11440" s="6"/>
      <c r="K11440" s="6"/>
    </row>
    <row r="11441" spans="3:11" x14ac:dyDescent="0.25">
      <c r="C11441" s="6"/>
      <c r="G11441" s="6"/>
      <c r="K11441" s="6"/>
    </row>
    <row r="11442" spans="3:11" x14ac:dyDescent="0.25">
      <c r="C11442" s="6"/>
      <c r="G11442" s="6"/>
      <c r="K11442" s="6"/>
    </row>
    <row r="11443" spans="3:11" x14ac:dyDescent="0.25">
      <c r="C11443" s="6"/>
      <c r="G11443" s="6"/>
      <c r="K11443" s="6"/>
    </row>
    <row r="11444" spans="3:11" x14ac:dyDescent="0.25">
      <c r="C11444" s="6"/>
      <c r="G11444" s="6"/>
      <c r="K11444" s="6"/>
    </row>
    <row r="11445" spans="3:11" x14ac:dyDescent="0.25">
      <c r="C11445" s="6"/>
      <c r="G11445" s="6"/>
      <c r="K11445" s="6"/>
    </row>
    <row r="11446" spans="3:11" x14ac:dyDescent="0.25">
      <c r="C11446" s="6"/>
      <c r="G11446" s="6"/>
      <c r="K11446" s="6"/>
    </row>
    <row r="11447" spans="3:11" x14ac:dyDescent="0.25">
      <c r="C11447" s="6"/>
      <c r="G11447" s="6"/>
      <c r="K11447" s="6"/>
    </row>
    <row r="11448" spans="3:11" x14ac:dyDescent="0.25">
      <c r="C11448" s="6"/>
      <c r="G11448" s="6"/>
      <c r="K11448" s="6"/>
    </row>
    <row r="11449" spans="3:11" x14ac:dyDescent="0.25">
      <c r="C11449" s="6"/>
      <c r="G11449" s="6"/>
      <c r="K11449" s="6"/>
    </row>
    <row r="11450" spans="3:11" x14ac:dyDescent="0.25">
      <c r="C11450" s="6"/>
      <c r="G11450" s="6"/>
      <c r="K11450" s="6"/>
    </row>
    <row r="11451" spans="3:11" x14ac:dyDescent="0.25">
      <c r="C11451" s="6"/>
      <c r="G11451" s="6"/>
      <c r="K11451" s="6"/>
    </row>
    <row r="11452" spans="3:11" x14ac:dyDescent="0.25">
      <c r="C11452" s="6"/>
      <c r="G11452" s="6"/>
      <c r="K11452" s="6"/>
    </row>
    <row r="11453" spans="3:11" x14ac:dyDescent="0.25">
      <c r="C11453" s="6"/>
      <c r="G11453" s="6"/>
      <c r="K11453" s="6"/>
    </row>
    <row r="11454" spans="3:11" x14ac:dyDescent="0.25">
      <c r="C11454" s="6"/>
      <c r="G11454" s="6"/>
      <c r="K11454" s="6"/>
    </row>
    <row r="11455" spans="3:11" x14ac:dyDescent="0.25">
      <c r="C11455" s="6"/>
      <c r="G11455" s="6"/>
      <c r="K11455" s="6"/>
    </row>
    <row r="11456" spans="3:11" x14ac:dyDescent="0.25">
      <c r="C11456" s="6"/>
      <c r="G11456" s="6"/>
      <c r="K11456" s="6"/>
    </row>
    <row r="11457" spans="3:11" x14ac:dyDescent="0.25">
      <c r="C11457" s="6"/>
      <c r="G11457" s="6"/>
      <c r="K11457" s="6"/>
    </row>
    <row r="11458" spans="3:11" x14ac:dyDescent="0.25">
      <c r="C11458" s="6"/>
      <c r="G11458" s="6"/>
      <c r="K11458" s="6"/>
    </row>
    <row r="11459" spans="3:11" x14ac:dyDescent="0.25">
      <c r="C11459" s="6"/>
      <c r="G11459" s="6"/>
      <c r="K11459" s="6"/>
    </row>
    <row r="11460" spans="3:11" x14ac:dyDescent="0.25">
      <c r="C11460" s="6"/>
      <c r="G11460" s="6"/>
      <c r="K11460" s="6"/>
    </row>
    <row r="11461" spans="3:11" x14ac:dyDescent="0.25">
      <c r="C11461" s="6"/>
      <c r="G11461" s="6"/>
      <c r="K11461" s="6"/>
    </row>
    <row r="11462" spans="3:11" x14ac:dyDescent="0.25">
      <c r="C11462" s="6"/>
      <c r="G11462" s="6"/>
      <c r="K11462" s="6"/>
    </row>
    <row r="11463" spans="3:11" x14ac:dyDescent="0.25">
      <c r="C11463" s="6"/>
      <c r="G11463" s="6"/>
      <c r="K11463" s="6"/>
    </row>
    <row r="11464" spans="3:11" x14ac:dyDescent="0.25">
      <c r="C11464" s="6"/>
      <c r="G11464" s="6"/>
      <c r="K11464" s="6"/>
    </row>
    <row r="11465" spans="3:11" x14ac:dyDescent="0.25">
      <c r="C11465" s="6"/>
      <c r="G11465" s="6"/>
      <c r="K11465" s="6"/>
    </row>
    <row r="11466" spans="3:11" x14ac:dyDescent="0.25">
      <c r="C11466" s="6"/>
      <c r="G11466" s="6"/>
      <c r="K11466" s="6"/>
    </row>
    <row r="11467" spans="3:11" x14ac:dyDescent="0.25">
      <c r="C11467" s="6"/>
      <c r="G11467" s="6"/>
      <c r="K11467" s="6"/>
    </row>
    <row r="11468" spans="3:11" x14ac:dyDescent="0.25">
      <c r="C11468" s="6"/>
      <c r="G11468" s="6"/>
      <c r="K11468" s="6"/>
    </row>
    <row r="11469" spans="3:11" x14ac:dyDescent="0.25">
      <c r="C11469" s="6"/>
      <c r="G11469" s="6"/>
      <c r="K11469" s="6"/>
    </row>
    <row r="11470" spans="3:11" x14ac:dyDescent="0.25">
      <c r="C11470" s="6"/>
      <c r="G11470" s="6"/>
      <c r="K11470" s="6"/>
    </row>
    <row r="11471" spans="3:11" x14ac:dyDescent="0.25">
      <c r="C11471" s="6"/>
      <c r="G11471" s="6"/>
      <c r="K11471" s="6"/>
    </row>
    <row r="11472" spans="3:11" x14ac:dyDescent="0.25">
      <c r="C11472" s="6"/>
      <c r="G11472" s="6"/>
      <c r="K11472" s="6"/>
    </row>
    <row r="11473" spans="3:11" x14ac:dyDescent="0.25">
      <c r="C11473" s="6"/>
      <c r="G11473" s="6"/>
      <c r="K11473" s="6"/>
    </row>
    <row r="11474" spans="3:11" x14ac:dyDescent="0.25">
      <c r="C11474" s="6"/>
      <c r="G11474" s="6"/>
      <c r="K11474" s="6"/>
    </row>
    <row r="11475" spans="3:11" x14ac:dyDescent="0.25">
      <c r="C11475" s="6"/>
      <c r="G11475" s="6"/>
      <c r="K11475" s="6"/>
    </row>
    <row r="11476" spans="3:11" x14ac:dyDescent="0.25">
      <c r="C11476" s="6"/>
      <c r="G11476" s="6"/>
      <c r="K11476" s="6"/>
    </row>
    <row r="11477" spans="3:11" x14ac:dyDescent="0.25">
      <c r="C11477" s="6"/>
      <c r="G11477" s="6"/>
      <c r="K11477" s="6"/>
    </row>
    <row r="11478" spans="3:11" x14ac:dyDescent="0.25">
      <c r="C11478" s="6"/>
      <c r="G11478" s="6"/>
      <c r="K11478" s="6"/>
    </row>
    <row r="11479" spans="3:11" x14ac:dyDescent="0.25">
      <c r="C11479" s="6"/>
      <c r="G11479" s="6"/>
      <c r="K11479" s="6"/>
    </row>
    <row r="11480" spans="3:11" x14ac:dyDescent="0.25">
      <c r="C11480" s="6"/>
      <c r="G11480" s="6"/>
      <c r="K11480" s="6"/>
    </row>
    <row r="11481" spans="3:11" x14ac:dyDescent="0.25">
      <c r="C11481" s="6"/>
      <c r="G11481" s="6"/>
      <c r="K11481" s="6"/>
    </row>
    <row r="11482" spans="3:11" x14ac:dyDescent="0.25">
      <c r="C11482" s="6"/>
      <c r="G11482" s="6"/>
      <c r="K11482" s="6"/>
    </row>
    <row r="11483" spans="3:11" x14ac:dyDescent="0.25">
      <c r="C11483" s="6"/>
      <c r="G11483" s="6"/>
      <c r="K11483" s="6"/>
    </row>
    <row r="11484" spans="3:11" x14ac:dyDescent="0.25">
      <c r="C11484" s="6"/>
      <c r="G11484" s="6"/>
      <c r="K11484" s="6"/>
    </row>
    <row r="11485" spans="3:11" x14ac:dyDescent="0.25">
      <c r="C11485" s="6"/>
      <c r="G11485" s="6"/>
      <c r="K11485" s="6"/>
    </row>
    <row r="11486" spans="3:11" x14ac:dyDescent="0.25">
      <c r="C11486" s="6"/>
      <c r="G11486" s="6"/>
      <c r="K11486" s="6"/>
    </row>
    <row r="11487" spans="3:11" x14ac:dyDescent="0.25">
      <c r="C11487" s="6"/>
      <c r="G11487" s="6"/>
      <c r="K11487" s="6"/>
    </row>
    <row r="11488" spans="3:11" x14ac:dyDescent="0.25">
      <c r="C11488" s="6"/>
      <c r="G11488" s="6"/>
      <c r="K11488" s="6"/>
    </row>
    <row r="11489" spans="3:11" x14ac:dyDescent="0.25">
      <c r="C11489" s="6"/>
      <c r="G11489" s="6"/>
      <c r="K11489" s="6"/>
    </row>
    <row r="11490" spans="3:11" x14ac:dyDescent="0.25">
      <c r="C11490" s="6"/>
      <c r="G11490" s="6"/>
      <c r="K11490" s="6"/>
    </row>
    <row r="11491" spans="3:11" x14ac:dyDescent="0.25">
      <c r="C11491" s="6"/>
      <c r="G11491" s="6"/>
      <c r="K11491" s="6"/>
    </row>
    <row r="11492" spans="3:11" x14ac:dyDescent="0.25">
      <c r="C11492" s="6"/>
      <c r="G11492" s="6"/>
      <c r="K11492" s="6"/>
    </row>
    <row r="11493" spans="3:11" x14ac:dyDescent="0.25">
      <c r="C11493" s="6"/>
      <c r="G11493" s="6"/>
      <c r="K11493" s="6"/>
    </row>
    <row r="11494" spans="3:11" x14ac:dyDescent="0.25">
      <c r="C11494" s="6"/>
      <c r="G11494" s="6"/>
      <c r="K11494" s="6"/>
    </row>
    <row r="11495" spans="3:11" x14ac:dyDescent="0.25">
      <c r="C11495" s="6"/>
      <c r="G11495" s="6"/>
      <c r="K11495" s="6"/>
    </row>
    <row r="11496" spans="3:11" x14ac:dyDescent="0.25">
      <c r="C11496" s="6"/>
      <c r="G11496" s="6"/>
      <c r="K11496" s="6"/>
    </row>
    <row r="11497" spans="3:11" x14ac:dyDescent="0.25">
      <c r="C11497" s="6"/>
      <c r="G11497" s="6"/>
      <c r="K11497" s="6"/>
    </row>
    <row r="11498" spans="3:11" x14ac:dyDescent="0.25">
      <c r="C11498" s="6"/>
      <c r="G11498" s="6"/>
      <c r="K11498" s="6"/>
    </row>
    <row r="11499" spans="3:11" x14ac:dyDescent="0.25">
      <c r="C11499" s="6"/>
      <c r="G11499" s="6"/>
      <c r="K11499" s="6"/>
    </row>
    <row r="11500" spans="3:11" x14ac:dyDescent="0.25">
      <c r="C11500" s="6"/>
      <c r="G11500" s="6"/>
      <c r="K11500" s="6"/>
    </row>
    <row r="11501" spans="3:11" x14ac:dyDescent="0.25">
      <c r="C11501" s="6"/>
      <c r="G11501" s="6"/>
      <c r="K11501" s="6"/>
    </row>
    <row r="11502" spans="3:11" x14ac:dyDescent="0.25">
      <c r="C11502" s="6"/>
      <c r="G11502" s="6"/>
      <c r="K11502" s="6"/>
    </row>
    <row r="11503" spans="3:11" x14ac:dyDescent="0.25">
      <c r="C11503" s="6"/>
      <c r="G11503" s="6"/>
      <c r="K11503" s="6"/>
    </row>
    <row r="11504" spans="3:11" x14ac:dyDescent="0.25">
      <c r="C11504" s="6"/>
      <c r="G11504" s="6"/>
      <c r="K11504" s="6"/>
    </row>
    <row r="11505" spans="3:11" x14ac:dyDescent="0.25">
      <c r="C11505" s="6"/>
      <c r="G11505" s="6"/>
      <c r="K11505" s="6"/>
    </row>
    <row r="11506" spans="3:11" x14ac:dyDescent="0.25">
      <c r="C11506" s="6"/>
      <c r="G11506" s="6"/>
      <c r="K11506" s="6"/>
    </row>
    <row r="11507" spans="3:11" x14ac:dyDescent="0.25">
      <c r="C11507" s="6"/>
      <c r="G11507" s="6"/>
      <c r="K11507" s="6"/>
    </row>
    <row r="11508" spans="3:11" x14ac:dyDescent="0.25">
      <c r="C11508" s="6"/>
      <c r="G11508" s="6"/>
      <c r="K11508" s="6"/>
    </row>
    <row r="11509" spans="3:11" x14ac:dyDescent="0.25">
      <c r="C11509" s="6"/>
      <c r="G11509" s="6"/>
      <c r="K11509" s="6"/>
    </row>
    <row r="11510" spans="3:11" x14ac:dyDescent="0.25">
      <c r="C11510" s="6"/>
      <c r="G11510" s="6"/>
      <c r="K11510" s="6"/>
    </row>
    <row r="11511" spans="3:11" x14ac:dyDescent="0.25">
      <c r="C11511" s="6"/>
      <c r="G11511" s="6"/>
      <c r="K11511" s="6"/>
    </row>
    <row r="11512" spans="3:11" x14ac:dyDescent="0.25">
      <c r="C11512" s="6"/>
      <c r="G11512" s="6"/>
      <c r="K11512" s="6"/>
    </row>
    <row r="11513" spans="3:11" x14ac:dyDescent="0.25">
      <c r="C11513" s="6"/>
      <c r="G11513" s="6"/>
      <c r="K11513" s="6"/>
    </row>
    <row r="11514" spans="3:11" x14ac:dyDescent="0.25">
      <c r="C11514" s="6"/>
      <c r="G11514" s="6"/>
      <c r="K11514" s="6"/>
    </row>
    <row r="11515" spans="3:11" x14ac:dyDescent="0.25">
      <c r="C11515" s="6"/>
      <c r="G11515" s="6"/>
      <c r="K11515" s="6"/>
    </row>
    <row r="11516" spans="3:11" x14ac:dyDescent="0.25">
      <c r="C11516" s="6"/>
      <c r="G11516" s="6"/>
      <c r="K11516" s="6"/>
    </row>
    <row r="11517" spans="3:11" x14ac:dyDescent="0.25">
      <c r="C11517" s="6"/>
      <c r="G11517" s="6"/>
      <c r="K11517" s="6"/>
    </row>
    <row r="11518" spans="3:11" x14ac:dyDescent="0.25">
      <c r="C11518" s="6"/>
      <c r="G11518" s="6"/>
      <c r="K11518" s="6"/>
    </row>
    <row r="11519" spans="3:11" x14ac:dyDescent="0.25">
      <c r="C11519" s="6"/>
      <c r="G11519" s="6"/>
      <c r="K11519" s="6"/>
    </row>
    <row r="11520" spans="3:11" x14ac:dyDescent="0.25">
      <c r="C11520" s="6"/>
      <c r="G11520" s="6"/>
      <c r="K11520" s="6"/>
    </row>
    <row r="11521" spans="3:11" x14ac:dyDescent="0.25">
      <c r="C11521" s="6"/>
      <c r="G11521" s="6"/>
      <c r="K11521" s="6"/>
    </row>
    <row r="11522" spans="3:11" x14ac:dyDescent="0.25">
      <c r="C11522" s="6"/>
      <c r="G11522" s="6"/>
      <c r="K11522" s="6"/>
    </row>
    <row r="11523" spans="3:11" x14ac:dyDescent="0.25">
      <c r="C11523" s="6"/>
      <c r="G11523" s="6"/>
      <c r="K11523" s="6"/>
    </row>
    <row r="11524" spans="3:11" x14ac:dyDescent="0.25">
      <c r="C11524" s="6"/>
      <c r="G11524" s="6"/>
      <c r="K11524" s="6"/>
    </row>
    <row r="11525" spans="3:11" x14ac:dyDescent="0.25">
      <c r="C11525" s="6"/>
      <c r="G11525" s="6"/>
      <c r="K11525" s="6"/>
    </row>
    <row r="11526" spans="3:11" x14ac:dyDescent="0.25">
      <c r="C11526" s="6"/>
      <c r="G11526" s="6"/>
      <c r="K11526" s="6"/>
    </row>
    <row r="11527" spans="3:11" x14ac:dyDescent="0.25">
      <c r="C11527" s="6"/>
      <c r="G11527" s="6"/>
      <c r="K11527" s="6"/>
    </row>
    <row r="11528" spans="3:11" x14ac:dyDescent="0.25">
      <c r="C11528" s="6"/>
      <c r="G11528" s="6"/>
      <c r="K11528" s="6"/>
    </row>
    <row r="11529" spans="3:11" x14ac:dyDescent="0.25">
      <c r="C11529" s="6"/>
      <c r="G11529" s="6"/>
      <c r="K11529" s="6"/>
    </row>
    <row r="11530" spans="3:11" x14ac:dyDescent="0.25">
      <c r="C11530" s="6"/>
      <c r="G11530" s="6"/>
      <c r="K11530" s="6"/>
    </row>
    <row r="11531" spans="3:11" x14ac:dyDescent="0.25">
      <c r="C11531" s="6"/>
      <c r="G11531" s="6"/>
      <c r="K11531" s="6"/>
    </row>
    <row r="11532" spans="3:11" x14ac:dyDescent="0.25">
      <c r="C11532" s="6"/>
      <c r="G11532" s="6"/>
      <c r="K11532" s="6"/>
    </row>
    <row r="11533" spans="3:11" x14ac:dyDescent="0.25">
      <c r="C11533" s="6"/>
      <c r="G11533" s="6"/>
      <c r="K11533" s="6"/>
    </row>
    <row r="11534" spans="3:11" x14ac:dyDescent="0.25">
      <c r="C11534" s="6"/>
      <c r="G11534" s="6"/>
      <c r="K11534" s="6"/>
    </row>
    <row r="11535" spans="3:11" x14ac:dyDescent="0.25">
      <c r="C11535" s="6"/>
      <c r="G11535" s="6"/>
      <c r="K11535" s="6"/>
    </row>
    <row r="11536" spans="3:11" x14ac:dyDescent="0.25">
      <c r="C11536" s="6"/>
      <c r="G11536" s="6"/>
      <c r="K11536" s="6"/>
    </row>
    <row r="11537" spans="3:11" x14ac:dyDescent="0.25">
      <c r="C11537" s="6"/>
      <c r="G11537" s="6"/>
      <c r="K11537" s="6"/>
    </row>
    <row r="11538" spans="3:11" x14ac:dyDescent="0.25">
      <c r="C11538" s="6"/>
      <c r="G11538" s="6"/>
      <c r="K11538" s="6"/>
    </row>
    <row r="11539" spans="3:11" x14ac:dyDescent="0.25">
      <c r="C11539" s="6"/>
      <c r="G11539" s="6"/>
      <c r="K11539" s="6"/>
    </row>
    <row r="11540" spans="3:11" x14ac:dyDescent="0.25">
      <c r="C11540" s="6"/>
      <c r="G11540" s="6"/>
      <c r="K11540" s="6"/>
    </row>
    <row r="11541" spans="3:11" x14ac:dyDescent="0.25">
      <c r="C11541" s="6"/>
      <c r="G11541" s="6"/>
      <c r="K11541" s="6"/>
    </row>
    <row r="11542" spans="3:11" x14ac:dyDescent="0.25">
      <c r="C11542" s="6"/>
      <c r="G11542" s="6"/>
      <c r="K11542" s="6"/>
    </row>
    <row r="11543" spans="3:11" x14ac:dyDescent="0.25">
      <c r="C11543" s="6"/>
      <c r="G11543" s="6"/>
      <c r="K11543" s="6"/>
    </row>
    <row r="11544" spans="3:11" x14ac:dyDescent="0.25">
      <c r="C11544" s="6"/>
      <c r="G11544" s="6"/>
      <c r="K11544" s="6"/>
    </row>
    <row r="11545" spans="3:11" x14ac:dyDescent="0.25">
      <c r="C11545" s="6"/>
      <c r="G11545" s="6"/>
      <c r="K11545" s="6"/>
    </row>
    <row r="11546" spans="3:11" x14ac:dyDescent="0.25">
      <c r="C11546" s="6"/>
      <c r="G11546" s="6"/>
      <c r="K11546" s="6"/>
    </row>
    <row r="11547" spans="3:11" x14ac:dyDescent="0.25">
      <c r="C11547" s="6"/>
      <c r="G11547" s="6"/>
      <c r="K11547" s="6"/>
    </row>
    <row r="11548" spans="3:11" x14ac:dyDescent="0.25">
      <c r="C11548" s="6"/>
      <c r="G11548" s="6"/>
      <c r="K11548" s="6"/>
    </row>
    <row r="11549" spans="3:11" x14ac:dyDescent="0.25">
      <c r="C11549" s="6"/>
      <c r="G11549" s="6"/>
      <c r="K11549" s="6"/>
    </row>
    <row r="11550" spans="3:11" x14ac:dyDescent="0.25">
      <c r="C11550" s="6"/>
      <c r="G11550" s="6"/>
      <c r="K11550" s="6"/>
    </row>
    <row r="11551" spans="3:11" x14ac:dyDescent="0.25">
      <c r="C11551" s="6"/>
      <c r="G11551" s="6"/>
      <c r="K11551" s="6"/>
    </row>
    <row r="11552" spans="3:11" x14ac:dyDescent="0.25">
      <c r="C11552" s="6"/>
      <c r="G11552" s="6"/>
      <c r="K11552" s="6"/>
    </row>
    <row r="11553" spans="3:11" x14ac:dyDescent="0.25">
      <c r="C11553" s="6"/>
      <c r="G11553" s="6"/>
      <c r="K11553" s="6"/>
    </row>
    <row r="11554" spans="3:11" x14ac:dyDescent="0.25">
      <c r="C11554" s="6"/>
      <c r="G11554" s="6"/>
      <c r="K11554" s="6"/>
    </row>
    <row r="11555" spans="3:11" x14ac:dyDescent="0.25">
      <c r="C11555" s="6"/>
      <c r="G11555" s="6"/>
      <c r="K11555" s="6"/>
    </row>
    <row r="11556" spans="3:11" x14ac:dyDescent="0.25">
      <c r="C11556" s="6"/>
      <c r="G11556" s="6"/>
      <c r="K11556" s="6"/>
    </row>
    <row r="11557" spans="3:11" x14ac:dyDescent="0.25">
      <c r="C11557" s="6"/>
      <c r="G11557" s="6"/>
      <c r="K11557" s="6"/>
    </row>
    <row r="11558" spans="3:11" x14ac:dyDescent="0.25">
      <c r="C11558" s="6"/>
      <c r="G11558" s="6"/>
      <c r="K11558" s="6"/>
    </row>
    <row r="11559" spans="3:11" x14ac:dyDescent="0.25">
      <c r="C11559" s="6"/>
      <c r="G11559" s="6"/>
      <c r="K11559" s="6"/>
    </row>
    <row r="11560" spans="3:11" x14ac:dyDescent="0.25">
      <c r="C11560" s="6"/>
      <c r="G11560" s="6"/>
      <c r="K11560" s="6"/>
    </row>
    <row r="11561" spans="3:11" x14ac:dyDescent="0.25">
      <c r="C11561" s="6"/>
      <c r="G11561" s="6"/>
      <c r="K11561" s="6"/>
    </row>
    <row r="11562" spans="3:11" x14ac:dyDescent="0.25">
      <c r="C11562" s="6"/>
      <c r="G11562" s="6"/>
      <c r="K11562" s="6"/>
    </row>
    <row r="11563" spans="3:11" x14ac:dyDescent="0.25">
      <c r="C11563" s="6"/>
      <c r="G11563" s="6"/>
      <c r="K11563" s="6"/>
    </row>
    <row r="11564" spans="3:11" x14ac:dyDescent="0.25">
      <c r="C11564" s="6"/>
      <c r="G11564" s="6"/>
      <c r="K11564" s="6"/>
    </row>
    <row r="11565" spans="3:11" x14ac:dyDescent="0.25">
      <c r="C11565" s="6"/>
      <c r="G11565" s="6"/>
      <c r="K11565" s="6"/>
    </row>
    <row r="11566" spans="3:11" x14ac:dyDescent="0.25">
      <c r="C11566" s="6"/>
      <c r="G11566" s="6"/>
      <c r="K11566" s="6"/>
    </row>
    <row r="11567" spans="3:11" x14ac:dyDescent="0.25">
      <c r="C11567" s="6"/>
      <c r="G11567" s="6"/>
      <c r="K11567" s="6"/>
    </row>
    <row r="11568" spans="3:11" x14ac:dyDescent="0.25">
      <c r="C11568" s="6"/>
      <c r="G11568" s="6"/>
      <c r="K11568" s="6"/>
    </row>
    <row r="11569" spans="3:11" x14ac:dyDescent="0.25">
      <c r="C11569" s="6"/>
      <c r="G11569" s="6"/>
      <c r="K11569" s="6"/>
    </row>
    <row r="11570" spans="3:11" x14ac:dyDescent="0.25">
      <c r="C11570" s="6"/>
      <c r="G11570" s="6"/>
      <c r="K11570" s="6"/>
    </row>
    <row r="11571" spans="3:11" x14ac:dyDescent="0.25">
      <c r="C11571" s="6"/>
      <c r="G11571" s="6"/>
      <c r="K11571" s="6"/>
    </row>
    <row r="11572" spans="3:11" x14ac:dyDescent="0.25">
      <c r="C11572" s="6"/>
      <c r="G11572" s="6"/>
      <c r="K11572" s="6"/>
    </row>
    <row r="11573" spans="3:11" x14ac:dyDescent="0.25">
      <c r="C11573" s="6"/>
      <c r="G11573" s="6"/>
      <c r="K11573" s="6"/>
    </row>
    <row r="11574" spans="3:11" x14ac:dyDescent="0.25">
      <c r="C11574" s="6"/>
      <c r="G11574" s="6"/>
      <c r="K11574" s="6"/>
    </row>
    <row r="11575" spans="3:11" x14ac:dyDescent="0.25">
      <c r="C11575" s="6"/>
      <c r="G11575" s="6"/>
      <c r="K11575" s="6"/>
    </row>
    <row r="11576" spans="3:11" x14ac:dyDescent="0.25">
      <c r="C11576" s="6"/>
      <c r="G11576" s="6"/>
      <c r="K11576" s="6"/>
    </row>
    <row r="11577" spans="3:11" x14ac:dyDescent="0.25">
      <c r="C11577" s="6"/>
      <c r="G11577" s="6"/>
      <c r="K11577" s="6"/>
    </row>
    <row r="11578" spans="3:11" x14ac:dyDescent="0.25">
      <c r="C11578" s="6"/>
      <c r="G11578" s="6"/>
      <c r="K11578" s="6"/>
    </row>
    <row r="11579" spans="3:11" x14ac:dyDescent="0.25">
      <c r="C11579" s="6"/>
      <c r="G11579" s="6"/>
      <c r="K11579" s="6"/>
    </row>
    <row r="11580" spans="3:11" x14ac:dyDescent="0.25">
      <c r="C11580" s="6"/>
      <c r="G11580" s="6"/>
      <c r="K11580" s="6"/>
    </row>
    <row r="11581" spans="3:11" x14ac:dyDescent="0.25">
      <c r="C11581" s="6"/>
      <c r="G11581" s="6"/>
      <c r="K11581" s="6"/>
    </row>
    <row r="11582" spans="3:11" x14ac:dyDescent="0.25">
      <c r="C11582" s="6"/>
      <c r="G11582" s="6"/>
      <c r="K11582" s="6"/>
    </row>
    <row r="11583" spans="3:11" x14ac:dyDescent="0.25">
      <c r="C11583" s="6"/>
      <c r="G11583" s="6"/>
      <c r="K11583" s="6"/>
    </row>
    <row r="11584" spans="3:11" x14ac:dyDescent="0.25">
      <c r="C11584" s="6"/>
      <c r="G11584" s="6"/>
      <c r="K11584" s="6"/>
    </row>
    <row r="11585" spans="3:11" x14ac:dyDescent="0.25">
      <c r="C11585" s="6"/>
      <c r="G11585" s="6"/>
      <c r="K11585" s="6"/>
    </row>
    <row r="11586" spans="3:11" x14ac:dyDescent="0.25">
      <c r="C11586" s="6"/>
      <c r="G11586" s="6"/>
      <c r="K11586" s="6"/>
    </row>
    <row r="11587" spans="3:11" x14ac:dyDescent="0.25">
      <c r="C11587" s="6"/>
      <c r="G11587" s="6"/>
      <c r="K11587" s="6"/>
    </row>
    <row r="11588" spans="3:11" x14ac:dyDescent="0.25">
      <c r="C11588" s="6"/>
      <c r="G11588" s="6"/>
      <c r="K11588" s="6"/>
    </row>
    <row r="11589" spans="3:11" x14ac:dyDescent="0.25">
      <c r="C11589" s="6"/>
      <c r="G11589" s="6"/>
      <c r="K11589" s="6"/>
    </row>
    <row r="11590" spans="3:11" x14ac:dyDescent="0.25">
      <c r="C11590" s="6"/>
      <c r="G11590" s="6"/>
      <c r="K11590" s="6"/>
    </row>
    <row r="11591" spans="3:11" x14ac:dyDescent="0.25">
      <c r="C11591" s="6"/>
      <c r="G11591" s="6"/>
      <c r="K11591" s="6"/>
    </row>
    <row r="11592" spans="3:11" x14ac:dyDescent="0.25">
      <c r="C11592" s="6"/>
      <c r="G11592" s="6"/>
      <c r="K11592" s="6"/>
    </row>
    <row r="11593" spans="3:11" x14ac:dyDescent="0.25">
      <c r="C11593" s="6"/>
      <c r="G11593" s="6"/>
      <c r="K11593" s="6"/>
    </row>
    <row r="11594" spans="3:11" x14ac:dyDescent="0.25">
      <c r="C11594" s="6"/>
      <c r="G11594" s="6"/>
      <c r="K11594" s="6"/>
    </row>
    <row r="11595" spans="3:11" x14ac:dyDescent="0.25">
      <c r="C11595" s="6"/>
      <c r="G11595" s="6"/>
      <c r="K11595" s="6"/>
    </row>
    <row r="11596" spans="3:11" x14ac:dyDescent="0.25">
      <c r="C11596" s="6"/>
      <c r="G11596" s="6"/>
      <c r="K11596" s="6"/>
    </row>
    <row r="11597" spans="3:11" x14ac:dyDescent="0.25">
      <c r="C11597" s="6"/>
      <c r="G11597" s="6"/>
      <c r="K11597" s="6"/>
    </row>
    <row r="11598" spans="3:11" x14ac:dyDescent="0.25">
      <c r="C11598" s="6"/>
      <c r="G11598" s="6"/>
      <c r="K11598" s="6"/>
    </row>
    <row r="11599" spans="3:11" x14ac:dyDescent="0.25">
      <c r="C11599" s="6"/>
      <c r="G11599" s="6"/>
      <c r="K11599" s="6"/>
    </row>
    <row r="11600" spans="3:11" x14ac:dyDescent="0.25">
      <c r="C11600" s="6"/>
      <c r="G11600" s="6"/>
      <c r="K11600" s="6"/>
    </row>
    <row r="11601" spans="3:11" x14ac:dyDescent="0.25">
      <c r="C11601" s="6"/>
      <c r="G11601" s="6"/>
      <c r="K11601" s="6"/>
    </row>
    <row r="11602" spans="3:11" x14ac:dyDescent="0.25">
      <c r="C11602" s="6"/>
      <c r="G11602" s="6"/>
      <c r="K11602" s="6"/>
    </row>
    <row r="11603" spans="3:11" x14ac:dyDescent="0.25">
      <c r="C11603" s="6"/>
      <c r="G11603" s="6"/>
      <c r="K11603" s="6"/>
    </row>
    <row r="11604" spans="3:11" x14ac:dyDescent="0.25">
      <c r="C11604" s="6"/>
      <c r="G11604" s="6"/>
      <c r="K11604" s="6"/>
    </row>
    <row r="11605" spans="3:11" x14ac:dyDescent="0.25">
      <c r="C11605" s="6"/>
      <c r="G11605" s="6"/>
      <c r="K11605" s="6"/>
    </row>
    <row r="11606" spans="3:11" x14ac:dyDescent="0.25">
      <c r="C11606" s="6"/>
      <c r="G11606" s="6"/>
      <c r="K11606" s="6"/>
    </row>
    <row r="11607" spans="3:11" x14ac:dyDescent="0.25">
      <c r="C11607" s="6"/>
      <c r="G11607" s="6"/>
      <c r="K11607" s="6"/>
    </row>
    <row r="11608" spans="3:11" x14ac:dyDescent="0.25">
      <c r="C11608" s="6"/>
      <c r="G11608" s="6"/>
      <c r="K11608" s="6"/>
    </row>
    <row r="11609" spans="3:11" x14ac:dyDescent="0.25">
      <c r="C11609" s="6"/>
      <c r="G11609" s="6"/>
      <c r="K11609" s="6"/>
    </row>
    <row r="11610" spans="3:11" x14ac:dyDescent="0.25">
      <c r="C11610" s="6"/>
      <c r="G11610" s="6"/>
      <c r="K11610" s="6"/>
    </row>
    <row r="11611" spans="3:11" x14ac:dyDescent="0.25">
      <c r="C11611" s="6"/>
      <c r="G11611" s="6"/>
      <c r="K11611" s="6"/>
    </row>
    <row r="11612" spans="3:11" x14ac:dyDescent="0.25">
      <c r="C11612" s="6"/>
      <c r="G11612" s="6"/>
      <c r="K11612" s="6"/>
    </row>
    <row r="11613" spans="3:11" x14ac:dyDescent="0.25">
      <c r="C11613" s="6"/>
      <c r="G11613" s="6"/>
      <c r="K11613" s="6"/>
    </row>
    <row r="11614" spans="3:11" x14ac:dyDescent="0.25">
      <c r="C11614" s="6"/>
      <c r="G11614" s="6"/>
      <c r="K11614" s="6"/>
    </row>
    <row r="11615" spans="3:11" x14ac:dyDescent="0.25">
      <c r="C11615" s="6"/>
      <c r="G11615" s="6"/>
      <c r="K11615" s="6"/>
    </row>
    <row r="11616" spans="3:11" x14ac:dyDescent="0.25">
      <c r="C11616" s="6"/>
      <c r="G11616" s="6"/>
      <c r="K11616" s="6"/>
    </row>
    <row r="11617" spans="3:11" x14ac:dyDescent="0.25">
      <c r="C11617" s="6"/>
      <c r="G11617" s="6"/>
      <c r="K11617" s="6"/>
    </row>
    <row r="11618" spans="3:11" x14ac:dyDescent="0.25">
      <c r="C11618" s="6"/>
      <c r="G11618" s="6"/>
      <c r="K11618" s="6"/>
    </row>
    <row r="11619" spans="3:11" x14ac:dyDescent="0.25">
      <c r="C11619" s="6"/>
      <c r="G11619" s="6"/>
      <c r="K11619" s="6"/>
    </row>
    <row r="11620" spans="3:11" x14ac:dyDescent="0.25">
      <c r="C11620" s="6"/>
      <c r="G11620" s="6"/>
      <c r="K11620" s="6"/>
    </row>
    <row r="11621" spans="3:11" x14ac:dyDescent="0.25">
      <c r="C11621" s="6"/>
      <c r="G11621" s="6"/>
      <c r="K11621" s="6"/>
    </row>
    <row r="11622" spans="3:11" x14ac:dyDescent="0.25">
      <c r="C11622" s="6"/>
      <c r="G11622" s="6"/>
      <c r="K11622" s="6"/>
    </row>
    <row r="11623" spans="3:11" x14ac:dyDescent="0.25">
      <c r="C11623" s="6"/>
      <c r="G11623" s="6"/>
      <c r="K11623" s="6"/>
    </row>
    <row r="11624" spans="3:11" x14ac:dyDescent="0.25">
      <c r="C11624" s="6"/>
      <c r="G11624" s="6"/>
      <c r="K11624" s="6"/>
    </row>
    <row r="11625" spans="3:11" x14ac:dyDescent="0.25">
      <c r="C11625" s="6"/>
      <c r="G11625" s="6"/>
      <c r="K11625" s="6"/>
    </row>
    <row r="11626" spans="3:11" x14ac:dyDescent="0.25">
      <c r="C11626" s="6"/>
      <c r="G11626" s="6"/>
      <c r="K11626" s="6"/>
    </row>
    <row r="11627" spans="3:11" x14ac:dyDescent="0.25">
      <c r="C11627" s="6"/>
      <c r="G11627" s="6"/>
      <c r="K11627" s="6"/>
    </row>
    <row r="11628" spans="3:11" x14ac:dyDescent="0.25">
      <c r="C11628" s="6"/>
      <c r="G11628" s="6"/>
      <c r="K11628" s="6"/>
    </row>
    <row r="11629" spans="3:11" x14ac:dyDescent="0.25">
      <c r="C11629" s="6"/>
      <c r="G11629" s="6"/>
      <c r="K11629" s="6"/>
    </row>
    <row r="11630" spans="3:11" x14ac:dyDescent="0.25">
      <c r="C11630" s="6"/>
      <c r="G11630" s="6"/>
      <c r="K11630" s="6"/>
    </row>
    <row r="11631" spans="3:11" x14ac:dyDescent="0.25">
      <c r="C11631" s="6"/>
      <c r="G11631" s="6"/>
      <c r="K11631" s="6"/>
    </row>
    <row r="11632" spans="3:11" x14ac:dyDescent="0.25">
      <c r="C11632" s="6"/>
      <c r="G11632" s="6"/>
      <c r="K11632" s="6"/>
    </row>
    <row r="11633" spans="3:11" x14ac:dyDescent="0.25">
      <c r="C11633" s="6"/>
      <c r="G11633" s="6"/>
      <c r="K11633" s="6"/>
    </row>
    <row r="11634" spans="3:11" x14ac:dyDescent="0.25">
      <c r="C11634" s="6"/>
      <c r="G11634" s="6"/>
      <c r="K11634" s="6"/>
    </row>
    <row r="11635" spans="3:11" x14ac:dyDescent="0.25">
      <c r="C11635" s="6"/>
      <c r="G11635" s="6"/>
      <c r="K11635" s="6"/>
    </row>
    <row r="11636" spans="3:11" x14ac:dyDescent="0.25">
      <c r="C11636" s="6"/>
      <c r="G11636" s="6"/>
      <c r="K11636" s="6"/>
    </row>
    <row r="11637" spans="3:11" x14ac:dyDescent="0.25">
      <c r="C11637" s="6"/>
      <c r="G11637" s="6"/>
      <c r="K11637" s="6"/>
    </row>
    <row r="11638" spans="3:11" x14ac:dyDescent="0.25">
      <c r="C11638" s="6"/>
      <c r="G11638" s="6"/>
      <c r="K11638" s="6"/>
    </row>
    <row r="11639" spans="3:11" x14ac:dyDescent="0.25">
      <c r="C11639" s="6"/>
      <c r="G11639" s="6"/>
      <c r="K11639" s="6"/>
    </row>
    <row r="11640" spans="3:11" x14ac:dyDescent="0.25">
      <c r="C11640" s="6"/>
      <c r="G11640" s="6"/>
      <c r="K11640" s="6"/>
    </row>
    <row r="11641" spans="3:11" x14ac:dyDescent="0.25">
      <c r="C11641" s="6"/>
      <c r="G11641" s="6"/>
      <c r="K11641" s="6"/>
    </row>
    <row r="11642" spans="3:11" x14ac:dyDescent="0.25">
      <c r="C11642" s="6"/>
      <c r="G11642" s="6"/>
      <c r="K11642" s="6"/>
    </row>
    <row r="11643" spans="3:11" x14ac:dyDescent="0.25">
      <c r="C11643" s="6"/>
      <c r="G11643" s="6"/>
      <c r="K11643" s="6"/>
    </row>
    <row r="11644" spans="3:11" x14ac:dyDescent="0.25">
      <c r="C11644" s="6"/>
      <c r="G11644" s="6"/>
      <c r="K11644" s="6"/>
    </row>
    <row r="11645" spans="3:11" x14ac:dyDescent="0.25">
      <c r="C11645" s="6"/>
      <c r="G11645" s="6"/>
      <c r="K11645" s="6"/>
    </row>
    <row r="11646" spans="3:11" x14ac:dyDescent="0.25">
      <c r="C11646" s="6"/>
      <c r="G11646" s="6"/>
      <c r="K11646" s="6"/>
    </row>
    <row r="11647" spans="3:11" x14ac:dyDescent="0.25">
      <c r="C11647" s="6"/>
      <c r="G11647" s="6"/>
      <c r="K11647" s="6"/>
    </row>
    <row r="11648" spans="3:11" x14ac:dyDescent="0.25">
      <c r="C11648" s="6"/>
      <c r="G11648" s="6"/>
      <c r="K11648" s="6"/>
    </row>
    <row r="11649" spans="3:11" x14ac:dyDescent="0.25">
      <c r="C11649" s="6"/>
      <c r="G11649" s="6"/>
      <c r="K11649" s="6"/>
    </row>
    <row r="11650" spans="3:11" x14ac:dyDescent="0.25">
      <c r="C11650" s="6"/>
      <c r="G11650" s="6"/>
      <c r="K11650" s="6"/>
    </row>
    <row r="11651" spans="3:11" x14ac:dyDescent="0.25">
      <c r="C11651" s="6"/>
      <c r="G11651" s="6"/>
      <c r="K11651" s="6"/>
    </row>
    <row r="11652" spans="3:11" x14ac:dyDescent="0.25">
      <c r="C11652" s="6"/>
      <c r="G11652" s="6"/>
      <c r="K11652" s="6"/>
    </row>
    <row r="11653" spans="3:11" x14ac:dyDescent="0.25">
      <c r="C11653" s="6"/>
      <c r="G11653" s="6"/>
      <c r="K11653" s="6"/>
    </row>
    <row r="11654" spans="3:11" x14ac:dyDescent="0.25">
      <c r="C11654" s="6"/>
      <c r="G11654" s="6"/>
      <c r="K11654" s="6"/>
    </row>
    <row r="11655" spans="3:11" x14ac:dyDescent="0.25">
      <c r="C11655" s="6"/>
      <c r="G11655" s="6"/>
      <c r="K11655" s="6"/>
    </row>
    <row r="11656" spans="3:11" x14ac:dyDescent="0.25">
      <c r="C11656" s="6"/>
      <c r="G11656" s="6"/>
      <c r="K11656" s="6"/>
    </row>
    <row r="11657" spans="3:11" x14ac:dyDescent="0.25">
      <c r="C11657" s="6"/>
      <c r="G11657" s="6"/>
      <c r="K11657" s="6"/>
    </row>
    <row r="11658" spans="3:11" x14ac:dyDescent="0.25">
      <c r="C11658" s="6"/>
      <c r="G11658" s="6"/>
      <c r="K11658" s="6"/>
    </row>
    <row r="11659" spans="3:11" x14ac:dyDescent="0.25">
      <c r="C11659" s="6"/>
      <c r="G11659" s="6"/>
      <c r="K11659" s="6"/>
    </row>
    <row r="11660" spans="3:11" x14ac:dyDescent="0.25">
      <c r="C11660" s="6"/>
      <c r="G11660" s="6"/>
      <c r="K11660" s="6"/>
    </row>
    <row r="11661" spans="3:11" x14ac:dyDescent="0.25">
      <c r="C11661" s="6"/>
      <c r="G11661" s="6"/>
      <c r="K11661" s="6"/>
    </row>
    <row r="11662" spans="3:11" x14ac:dyDescent="0.25">
      <c r="C11662" s="6"/>
      <c r="G11662" s="6"/>
      <c r="K11662" s="6"/>
    </row>
    <row r="11663" spans="3:11" x14ac:dyDescent="0.25">
      <c r="C11663" s="6"/>
      <c r="G11663" s="6"/>
      <c r="K11663" s="6"/>
    </row>
    <row r="11664" spans="3:11" x14ac:dyDescent="0.25">
      <c r="C11664" s="6"/>
      <c r="G11664" s="6"/>
      <c r="K11664" s="6"/>
    </row>
    <row r="11665" spans="3:11" x14ac:dyDescent="0.25">
      <c r="C11665" s="6"/>
      <c r="G11665" s="6"/>
      <c r="K11665" s="6"/>
    </row>
    <row r="11666" spans="3:11" x14ac:dyDescent="0.25">
      <c r="C11666" s="6"/>
      <c r="G11666" s="6"/>
      <c r="K11666" s="6"/>
    </row>
    <row r="11667" spans="3:11" x14ac:dyDescent="0.25">
      <c r="C11667" s="6"/>
      <c r="G11667" s="6"/>
      <c r="K11667" s="6"/>
    </row>
    <row r="11668" spans="3:11" x14ac:dyDescent="0.25">
      <c r="C11668" s="6"/>
      <c r="G11668" s="6"/>
      <c r="K11668" s="6"/>
    </row>
    <row r="11669" spans="3:11" x14ac:dyDescent="0.25">
      <c r="C11669" s="6"/>
      <c r="G11669" s="6"/>
      <c r="K11669" s="6"/>
    </row>
    <row r="11670" spans="3:11" x14ac:dyDescent="0.25">
      <c r="C11670" s="6"/>
      <c r="G11670" s="6"/>
      <c r="K11670" s="6"/>
    </row>
    <row r="11671" spans="3:11" x14ac:dyDescent="0.25">
      <c r="C11671" s="6"/>
      <c r="G11671" s="6"/>
      <c r="K11671" s="6"/>
    </row>
    <row r="11672" spans="3:11" x14ac:dyDescent="0.25">
      <c r="C11672" s="6"/>
      <c r="G11672" s="6"/>
      <c r="K11672" s="6"/>
    </row>
    <row r="11673" spans="3:11" x14ac:dyDescent="0.25">
      <c r="C11673" s="6"/>
      <c r="G11673" s="6"/>
      <c r="K11673" s="6"/>
    </row>
    <row r="11674" spans="3:11" x14ac:dyDescent="0.25">
      <c r="C11674" s="6"/>
      <c r="G11674" s="6"/>
      <c r="K11674" s="6"/>
    </row>
    <row r="11675" spans="3:11" x14ac:dyDescent="0.25">
      <c r="C11675" s="6"/>
      <c r="G11675" s="6"/>
      <c r="K11675" s="6"/>
    </row>
    <row r="11676" spans="3:11" x14ac:dyDescent="0.25">
      <c r="C11676" s="6"/>
      <c r="G11676" s="6"/>
      <c r="K11676" s="6"/>
    </row>
    <row r="11677" spans="3:11" x14ac:dyDescent="0.25">
      <c r="C11677" s="6"/>
      <c r="G11677" s="6"/>
      <c r="K11677" s="6"/>
    </row>
    <row r="11678" spans="3:11" x14ac:dyDescent="0.25">
      <c r="C11678" s="6"/>
      <c r="G11678" s="6"/>
      <c r="K11678" s="6"/>
    </row>
    <row r="11679" spans="3:11" x14ac:dyDescent="0.25">
      <c r="C11679" s="6"/>
      <c r="G11679" s="6"/>
      <c r="K11679" s="6"/>
    </row>
    <row r="11680" spans="3:11" x14ac:dyDescent="0.25">
      <c r="C11680" s="6"/>
      <c r="G11680" s="6"/>
      <c r="K11680" s="6"/>
    </row>
    <row r="11681" spans="3:11" x14ac:dyDescent="0.25">
      <c r="C11681" s="6"/>
      <c r="G11681" s="6"/>
      <c r="K11681" s="6"/>
    </row>
    <row r="11682" spans="3:11" x14ac:dyDescent="0.25">
      <c r="C11682" s="6"/>
      <c r="G11682" s="6"/>
      <c r="K11682" s="6"/>
    </row>
    <row r="11683" spans="3:11" x14ac:dyDescent="0.25">
      <c r="C11683" s="6"/>
      <c r="G11683" s="6"/>
      <c r="K11683" s="6"/>
    </row>
    <row r="11684" spans="3:11" x14ac:dyDescent="0.25">
      <c r="C11684" s="6"/>
      <c r="G11684" s="6"/>
      <c r="K11684" s="6"/>
    </row>
    <row r="11685" spans="3:11" x14ac:dyDescent="0.25">
      <c r="C11685" s="6"/>
      <c r="G11685" s="6"/>
      <c r="K11685" s="6"/>
    </row>
    <row r="11686" spans="3:11" x14ac:dyDescent="0.25">
      <c r="C11686" s="6"/>
      <c r="G11686" s="6"/>
      <c r="K11686" s="6"/>
    </row>
    <row r="11687" spans="3:11" x14ac:dyDescent="0.25">
      <c r="C11687" s="6"/>
      <c r="G11687" s="6"/>
      <c r="K11687" s="6"/>
    </row>
    <row r="11688" spans="3:11" x14ac:dyDescent="0.25">
      <c r="C11688" s="6"/>
      <c r="G11688" s="6"/>
      <c r="K11688" s="6"/>
    </row>
    <row r="11689" spans="3:11" x14ac:dyDescent="0.25">
      <c r="C11689" s="6"/>
      <c r="G11689" s="6"/>
      <c r="K11689" s="6"/>
    </row>
    <row r="11690" spans="3:11" x14ac:dyDescent="0.25">
      <c r="C11690" s="6"/>
      <c r="G11690" s="6"/>
      <c r="K11690" s="6"/>
    </row>
    <row r="11691" spans="3:11" x14ac:dyDescent="0.25">
      <c r="C11691" s="6"/>
      <c r="G11691" s="6"/>
      <c r="K11691" s="6"/>
    </row>
    <row r="11692" spans="3:11" x14ac:dyDescent="0.25">
      <c r="C11692" s="6"/>
      <c r="G11692" s="6"/>
      <c r="K11692" s="6"/>
    </row>
    <row r="11693" spans="3:11" x14ac:dyDescent="0.25">
      <c r="C11693" s="6"/>
      <c r="G11693" s="6"/>
      <c r="K11693" s="6"/>
    </row>
    <row r="11694" spans="3:11" x14ac:dyDescent="0.25">
      <c r="C11694" s="6"/>
      <c r="G11694" s="6"/>
      <c r="K11694" s="6"/>
    </row>
    <row r="11695" spans="3:11" x14ac:dyDescent="0.25">
      <c r="C11695" s="6"/>
      <c r="G11695" s="6"/>
      <c r="K11695" s="6"/>
    </row>
    <row r="11696" spans="3:11" x14ac:dyDescent="0.25">
      <c r="C11696" s="6"/>
      <c r="G11696" s="6"/>
      <c r="K11696" s="6"/>
    </row>
    <row r="11697" spans="3:11" x14ac:dyDescent="0.25">
      <c r="C11697" s="6"/>
      <c r="G11697" s="6"/>
      <c r="K11697" s="6"/>
    </row>
    <row r="11698" spans="3:11" x14ac:dyDescent="0.25">
      <c r="C11698" s="6"/>
      <c r="G11698" s="6"/>
      <c r="K11698" s="6"/>
    </row>
    <row r="11699" spans="3:11" x14ac:dyDescent="0.25">
      <c r="C11699" s="6"/>
      <c r="G11699" s="6"/>
      <c r="K11699" s="6"/>
    </row>
    <row r="11700" spans="3:11" x14ac:dyDescent="0.25">
      <c r="C11700" s="6"/>
      <c r="G11700" s="6"/>
      <c r="K11700" s="6"/>
    </row>
    <row r="11701" spans="3:11" x14ac:dyDescent="0.25">
      <c r="C11701" s="6"/>
      <c r="G11701" s="6"/>
      <c r="K11701" s="6"/>
    </row>
    <row r="11702" spans="3:11" x14ac:dyDescent="0.25">
      <c r="C11702" s="6"/>
      <c r="G11702" s="6"/>
      <c r="K11702" s="6"/>
    </row>
    <row r="11703" spans="3:11" x14ac:dyDescent="0.25">
      <c r="C11703" s="6"/>
      <c r="G11703" s="6"/>
      <c r="K11703" s="6"/>
    </row>
    <row r="11704" spans="3:11" x14ac:dyDescent="0.25">
      <c r="C11704" s="6"/>
      <c r="G11704" s="6"/>
      <c r="K11704" s="6"/>
    </row>
    <row r="11705" spans="3:11" x14ac:dyDescent="0.25">
      <c r="C11705" s="6"/>
      <c r="G11705" s="6"/>
      <c r="K11705" s="6"/>
    </row>
    <row r="11706" spans="3:11" x14ac:dyDescent="0.25">
      <c r="C11706" s="6"/>
      <c r="G11706" s="6"/>
      <c r="K11706" s="6"/>
    </row>
    <row r="11707" spans="3:11" x14ac:dyDescent="0.25">
      <c r="C11707" s="6"/>
      <c r="G11707" s="6"/>
      <c r="K11707" s="6"/>
    </row>
    <row r="11708" spans="3:11" x14ac:dyDescent="0.25">
      <c r="C11708" s="6"/>
      <c r="G11708" s="6"/>
      <c r="K11708" s="6"/>
    </row>
    <row r="11709" spans="3:11" x14ac:dyDescent="0.25">
      <c r="C11709" s="6"/>
      <c r="G11709" s="6"/>
      <c r="K11709" s="6"/>
    </row>
    <row r="11710" spans="3:11" x14ac:dyDescent="0.25">
      <c r="C11710" s="6"/>
      <c r="G11710" s="6"/>
      <c r="K11710" s="6"/>
    </row>
    <row r="11711" spans="3:11" x14ac:dyDescent="0.25">
      <c r="C11711" s="6"/>
      <c r="G11711" s="6"/>
      <c r="K11711" s="6"/>
    </row>
    <row r="11712" spans="3:11" x14ac:dyDescent="0.25">
      <c r="C11712" s="6"/>
      <c r="G11712" s="6"/>
      <c r="K11712" s="6"/>
    </row>
    <row r="11713" spans="3:11" x14ac:dyDescent="0.25">
      <c r="C11713" s="6"/>
      <c r="G11713" s="6"/>
      <c r="K11713" s="6"/>
    </row>
    <row r="11714" spans="3:11" x14ac:dyDescent="0.25">
      <c r="C11714" s="6"/>
      <c r="G11714" s="6"/>
      <c r="K11714" s="6"/>
    </row>
    <row r="11715" spans="3:11" x14ac:dyDescent="0.25">
      <c r="C11715" s="6"/>
      <c r="G11715" s="6"/>
      <c r="K11715" s="6"/>
    </row>
    <row r="11716" spans="3:11" x14ac:dyDescent="0.25">
      <c r="C11716" s="6"/>
      <c r="G11716" s="6"/>
      <c r="K11716" s="6"/>
    </row>
    <row r="11717" spans="3:11" x14ac:dyDescent="0.25">
      <c r="C11717" s="6"/>
      <c r="G11717" s="6"/>
      <c r="K11717" s="6"/>
    </row>
    <row r="11718" spans="3:11" x14ac:dyDescent="0.25">
      <c r="C11718" s="6"/>
      <c r="G11718" s="6"/>
      <c r="K11718" s="6"/>
    </row>
    <row r="11719" spans="3:11" x14ac:dyDescent="0.25">
      <c r="C11719" s="6"/>
      <c r="G11719" s="6"/>
      <c r="K11719" s="6"/>
    </row>
    <row r="11720" spans="3:11" x14ac:dyDescent="0.25">
      <c r="C11720" s="6"/>
      <c r="G11720" s="6"/>
      <c r="K11720" s="6"/>
    </row>
    <row r="11721" spans="3:11" x14ac:dyDescent="0.25">
      <c r="C11721" s="6"/>
      <c r="G11721" s="6"/>
      <c r="K11721" s="6"/>
    </row>
    <row r="11722" spans="3:11" x14ac:dyDescent="0.25">
      <c r="C11722" s="6"/>
      <c r="G11722" s="6"/>
      <c r="K11722" s="6"/>
    </row>
    <row r="11723" spans="3:11" x14ac:dyDescent="0.25">
      <c r="C11723" s="6"/>
      <c r="G11723" s="6"/>
      <c r="K11723" s="6"/>
    </row>
    <row r="11724" spans="3:11" x14ac:dyDescent="0.25">
      <c r="C11724" s="6"/>
      <c r="G11724" s="6"/>
      <c r="K11724" s="6"/>
    </row>
    <row r="11725" spans="3:11" x14ac:dyDescent="0.25">
      <c r="C11725" s="6"/>
      <c r="G11725" s="6"/>
      <c r="K11725" s="6"/>
    </row>
    <row r="11726" spans="3:11" x14ac:dyDescent="0.25">
      <c r="C11726" s="6"/>
      <c r="G11726" s="6"/>
      <c r="K11726" s="6"/>
    </row>
    <row r="11727" spans="3:11" x14ac:dyDescent="0.25">
      <c r="C11727" s="6"/>
      <c r="G11727" s="6"/>
      <c r="K11727" s="6"/>
    </row>
    <row r="11728" spans="3:11" x14ac:dyDescent="0.25">
      <c r="C11728" s="6"/>
      <c r="G11728" s="6"/>
      <c r="K11728" s="6"/>
    </row>
    <row r="11729" spans="3:11" x14ac:dyDescent="0.25">
      <c r="C11729" s="6"/>
      <c r="G11729" s="6"/>
      <c r="K11729" s="6"/>
    </row>
    <row r="11730" spans="3:11" x14ac:dyDescent="0.25">
      <c r="C11730" s="6"/>
      <c r="G11730" s="6"/>
      <c r="K11730" s="6"/>
    </row>
    <row r="11731" spans="3:11" x14ac:dyDescent="0.25">
      <c r="C11731" s="6"/>
      <c r="G11731" s="6"/>
      <c r="K11731" s="6"/>
    </row>
    <row r="11732" spans="3:11" x14ac:dyDescent="0.25">
      <c r="C11732" s="6"/>
      <c r="G11732" s="6"/>
      <c r="K11732" s="6"/>
    </row>
    <row r="11733" spans="3:11" x14ac:dyDescent="0.25">
      <c r="C11733" s="6"/>
      <c r="G11733" s="6"/>
      <c r="K11733" s="6"/>
    </row>
    <row r="11734" spans="3:11" x14ac:dyDescent="0.25">
      <c r="C11734" s="6"/>
      <c r="G11734" s="6"/>
      <c r="K11734" s="6"/>
    </row>
    <row r="11735" spans="3:11" x14ac:dyDescent="0.25">
      <c r="C11735" s="6"/>
      <c r="G11735" s="6"/>
      <c r="K11735" s="6"/>
    </row>
    <row r="11736" spans="3:11" x14ac:dyDescent="0.25">
      <c r="C11736" s="6"/>
      <c r="G11736" s="6"/>
      <c r="K11736" s="6"/>
    </row>
    <row r="11737" spans="3:11" x14ac:dyDescent="0.25">
      <c r="C11737" s="6"/>
      <c r="G11737" s="6"/>
      <c r="K11737" s="6"/>
    </row>
    <row r="11738" spans="3:11" x14ac:dyDescent="0.25">
      <c r="C11738" s="6"/>
      <c r="G11738" s="6"/>
      <c r="K11738" s="6"/>
    </row>
    <row r="11739" spans="3:11" x14ac:dyDescent="0.25">
      <c r="C11739" s="6"/>
      <c r="G11739" s="6"/>
      <c r="K11739" s="6"/>
    </row>
    <row r="11740" spans="3:11" x14ac:dyDescent="0.25">
      <c r="C11740" s="6"/>
      <c r="G11740" s="6"/>
      <c r="K11740" s="6"/>
    </row>
    <row r="11741" spans="3:11" x14ac:dyDescent="0.25">
      <c r="C11741" s="6"/>
      <c r="G11741" s="6"/>
      <c r="K11741" s="6"/>
    </row>
    <row r="11742" spans="3:11" x14ac:dyDescent="0.25">
      <c r="C11742" s="6"/>
      <c r="G11742" s="6"/>
      <c r="K11742" s="6"/>
    </row>
    <row r="11743" spans="3:11" x14ac:dyDescent="0.25">
      <c r="C11743" s="6"/>
      <c r="G11743" s="6"/>
      <c r="K11743" s="6"/>
    </row>
    <row r="11744" spans="3:11" x14ac:dyDescent="0.25">
      <c r="C11744" s="6"/>
      <c r="G11744" s="6"/>
      <c r="K11744" s="6"/>
    </row>
    <row r="11745" spans="3:11" x14ac:dyDescent="0.25">
      <c r="C11745" s="6"/>
      <c r="G11745" s="6"/>
      <c r="K11745" s="6"/>
    </row>
    <row r="11746" spans="3:11" x14ac:dyDescent="0.25">
      <c r="C11746" s="6"/>
      <c r="G11746" s="6"/>
      <c r="K11746" s="6"/>
    </row>
    <row r="11747" spans="3:11" x14ac:dyDescent="0.25">
      <c r="C11747" s="6"/>
      <c r="G11747" s="6"/>
      <c r="K11747" s="6"/>
    </row>
    <row r="11748" spans="3:11" x14ac:dyDescent="0.25">
      <c r="C11748" s="6"/>
      <c r="G11748" s="6"/>
      <c r="K11748" s="6"/>
    </row>
    <row r="11749" spans="3:11" x14ac:dyDescent="0.25">
      <c r="C11749" s="6"/>
      <c r="G11749" s="6"/>
      <c r="K11749" s="6"/>
    </row>
    <row r="11750" spans="3:11" x14ac:dyDescent="0.25">
      <c r="C11750" s="6"/>
      <c r="G11750" s="6"/>
      <c r="K11750" s="6"/>
    </row>
    <row r="11751" spans="3:11" x14ac:dyDescent="0.25">
      <c r="C11751" s="6"/>
      <c r="G11751" s="6"/>
      <c r="K11751" s="6"/>
    </row>
    <row r="11752" spans="3:11" x14ac:dyDescent="0.25">
      <c r="C11752" s="6"/>
      <c r="G11752" s="6"/>
      <c r="K11752" s="6"/>
    </row>
    <row r="11753" spans="3:11" x14ac:dyDescent="0.25">
      <c r="C11753" s="6"/>
      <c r="G11753" s="6"/>
      <c r="K11753" s="6"/>
    </row>
    <row r="11754" spans="3:11" x14ac:dyDescent="0.25">
      <c r="C11754" s="6"/>
      <c r="G11754" s="6"/>
      <c r="K11754" s="6"/>
    </row>
    <row r="11755" spans="3:11" x14ac:dyDescent="0.25">
      <c r="C11755" s="6"/>
      <c r="G11755" s="6"/>
      <c r="K11755" s="6"/>
    </row>
    <row r="11756" spans="3:11" x14ac:dyDescent="0.25">
      <c r="C11756" s="6"/>
      <c r="G11756" s="6"/>
      <c r="K11756" s="6"/>
    </row>
    <row r="11757" spans="3:11" x14ac:dyDescent="0.25">
      <c r="C11757" s="6"/>
      <c r="G11757" s="6"/>
      <c r="K11757" s="6"/>
    </row>
    <row r="11758" spans="3:11" x14ac:dyDescent="0.25">
      <c r="C11758" s="6"/>
      <c r="G11758" s="6"/>
      <c r="K11758" s="6"/>
    </row>
    <row r="11759" spans="3:11" x14ac:dyDescent="0.25">
      <c r="C11759" s="6"/>
      <c r="G11759" s="6"/>
      <c r="K11759" s="6"/>
    </row>
    <row r="11760" spans="3:11" x14ac:dyDescent="0.25">
      <c r="C11760" s="6"/>
      <c r="G11760" s="6"/>
      <c r="K11760" s="6"/>
    </row>
    <row r="11761" spans="3:11" x14ac:dyDescent="0.25">
      <c r="C11761" s="6"/>
      <c r="G11761" s="6"/>
      <c r="K11761" s="6"/>
    </row>
    <row r="11762" spans="3:11" x14ac:dyDescent="0.25">
      <c r="C11762" s="6"/>
      <c r="G11762" s="6"/>
      <c r="K11762" s="6"/>
    </row>
    <row r="11763" spans="3:11" x14ac:dyDescent="0.25">
      <c r="C11763" s="6"/>
      <c r="G11763" s="6"/>
      <c r="K11763" s="6"/>
    </row>
    <row r="11764" spans="3:11" x14ac:dyDescent="0.25">
      <c r="C11764" s="6"/>
      <c r="G11764" s="6"/>
      <c r="K11764" s="6"/>
    </row>
    <row r="11765" spans="3:11" x14ac:dyDescent="0.25">
      <c r="C11765" s="6"/>
      <c r="G11765" s="6"/>
      <c r="K11765" s="6"/>
    </row>
    <row r="11766" spans="3:11" x14ac:dyDescent="0.25">
      <c r="C11766" s="6"/>
      <c r="G11766" s="6"/>
      <c r="K11766" s="6"/>
    </row>
    <row r="11767" spans="3:11" x14ac:dyDescent="0.25">
      <c r="C11767" s="6"/>
      <c r="G11767" s="6"/>
      <c r="K11767" s="6"/>
    </row>
    <row r="11768" spans="3:11" x14ac:dyDescent="0.25">
      <c r="C11768" s="6"/>
      <c r="G11768" s="6"/>
      <c r="K11768" s="6"/>
    </row>
    <row r="11769" spans="3:11" x14ac:dyDescent="0.25">
      <c r="C11769" s="6"/>
      <c r="G11769" s="6"/>
      <c r="K11769" s="6"/>
    </row>
    <row r="11770" spans="3:11" x14ac:dyDescent="0.25">
      <c r="C11770" s="6"/>
      <c r="G11770" s="6"/>
      <c r="K11770" s="6"/>
    </row>
    <row r="11771" spans="3:11" x14ac:dyDescent="0.25">
      <c r="C11771" s="6"/>
      <c r="G11771" s="6"/>
      <c r="K11771" s="6"/>
    </row>
    <row r="11772" spans="3:11" x14ac:dyDescent="0.25">
      <c r="C11772" s="6"/>
      <c r="G11772" s="6"/>
      <c r="K11772" s="6"/>
    </row>
    <row r="11773" spans="3:11" x14ac:dyDescent="0.25">
      <c r="C11773" s="6"/>
      <c r="G11773" s="6"/>
      <c r="K11773" s="6"/>
    </row>
    <row r="11774" spans="3:11" x14ac:dyDescent="0.25">
      <c r="C11774" s="6"/>
      <c r="G11774" s="6"/>
      <c r="K11774" s="6"/>
    </row>
    <row r="11775" spans="3:11" x14ac:dyDescent="0.25">
      <c r="C11775" s="6"/>
      <c r="G11775" s="6"/>
      <c r="K11775" s="6"/>
    </row>
    <row r="11776" spans="3:11" x14ac:dyDescent="0.25">
      <c r="C11776" s="6"/>
      <c r="G11776" s="6"/>
      <c r="K11776" s="6"/>
    </row>
    <row r="11777" spans="3:11" x14ac:dyDescent="0.25">
      <c r="C11777" s="6"/>
      <c r="G11777" s="6"/>
      <c r="K11777" s="6"/>
    </row>
    <row r="11778" spans="3:11" x14ac:dyDescent="0.25">
      <c r="C11778" s="6"/>
      <c r="G11778" s="6"/>
      <c r="K11778" s="6"/>
    </row>
    <row r="11779" spans="3:11" x14ac:dyDescent="0.25">
      <c r="C11779" s="6"/>
      <c r="G11779" s="6"/>
      <c r="K11779" s="6"/>
    </row>
    <row r="11780" spans="3:11" x14ac:dyDescent="0.25">
      <c r="C11780" s="6"/>
      <c r="G11780" s="6"/>
      <c r="K11780" s="6"/>
    </row>
    <row r="11781" spans="3:11" x14ac:dyDescent="0.25">
      <c r="C11781" s="6"/>
      <c r="G11781" s="6"/>
      <c r="K11781" s="6"/>
    </row>
    <row r="11782" spans="3:11" x14ac:dyDescent="0.25">
      <c r="C11782" s="6"/>
      <c r="G11782" s="6"/>
      <c r="K11782" s="6"/>
    </row>
    <row r="11783" spans="3:11" x14ac:dyDescent="0.25">
      <c r="C11783" s="6"/>
      <c r="G11783" s="6"/>
      <c r="K11783" s="6"/>
    </row>
    <row r="11784" spans="3:11" x14ac:dyDescent="0.25">
      <c r="C11784" s="6"/>
      <c r="G11784" s="6"/>
      <c r="K11784" s="6"/>
    </row>
    <row r="11785" spans="3:11" x14ac:dyDescent="0.25">
      <c r="C11785" s="6"/>
      <c r="G11785" s="6"/>
      <c r="K11785" s="6"/>
    </row>
    <row r="11786" spans="3:11" x14ac:dyDescent="0.25">
      <c r="C11786" s="6"/>
      <c r="G11786" s="6"/>
      <c r="K11786" s="6"/>
    </row>
    <row r="11787" spans="3:11" x14ac:dyDescent="0.25">
      <c r="C11787" s="6"/>
      <c r="G11787" s="6"/>
      <c r="K11787" s="6"/>
    </row>
    <row r="11788" spans="3:11" x14ac:dyDescent="0.25">
      <c r="C11788" s="6"/>
      <c r="G11788" s="6"/>
      <c r="K11788" s="6"/>
    </row>
    <row r="11789" spans="3:11" x14ac:dyDescent="0.25">
      <c r="C11789" s="6"/>
      <c r="G11789" s="6"/>
      <c r="K11789" s="6"/>
    </row>
    <row r="11790" spans="3:11" x14ac:dyDescent="0.25">
      <c r="C11790" s="6"/>
      <c r="G11790" s="6"/>
      <c r="K11790" s="6"/>
    </row>
    <row r="11791" spans="3:11" x14ac:dyDescent="0.25">
      <c r="C11791" s="6"/>
      <c r="G11791" s="6"/>
      <c r="K11791" s="6"/>
    </row>
    <row r="11792" spans="3:11" x14ac:dyDescent="0.25">
      <c r="C11792" s="6"/>
      <c r="G11792" s="6"/>
      <c r="K11792" s="6"/>
    </row>
    <row r="11793" spans="3:11" x14ac:dyDescent="0.25">
      <c r="C11793" s="6"/>
      <c r="G11793" s="6"/>
      <c r="K11793" s="6"/>
    </row>
    <row r="11794" spans="3:11" x14ac:dyDescent="0.25">
      <c r="C11794" s="6"/>
      <c r="G11794" s="6"/>
      <c r="K11794" s="6"/>
    </row>
    <row r="11795" spans="3:11" x14ac:dyDescent="0.25">
      <c r="C11795" s="6"/>
      <c r="G11795" s="6"/>
      <c r="K11795" s="6"/>
    </row>
    <row r="11796" spans="3:11" x14ac:dyDescent="0.25">
      <c r="C11796" s="6"/>
      <c r="G11796" s="6"/>
      <c r="K11796" s="6"/>
    </row>
    <row r="11797" spans="3:11" x14ac:dyDescent="0.25">
      <c r="C11797" s="6"/>
      <c r="G11797" s="6"/>
      <c r="K11797" s="6"/>
    </row>
    <row r="11798" spans="3:11" x14ac:dyDescent="0.25">
      <c r="C11798" s="6"/>
      <c r="G11798" s="6"/>
      <c r="K11798" s="6"/>
    </row>
    <row r="11799" spans="3:11" x14ac:dyDescent="0.25">
      <c r="C11799" s="6"/>
      <c r="G11799" s="6"/>
      <c r="K11799" s="6"/>
    </row>
    <row r="11800" spans="3:11" x14ac:dyDescent="0.25">
      <c r="C11800" s="6"/>
      <c r="G11800" s="6"/>
      <c r="K11800" s="6"/>
    </row>
    <row r="11801" spans="3:11" x14ac:dyDescent="0.25">
      <c r="C11801" s="6"/>
      <c r="G11801" s="6"/>
      <c r="K11801" s="6"/>
    </row>
    <row r="11802" spans="3:11" x14ac:dyDescent="0.25">
      <c r="C11802" s="6"/>
      <c r="G11802" s="6"/>
      <c r="K11802" s="6"/>
    </row>
    <row r="11803" spans="3:11" x14ac:dyDescent="0.25">
      <c r="C11803" s="6"/>
      <c r="G11803" s="6"/>
      <c r="K11803" s="6"/>
    </row>
    <row r="11804" spans="3:11" x14ac:dyDescent="0.25">
      <c r="C11804" s="6"/>
      <c r="G11804" s="6"/>
      <c r="K11804" s="6"/>
    </row>
    <row r="11805" spans="3:11" x14ac:dyDescent="0.25">
      <c r="C11805" s="6"/>
      <c r="G11805" s="6"/>
      <c r="K11805" s="6"/>
    </row>
    <row r="11806" spans="3:11" x14ac:dyDescent="0.25">
      <c r="C11806" s="6"/>
      <c r="G11806" s="6"/>
      <c r="K11806" s="6"/>
    </row>
    <row r="11807" spans="3:11" x14ac:dyDescent="0.25">
      <c r="C11807" s="6"/>
      <c r="G11807" s="6"/>
      <c r="K11807" s="6"/>
    </row>
    <row r="11808" spans="3:11" x14ac:dyDescent="0.25">
      <c r="C11808" s="6"/>
      <c r="G11808" s="6"/>
      <c r="K11808" s="6"/>
    </row>
    <row r="11809" spans="3:11" x14ac:dyDescent="0.25">
      <c r="C11809" s="6"/>
      <c r="G11809" s="6"/>
      <c r="K11809" s="6"/>
    </row>
    <row r="11810" spans="3:11" x14ac:dyDescent="0.25">
      <c r="C11810" s="6"/>
      <c r="G11810" s="6"/>
      <c r="K11810" s="6"/>
    </row>
    <row r="11811" spans="3:11" x14ac:dyDescent="0.25">
      <c r="C11811" s="6"/>
      <c r="G11811" s="6"/>
      <c r="K11811" s="6"/>
    </row>
    <row r="11812" spans="3:11" x14ac:dyDescent="0.25">
      <c r="C11812" s="6"/>
      <c r="G11812" s="6"/>
      <c r="K11812" s="6"/>
    </row>
    <row r="11813" spans="3:11" x14ac:dyDescent="0.25">
      <c r="C11813" s="6"/>
      <c r="G11813" s="6"/>
      <c r="K11813" s="6"/>
    </row>
    <row r="11814" spans="3:11" x14ac:dyDescent="0.25">
      <c r="C11814" s="6"/>
      <c r="G11814" s="6"/>
      <c r="K11814" s="6"/>
    </row>
    <row r="11815" spans="3:11" x14ac:dyDescent="0.25">
      <c r="C11815" s="6"/>
      <c r="G11815" s="6"/>
      <c r="K11815" s="6"/>
    </row>
    <row r="11816" spans="3:11" x14ac:dyDescent="0.25">
      <c r="C11816" s="6"/>
      <c r="G11816" s="6"/>
      <c r="K11816" s="6"/>
    </row>
    <row r="11817" spans="3:11" x14ac:dyDescent="0.25">
      <c r="C11817" s="6"/>
      <c r="G11817" s="6"/>
      <c r="K11817" s="6"/>
    </row>
    <row r="11818" spans="3:11" x14ac:dyDescent="0.25">
      <c r="C11818" s="6"/>
      <c r="G11818" s="6"/>
      <c r="K11818" s="6"/>
    </row>
    <row r="11819" spans="3:11" x14ac:dyDescent="0.25">
      <c r="C11819" s="6"/>
      <c r="G11819" s="6"/>
      <c r="K11819" s="6"/>
    </row>
    <row r="11820" spans="3:11" x14ac:dyDescent="0.25">
      <c r="C11820" s="6"/>
      <c r="G11820" s="6"/>
      <c r="K11820" s="6"/>
    </row>
    <row r="11821" spans="3:11" x14ac:dyDescent="0.25">
      <c r="C11821" s="6"/>
      <c r="G11821" s="6"/>
      <c r="K11821" s="6"/>
    </row>
    <row r="11822" spans="3:11" x14ac:dyDescent="0.25">
      <c r="C11822" s="6"/>
      <c r="G11822" s="6"/>
      <c r="K11822" s="6"/>
    </row>
    <row r="11823" spans="3:11" x14ac:dyDescent="0.25">
      <c r="C11823" s="6"/>
      <c r="G11823" s="6"/>
      <c r="K11823" s="6"/>
    </row>
    <row r="11824" spans="3:11" x14ac:dyDescent="0.25">
      <c r="C11824" s="6"/>
      <c r="G11824" s="6"/>
      <c r="K11824" s="6"/>
    </row>
    <row r="11825" spans="3:11" x14ac:dyDescent="0.25">
      <c r="C11825" s="6"/>
      <c r="G11825" s="6"/>
      <c r="K11825" s="6"/>
    </row>
    <row r="11826" spans="3:11" x14ac:dyDescent="0.25">
      <c r="C11826" s="6"/>
      <c r="G11826" s="6"/>
      <c r="K11826" s="6"/>
    </row>
    <row r="11827" spans="3:11" x14ac:dyDescent="0.25">
      <c r="C11827" s="6"/>
      <c r="G11827" s="6"/>
      <c r="K11827" s="6"/>
    </row>
    <row r="11828" spans="3:11" x14ac:dyDescent="0.25">
      <c r="C11828" s="6"/>
      <c r="G11828" s="6"/>
      <c r="K11828" s="6"/>
    </row>
    <row r="11829" spans="3:11" x14ac:dyDescent="0.25">
      <c r="C11829" s="6"/>
      <c r="G11829" s="6"/>
      <c r="K11829" s="6"/>
    </row>
    <row r="11830" spans="3:11" x14ac:dyDescent="0.25">
      <c r="C11830" s="6"/>
      <c r="G11830" s="6"/>
      <c r="K11830" s="6"/>
    </row>
    <row r="11831" spans="3:11" x14ac:dyDescent="0.25">
      <c r="C11831" s="6"/>
      <c r="G11831" s="6"/>
      <c r="K11831" s="6"/>
    </row>
    <row r="11832" spans="3:11" x14ac:dyDescent="0.25">
      <c r="C11832" s="6"/>
      <c r="G11832" s="6"/>
      <c r="K11832" s="6"/>
    </row>
    <row r="11833" spans="3:11" x14ac:dyDescent="0.25">
      <c r="C11833" s="6"/>
      <c r="G11833" s="6"/>
      <c r="K11833" s="6"/>
    </row>
    <row r="11834" spans="3:11" x14ac:dyDescent="0.25">
      <c r="C11834" s="6"/>
      <c r="G11834" s="6"/>
      <c r="K11834" s="6"/>
    </row>
    <row r="11835" spans="3:11" x14ac:dyDescent="0.25">
      <c r="C11835" s="6"/>
      <c r="G11835" s="6"/>
      <c r="K11835" s="6"/>
    </row>
    <row r="11836" spans="3:11" x14ac:dyDescent="0.25">
      <c r="C11836" s="6"/>
      <c r="G11836" s="6"/>
      <c r="K11836" s="6"/>
    </row>
    <row r="11837" spans="3:11" x14ac:dyDescent="0.25">
      <c r="C11837" s="6"/>
      <c r="G11837" s="6"/>
      <c r="K11837" s="6"/>
    </row>
    <row r="11838" spans="3:11" x14ac:dyDescent="0.25">
      <c r="C11838" s="6"/>
      <c r="G11838" s="6"/>
      <c r="K11838" s="6"/>
    </row>
    <row r="11839" spans="3:11" x14ac:dyDescent="0.25">
      <c r="C11839" s="6"/>
      <c r="G11839" s="6"/>
      <c r="K11839" s="6"/>
    </row>
    <row r="11840" spans="3:11" x14ac:dyDescent="0.25">
      <c r="C11840" s="6"/>
      <c r="G11840" s="6"/>
      <c r="K11840" s="6"/>
    </row>
    <row r="11841" spans="3:11" x14ac:dyDescent="0.25">
      <c r="C11841" s="6"/>
      <c r="G11841" s="6"/>
      <c r="K11841" s="6"/>
    </row>
    <row r="11842" spans="3:11" x14ac:dyDescent="0.25">
      <c r="C11842" s="6"/>
      <c r="G11842" s="6"/>
      <c r="K11842" s="6"/>
    </row>
    <row r="11843" spans="3:11" x14ac:dyDescent="0.25">
      <c r="C11843" s="6"/>
      <c r="G11843" s="6"/>
      <c r="K11843" s="6"/>
    </row>
    <row r="11844" spans="3:11" x14ac:dyDescent="0.25">
      <c r="C11844" s="6"/>
      <c r="G11844" s="6"/>
      <c r="K11844" s="6"/>
    </row>
    <row r="11845" spans="3:11" x14ac:dyDescent="0.25">
      <c r="C11845" s="6"/>
      <c r="G11845" s="6"/>
      <c r="K11845" s="6"/>
    </row>
    <row r="11846" spans="3:11" x14ac:dyDescent="0.25">
      <c r="C11846" s="6"/>
      <c r="G11846" s="6"/>
      <c r="K11846" s="6"/>
    </row>
    <row r="11847" spans="3:11" x14ac:dyDescent="0.25">
      <c r="C11847" s="6"/>
      <c r="G11847" s="6"/>
      <c r="K11847" s="6"/>
    </row>
    <row r="11848" spans="3:11" x14ac:dyDescent="0.25">
      <c r="C11848" s="6"/>
      <c r="G11848" s="6"/>
      <c r="K11848" s="6"/>
    </row>
    <row r="11849" spans="3:11" x14ac:dyDescent="0.25">
      <c r="C11849" s="6"/>
      <c r="G11849" s="6"/>
      <c r="K11849" s="6"/>
    </row>
    <row r="11850" spans="3:11" x14ac:dyDescent="0.25">
      <c r="C11850" s="6"/>
      <c r="G11850" s="6"/>
      <c r="K11850" s="6"/>
    </row>
    <row r="11851" spans="3:11" x14ac:dyDescent="0.25">
      <c r="C11851" s="6"/>
      <c r="G11851" s="6"/>
      <c r="K11851" s="6"/>
    </row>
    <row r="11852" spans="3:11" x14ac:dyDescent="0.25">
      <c r="C11852" s="6"/>
      <c r="G11852" s="6"/>
      <c r="K11852" s="6"/>
    </row>
    <row r="11853" spans="3:11" x14ac:dyDescent="0.25">
      <c r="C11853" s="6"/>
      <c r="G11853" s="6"/>
      <c r="K11853" s="6"/>
    </row>
    <row r="11854" spans="3:11" x14ac:dyDescent="0.25">
      <c r="C11854" s="6"/>
      <c r="G11854" s="6"/>
      <c r="K11854" s="6"/>
    </row>
    <row r="11855" spans="3:11" x14ac:dyDescent="0.25">
      <c r="C11855" s="6"/>
      <c r="G11855" s="6"/>
      <c r="K11855" s="6"/>
    </row>
    <row r="11856" spans="3:11" x14ac:dyDescent="0.25">
      <c r="C11856" s="6"/>
      <c r="G11856" s="6"/>
      <c r="K11856" s="6"/>
    </row>
    <row r="11857" spans="3:11" x14ac:dyDescent="0.25">
      <c r="C11857" s="6"/>
      <c r="G11857" s="6"/>
      <c r="K11857" s="6"/>
    </row>
    <row r="11858" spans="3:11" x14ac:dyDescent="0.25">
      <c r="C11858" s="6"/>
      <c r="G11858" s="6"/>
      <c r="K11858" s="6"/>
    </row>
    <row r="11859" spans="3:11" x14ac:dyDescent="0.25">
      <c r="C11859" s="6"/>
      <c r="G11859" s="6"/>
      <c r="K11859" s="6"/>
    </row>
    <row r="11860" spans="3:11" x14ac:dyDescent="0.25">
      <c r="C11860" s="6"/>
      <c r="G11860" s="6"/>
      <c r="K11860" s="6"/>
    </row>
    <row r="11861" spans="3:11" x14ac:dyDescent="0.25">
      <c r="C11861" s="6"/>
      <c r="G11861" s="6"/>
      <c r="K11861" s="6"/>
    </row>
    <row r="11862" spans="3:11" x14ac:dyDescent="0.25">
      <c r="C11862" s="6"/>
      <c r="G11862" s="6"/>
      <c r="K11862" s="6"/>
    </row>
    <row r="11863" spans="3:11" x14ac:dyDescent="0.25">
      <c r="C11863" s="6"/>
      <c r="G11863" s="6"/>
      <c r="K11863" s="6"/>
    </row>
    <row r="11864" spans="3:11" x14ac:dyDescent="0.25">
      <c r="C11864" s="6"/>
      <c r="G11864" s="6"/>
      <c r="K11864" s="6"/>
    </row>
    <row r="11865" spans="3:11" x14ac:dyDescent="0.25">
      <c r="C11865" s="6"/>
      <c r="G11865" s="6"/>
      <c r="K11865" s="6"/>
    </row>
    <row r="11866" spans="3:11" x14ac:dyDescent="0.25">
      <c r="C11866" s="6"/>
      <c r="G11866" s="6"/>
      <c r="K11866" s="6"/>
    </row>
    <row r="11867" spans="3:11" x14ac:dyDescent="0.25">
      <c r="C11867" s="6"/>
      <c r="G11867" s="6"/>
      <c r="K11867" s="6"/>
    </row>
    <row r="11868" spans="3:11" x14ac:dyDescent="0.25">
      <c r="C11868" s="6"/>
      <c r="G11868" s="6"/>
      <c r="K11868" s="6"/>
    </row>
    <row r="11869" spans="3:11" x14ac:dyDescent="0.25">
      <c r="C11869" s="6"/>
      <c r="G11869" s="6"/>
      <c r="K11869" s="6"/>
    </row>
    <row r="11870" spans="3:11" x14ac:dyDescent="0.25">
      <c r="C11870" s="6"/>
      <c r="G11870" s="6"/>
      <c r="K11870" s="6"/>
    </row>
    <row r="11871" spans="3:11" x14ac:dyDescent="0.25">
      <c r="C11871" s="6"/>
      <c r="G11871" s="6"/>
      <c r="K11871" s="6"/>
    </row>
    <row r="11872" spans="3:11" x14ac:dyDescent="0.25">
      <c r="C11872" s="6"/>
      <c r="G11872" s="6"/>
      <c r="K11872" s="6"/>
    </row>
    <row r="11873" spans="3:11" x14ac:dyDescent="0.25">
      <c r="C11873" s="6"/>
      <c r="G11873" s="6"/>
      <c r="K11873" s="6"/>
    </row>
    <row r="11874" spans="3:11" x14ac:dyDescent="0.25">
      <c r="C11874" s="6"/>
      <c r="G11874" s="6"/>
      <c r="K11874" s="6"/>
    </row>
    <row r="11875" spans="3:11" x14ac:dyDescent="0.25">
      <c r="C11875" s="6"/>
      <c r="G11875" s="6"/>
      <c r="K11875" s="6"/>
    </row>
    <row r="11876" spans="3:11" x14ac:dyDescent="0.25">
      <c r="C11876" s="6"/>
      <c r="G11876" s="6"/>
      <c r="K11876" s="6"/>
    </row>
    <row r="11877" spans="3:11" x14ac:dyDescent="0.25">
      <c r="C11877" s="6"/>
      <c r="G11877" s="6"/>
      <c r="K11877" s="6"/>
    </row>
    <row r="11878" spans="3:11" x14ac:dyDescent="0.25">
      <c r="C11878" s="6"/>
      <c r="G11878" s="6"/>
      <c r="K11878" s="6"/>
    </row>
    <row r="11879" spans="3:11" x14ac:dyDescent="0.25">
      <c r="C11879" s="6"/>
      <c r="G11879" s="6"/>
      <c r="K11879" s="6"/>
    </row>
    <row r="11880" spans="3:11" x14ac:dyDescent="0.25">
      <c r="C11880" s="6"/>
      <c r="G11880" s="6"/>
      <c r="K11880" s="6"/>
    </row>
    <row r="11881" spans="3:11" x14ac:dyDescent="0.25">
      <c r="C11881" s="6"/>
      <c r="G11881" s="6"/>
      <c r="K11881" s="6"/>
    </row>
    <row r="11882" spans="3:11" x14ac:dyDescent="0.25">
      <c r="C11882" s="6"/>
      <c r="G11882" s="6"/>
      <c r="K11882" s="6"/>
    </row>
    <row r="11883" spans="3:11" x14ac:dyDescent="0.25">
      <c r="C11883" s="6"/>
      <c r="G11883" s="6"/>
      <c r="K11883" s="6"/>
    </row>
    <row r="11884" spans="3:11" x14ac:dyDescent="0.25">
      <c r="C11884" s="6"/>
      <c r="G11884" s="6"/>
      <c r="K11884" s="6"/>
    </row>
    <row r="11885" spans="3:11" x14ac:dyDescent="0.25">
      <c r="C11885" s="6"/>
      <c r="G11885" s="6"/>
      <c r="K11885" s="6"/>
    </row>
    <row r="11886" spans="3:11" x14ac:dyDescent="0.25">
      <c r="C11886" s="6"/>
      <c r="G11886" s="6"/>
      <c r="K11886" s="6"/>
    </row>
    <row r="11887" spans="3:11" x14ac:dyDescent="0.25">
      <c r="C11887" s="6"/>
      <c r="G11887" s="6"/>
      <c r="K11887" s="6"/>
    </row>
    <row r="11888" spans="3:11" x14ac:dyDescent="0.25">
      <c r="C11888" s="6"/>
      <c r="G11888" s="6"/>
      <c r="K11888" s="6"/>
    </row>
    <row r="11889" spans="3:11" x14ac:dyDescent="0.25">
      <c r="C11889" s="6"/>
      <c r="G11889" s="6"/>
      <c r="K11889" s="6"/>
    </row>
    <row r="11890" spans="3:11" x14ac:dyDescent="0.25">
      <c r="C11890" s="6"/>
      <c r="G11890" s="6"/>
      <c r="K11890" s="6"/>
    </row>
    <row r="11891" spans="3:11" x14ac:dyDescent="0.25">
      <c r="C11891" s="6"/>
      <c r="G11891" s="6"/>
      <c r="K11891" s="6"/>
    </row>
    <row r="11892" spans="3:11" x14ac:dyDescent="0.25">
      <c r="C11892" s="6"/>
      <c r="G11892" s="6"/>
      <c r="K11892" s="6"/>
    </row>
    <row r="11893" spans="3:11" x14ac:dyDescent="0.25">
      <c r="C11893" s="6"/>
      <c r="G11893" s="6"/>
      <c r="K11893" s="6"/>
    </row>
    <row r="11894" spans="3:11" x14ac:dyDescent="0.25">
      <c r="C11894" s="6"/>
      <c r="G11894" s="6"/>
      <c r="K11894" s="6"/>
    </row>
    <row r="11895" spans="3:11" x14ac:dyDescent="0.25">
      <c r="C11895" s="6"/>
      <c r="G11895" s="6"/>
      <c r="K11895" s="6"/>
    </row>
    <row r="11896" spans="3:11" x14ac:dyDescent="0.25">
      <c r="C11896" s="6"/>
      <c r="G11896" s="6"/>
      <c r="K11896" s="6"/>
    </row>
    <row r="11897" spans="3:11" x14ac:dyDescent="0.25">
      <c r="C11897" s="6"/>
      <c r="G11897" s="6"/>
      <c r="K11897" s="6"/>
    </row>
    <row r="11898" spans="3:11" x14ac:dyDescent="0.25">
      <c r="C11898" s="6"/>
      <c r="G11898" s="6"/>
      <c r="K11898" s="6"/>
    </row>
    <row r="11899" spans="3:11" x14ac:dyDescent="0.25">
      <c r="C11899" s="6"/>
      <c r="G11899" s="6"/>
      <c r="K11899" s="6"/>
    </row>
    <row r="11900" spans="3:11" x14ac:dyDescent="0.25">
      <c r="C11900" s="6"/>
      <c r="G11900" s="6"/>
      <c r="K11900" s="6"/>
    </row>
    <row r="11901" spans="3:11" x14ac:dyDescent="0.25">
      <c r="C11901" s="6"/>
      <c r="G11901" s="6"/>
      <c r="K11901" s="6"/>
    </row>
    <row r="11902" spans="3:11" x14ac:dyDescent="0.25">
      <c r="C11902" s="6"/>
      <c r="G11902" s="6"/>
      <c r="K11902" s="6"/>
    </row>
    <row r="11903" spans="3:11" x14ac:dyDescent="0.25">
      <c r="C11903" s="6"/>
      <c r="G11903" s="6"/>
      <c r="K11903" s="6"/>
    </row>
    <row r="11904" spans="3:11" x14ac:dyDescent="0.25">
      <c r="C11904" s="6"/>
      <c r="G11904" s="6"/>
      <c r="K11904" s="6"/>
    </row>
    <row r="11905" spans="3:11" x14ac:dyDescent="0.25">
      <c r="C11905" s="6"/>
      <c r="G11905" s="6"/>
      <c r="K11905" s="6"/>
    </row>
    <row r="11906" spans="3:11" x14ac:dyDescent="0.25">
      <c r="C11906" s="6"/>
      <c r="G11906" s="6"/>
      <c r="K11906" s="6"/>
    </row>
    <row r="11907" spans="3:11" x14ac:dyDescent="0.25">
      <c r="C11907" s="6"/>
      <c r="G11907" s="6"/>
      <c r="K11907" s="6"/>
    </row>
    <row r="11908" spans="3:11" x14ac:dyDescent="0.25">
      <c r="C11908" s="6"/>
      <c r="G11908" s="6"/>
      <c r="K11908" s="6"/>
    </row>
    <row r="11909" spans="3:11" x14ac:dyDescent="0.25">
      <c r="C11909" s="6"/>
      <c r="G11909" s="6"/>
      <c r="K11909" s="6"/>
    </row>
    <row r="11910" spans="3:11" x14ac:dyDescent="0.25">
      <c r="C11910" s="6"/>
      <c r="G11910" s="6"/>
      <c r="K11910" s="6"/>
    </row>
    <row r="11911" spans="3:11" x14ac:dyDescent="0.25">
      <c r="C11911" s="6"/>
      <c r="G11911" s="6"/>
      <c r="K11911" s="6"/>
    </row>
    <row r="11912" spans="3:11" x14ac:dyDescent="0.25">
      <c r="C11912" s="6"/>
      <c r="G11912" s="6"/>
      <c r="K11912" s="6"/>
    </row>
    <row r="11913" spans="3:11" x14ac:dyDescent="0.25">
      <c r="C11913" s="6"/>
      <c r="G11913" s="6"/>
      <c r="K11913" s="6"/>
    </row>
    <row r="11914" spans="3:11" x14ac:dyDescent="0.25">
      <c r="C11914" s="6"/>
      <c r="G11914" s="6"/>
      <c r="K11914" s="6"/>
    </row>
    <row r="11915" spans="3:11" x14ac:dyDescent="0.25">
      <c r="C11915" s="6"/>
      <c r="G11915" s="6"/>
      <c r="K11915" s="6"/>
    </row>
    <row r="11916" spans="3:11" x14ac:dyDescent="0.25">
      <c r="C11916" s="6"/>
      <c r="G11916" s="6"/>
      <c r="K11916" s="6"/>
    </row>
    <row r="11917" spans="3:11" x14ac:dyDescent="0.25">
      <c r="C11917" s="6"/>
      <c r="G11917" s="6"/>
      <c r="K11917" s="6"/>
    </row>
    <row r="11918" spans="3:11" x14ac:dyDescent="0.25">
      <c r="C11918" s="6"/>
      <c r="G11918" s="6"/>
      <c r="K11918" s="6"/>
    </row>
    <row r="11919" spans="3:11" x14ac:dyDescent="0.25">
      <c r="C11919" s="6"/>
      <c r="G11919" s="6"/>
      <c r="K11919" s="6"/>
    </row>
    <row r="11920" spans="3:11" x14ac:dyDescent="0.25">
      <c r="C11920" s="6"/>
      <c r="G11920" s="6"/>
      <c r="K11920" s="6"/>
    </row>
    <row r="11921" spans="3:11" x14ac:dyDescent="0.25">
      <c r="C11921" s="6"/>
      <c r="G11921" s="6"/>
      <c r="K11921" s="6"/>
    </row>
    <row r="11922" spans="3:11" x14ac:dyDescent="0.25">
      <c r="C11922" s="6"/>
      <c r="G11922" s="6"/>
      <c r="K11922" s="6"/>
    </row>
    <row r="11923" spans="3:11" x14ac:dyDescent="0.25">
      <c r="C11923" s="6"/>
      <c r="G11923" s="6"/>
      <c r="K11923" s="6"/>
    </row>
    <row r="11924" spans="3:11" x14ac:dyDescent="0.25">
      <c r="C11924" s="6"/>
      <c r="G11924" s="6"/>
      <c r="K11924" s="6"/>
    </row>
    <row r="11925" spans="3:11" x14ac:dyDescent="0.25">
      <c r="C11925" s="6"/>
      <c r="G11925" s="6"/>
      <c r="K11925" s="6"/>
    </row>
    <row r="11926" spans="3:11" x14ac:dyDescent="0.25">
      <c r="C11926" s="6"/>
      <c r="G11926" s="6"/>
      <c r="K11926" s="6"/>
    </row>
    <row r="11927" spans="3:11" x14ac:dyDescent="0.25">
      <c r="C11927" s="6"/>
      <c r="G11927" s="6"/>
      <c r="K11927" s="6"/>
    </row>
    <row r="11928" spans="3:11" x14ac:dyDescent="0.25">
      <c r="C11928" s="6"/>
      <c r="G11928" s="6"/>
      <c r="K11928" s="6"/>
    </row>
    <row r="11929" spans="3:11" x14ac:dyDescent="0.25">
      <c r="C11929" s="6"/>
      <c r="G11929" s="6"/>
      <c r="K11929" s="6"/>
    </row>
    <row r="11930" spans="3:11" x14ac:dyDescent="0.25">
      <c r="C11930" s="6"/>
      <c r="G11930" s="6"/>
      <c r="K11930" s="6"/>
    </row>
    <row r="11931" spans="3:11" x14ac:dyDescent="0.25">
      <c r="C11931" s="6"/>
      <c r="G11931" s="6"/>
      <c r="K11931" s="6"/>
    </row>
    <row r="11932" spans="3:11" x14ac:dyDescent="0.25">
      <c r="C11932" s="6"/>
      <c r="G11932" s="6"/>
      <c r="K11932" s="6"/>
    </row>
    <row r="11933" spans="3:11" x14ac:dyDescent="0.25">
      <c r="C11933" s="6"/>
      <c r="G11933" s="6"/>
      <c r="K11933" s="6"/>
    </row>
    <row r="11934" spans="3:11" x14ac:dyDescent="0.25">
      <c r="C11934" s="6"/>
      <c r="G11934" s="6"/>
      <c r="K11934" s="6"/>
    </row>
    <row r="11935" spans="3:11" x14ac:dyDescent="0.25">
      <c r="C11935" s="6"/>
      <c r="G11935" s="6"/>
      <c r="K11935" s="6"/>
    </row>
    <row r="11936" spans="3:11" x14ac:dyDescent="0.25">
      <c r="C11936" s="6"/>
      <c r="G11936" s="6"/>
      <c r="K11936" s="6"/>
    </row>
    <row r="11937" spans="3:11" x14ac:dyDescent="0.25">
      <c r="C11937" s="6"/>
      <c r="G11937" s="6"/>
      <c r="K11937" s="6"/>
    </row>
    <row r="11938" spans="3:11" x14ac:dyDescent="0.25">
      <c r="C11938" s="6"/>
      <c r="G11938" s="6"/>
      <c r="K11938" s="6"/>
    </row>
    <row r="11939" spans="3:11" x14ac:dyDescent="0.25">
      <c r="C11939" s="6"/>
      <c r="G11939" s="6"/>
      <c r="K11939" s="6"/>
    </row>
    <row r="11940" spans="3:11" x14ac:dyDescent="0.25">
      <c r="C11940" s="6"/>
      <c r="G11940" s="6"/>
      <c r="K11940" s="6"/>
    </row>
    <row r="11941" spans="3:11" x14ac:dyDescent="0.25">
      <c r="C11941" s="6"/>
      <c r="G11941" s="6"/>
      <c r="K11941" s="6"/>
    </row>
    <row r="11942" spans="3:11" x14ac:dyDescent="0.25">
      <c r="C11942" s="6"/>
      <c r="G11942" s="6"/>
      <c r="K11942" s="6"/>
    </row>
    <row r="11943" spans="3:11" x14ac:dyDescent="0.25">
      <c r="C11943" s="6"/>
      <c r="G11943" s="6"/>
      <c r="K11943" s="6"/>
    </row>
    <row r="11944" spans="3:11" x14ac:dyDescent="0.25">
      <c r="C11944" s="6"/>
      <c r="G11944" s="6"/>
      <c r="K11944" s="6"/>
    </row>
    <row r="11945" spans="3:11" x14ac:dyDescent="0.25">
      <c r="C11945" s="6"/>
      <c r="G11945" s="6"/>
      <c r="K11945" s="6"/>
    </row>
    <row r="11946" spans="3:11" x14ac:dyDescent="0.25">
      <c r="C11946" s="6"/>
      <c r="G11946" s="6"/>
      <c r="K11946" s="6"/>
    </row>
    <row r="11947" spans="3:11" x14ac:dyDescent="0.25">
      <c r="C11947" s="6"/>
      <c r="G11947" s="6"/>
      <c r="K11947" s="6"/>
    </row>
    <row r="11948" spans="3:11" x14ac:dyDescent="0.25">
      <c r="C11948" s="6"/>
      <c r="G11948" s="6"/>
      <c r="K11948" s="6"/>
    </row>
    <row r="11949" spans="3:11" x14ac:dyDescent="0.25">
      <c r="C11949" s="6"/>
      <c r="G11949" s="6"/>
      <c r="K11949" s="6"/>
    </row>
    <row r="11950" spans="3:11" x14ac:dyDescent="0.25">
      <c r="C11950" s="6"/>
      <c r="G11950" s="6"/>
      <c r="K11950" s="6"/>
    </row>
    <row r="11951" spans="3:11" x14ac:dyDescent="0.25">
      <c r="C11951" s="6"/>
      <c r="G11951" s="6"/>
      <c r="K11951" s="6"/>
    </row>
    <row r="11952" spans="3:11" x14ac:dyDescent="0.25">
      <c r="C11952" s="6"/>
      <c r="G11952" s="6"/>
      <c r="K11952" s="6"/>
    </row>
    <row r="11953" spans="3:11" x14ac:dyDescent="0.25">
      <c r="C11953" s="6"/>
      <c r="G11953" s="6"/>
      <c r="K11953" s="6"/>
    </row>
    <row r="11954" spans="3:11" x14ac:dyDescent="0.25">
      <c r="C11954" s="6"/>
      <c r="G11954" s="6"/>
      <c r="K11954" s="6"/>
    </row>
    <row r="11955" spans="3:11" x14ac:dyDescent="0.25">
      <c r="C11955" s="6"/>
      <c r="G11955" s="6"/>
      <c r="K11955" s="6"/>
    </row>
    <row r="11956" spans="3:11" x14ac:dyDescent="0.25">
      <c r="C11956" s="6"/>
      <c r="G11956" s="6"/>
      <c r="K11956" s="6"/>
    </row>
    <row r="11957" spans="3:11" x14ac:dyDescent="0.25">
      <c r="C11957" s="6"/>
      <c r="G11957" s="6"/>
      <c r="K11957" s="6"/>
    </row>
    <row r="11958" spans="3:11" x14ac:dyDescent="0.25">
      <c r="C11958" s="6"/>
      <c r="G11958" s="6"/>
      <c r="K11958" s="6"/>
    </row>
    <row r="11959" spans="3:11" x14ac:dyDescent="0.25">
      <c r="C11959" s="6"/>
      <c r="G11959" s="6"/>
      <c r="K11959" s="6"/>
    </row>
    <row r="11960" spans="3:11" x14ac:dyDescent="0.25">
      <c r="C11960" s="6"/>
      <c r="G11960" s="6"/>
      <c r="K11960" s="6"/>
    </row>
    <row r="11961" spans="3:11" x14ac:dyDescent="0.25">
      <c r="C11961" s="6"/>
      <c r="G11961" s="6"/>
      <c r="K11961" s="6"/>
    </row>
    <row r="11962" spans="3:11" x14ac:dyDescent="0.25">
      <c r="C11962" s="6"/>
      <c r="G11962" s="6"/>
      <c r="K11962" s="6"/>
    </row>
    <row r="11963" spans="3:11" x14ac:dyDescent="0.25">
      <c r="C11963" s="6"/>
      <c r="G11963" s="6"/>
      <c r="K11963" s="6"/>
    </row>
    <row r="11964" spans="3:11" x14ac:dyDescent="0.25">
      <c r="C11964" s="6"/>
      <c r="G11964" s="6"/>
      <c r="K11964" s="6"/>
    </row>
    <row r="11965" spans="3:11" x14ac:dyDescent="0.25">
      <c r="C11965" s="6"/>
      <c r="G11965" s="6"/>
      <c r="K11965" s="6"/>
    </row>
    <row r="11966" spans="3:11" x14ac:dyDescent="0.25">
      <c r="C11966" s="6"/>
      <c r="G11966" s="6"/>
      <c r="K11966" s="6"/>
    </row>
    <row r="11967" spans="3:11" x14ac:dyDescent="0.25">
      <c r="C11967" s="6"/>
      <c r="G11967" s="6"/>
      <c r="K11967" s="6"/>
    </row>
    <row r="11968" spans="3:11" x14ac:dyDescent="0.25">
      <c r="C11968" s="6"/>
      <c r="G11968" s="6"/>
      <c r="K11968" s="6"/>
    </row>
    <row r="11969" spans="3:11" x14ac:dyDescent="0.25">
      <c r="C11969" s="6"/>
      <c r="G11969" s="6"/>
      <c r="K11969" s="6"/>
    </row>
    <row r="11970" spans="3:11" x14ac:dyDescent="0.25">
      <c r="C11970" s="6"/>
      <c r="G11970" s="6"/>
      <c r="K11970" s="6"/>
    </row>
    <row r="11971" spans="3:11" x14ac:dyDescent="0.25">
      <c r="C11971" s="6"/>
      <c r="G11971" s="6"/>
      <c r="K11971" s="6"/>
    </row>
    <row r="11972" spans="3:11" x14ac:dyDescent="0.25">
      <c r="C11972" s="6"/>
      <c r="G11972" s="6"/>
      <c r="K11972" s="6"/>
    </row>
    <row r="11973" spans="3:11" x14ac:dyDescent="0.25">
      <c r="C11973" s="6"/>
      <c r="G11973" s="6"/>
      <c r="K11973" s="6"/>
    </row>
    <row r="11974" spans="3:11" x14ac:dyDescent="0.25">
      <c r="C11974" s="6"/>
      <c r="G11974" s="6"/>
      <c r="K11974" s="6"/>
    </row>
    <row r="11975" spans="3:11" x14ac:dyDescent="0.25">
      <c r="C11975" s="6"/>
      <c r="G11975" s="6"/>
      <c r="K11975" s="6"/>
    </row>
    <row r="11976" spans="3:11" x14ac:dyDescent="0.25">
      <c r="C11976" s="6"/>
      <c r="G11976" s="6"/>
      <c r="K11976" s="6"/>
    </row>
    <row r="11977" spans="3:11" x14ac:dyDescent="0.25">
      <c r="C11977" s="6"/>
      <c r="G11977" s="6"/>
      <c r="K11977" s="6"/>
    </row>
    <row r="11978" spans="3:11" x14ac:dyDescent="0.25">
      <c r="C11978" s="6"/>
      <c r="G11978" s="6"/>
      <c r="K11978" s="6"/>
    </row>
    <row r="11979" spans="3:11" x14ac:dyDescent="0.25">
      <c r="C11979" s="6"/>
      <c r="G11979" s="6"/>
      <c r="K11979" s="6"/>
    </row>
    <row r="11980" spans="3:11" x14ac:dyDescent="0.25">
      <c r="C11980" s="6"/>
      <c r="G11980" s="6"/>
      <c r="K11980" s="6"/>
    </row>
    <row r="11981" spans="3:11" x14ac:dyDescent="0.25">
      <c r="C11981" s="6"/>
      <c r="G11981" s="6"/>
      <c r="K11981" s="6"/>
    </row>
    <row r="11982" spans="3:11" x14ac:dyDescent="0.25">
      <c r="C11982" s="6"/>
      <c r="G11982" s="6"/>
      <c r="K11982" s="6"/>
    </row>
    <row r="11983" spans="3:11" x14ac:dyDescent="0.25">
      <c r="C11983" s="6"/>
      <c r="G11983" s="6"/>
      <c r="K11983" s="6"/>
    </row>
    <row r="11984" spans="3:11" x14ac:dyDescent="0.25">
      <c r="C11984" s="6"/>
      <c r="G11984" s="6"/>
      <c r="K11984" s="6"/>
    </row>
    <row r="11985" spans="3:11" x14ac:dyDescent="0.25">
      <c r="C11985" s="6"/>
      <c r="G11985" s="6"/>
      <c r="K11985" s="6"/>
    </row>
    <row r="11986" spans="3:11" x14ac:dyDescent="0.25">
      <c r="C11986" s="6"/>
      <c r="G11986" s="6"/>
      <c r="K11986" s="6"/>
    </row>
    <row r="11987" spans="3:11" x14ac:dyDescent="0.25">
      <c r="C11987" s="6"/>
      <c r="G11987" s="6"/>
      <c r="K11987" s="6"/>
    </row>
    <row r="11988" spans="3:11" x14ac:dyDescent="0.25">
      <c r="C11988" s="6"/>
      <c r="G11988" s="6"/>
      <c r="K11988" s="6"/>
    </row>
    <row r="11989" spans="3:11" x14ac:dyDescent="0.25">
      <c r="C11989" s="6"/>
      <c r="G11989" s="6"/>
      <c r="K11989" s="6"/>
    </row>
    <row r="11990" spans="3:11" x14ac:dyDescent="0.25">
      <c r="C11990" s="6"/>
      <c r="G11990" s="6"/>
      <c r="K11990" s="6"/>
    </row>
    <row r="11991" spans="3:11" x14ac:dyDescent="0.25">
      <c r="C11991" s="6"/>
      <c r="G11991" s="6"/>
      <c r="K11991" s="6"/>
    </row>
    <row r="11992" spans="3:11" x14ac:dyDescent="0.25">
      <c r="C11992" s="6"/>
      <c r="G11992" s="6"/>
      <c r="K11992" s="6"/>
    </row>
    <row r="11993" spans="3:11" x14ac:dyDescent="0.25">
      <c r="C11993" s="6"/>
      <c r="G11993" s="6"/>
      <c r="K11993" s="6"/>
    </row>
    <row r="11994" spans="3:11" x14ac:dyDescent="0.25">
      <c r="C11994" s="6"/>
      <c r="G11994" s="6"/>
      <c r="K11994" s="6"/>
    </row>
    <row r="11995" spans="3:11" x14ac:dyDescent="0.25">
      <c r="C11995" s="6"/>
      <c r="G11995" s="6"/>
      <c r="K11995" s="6"/>
    </row>
    <row r="11996" spans="3:11" x14ac:dyDescent="0.25">
      <c r="C11996" s="6"/>
      <c r="G11996" s="6"/>
      <c r="K11996" s="6"/>
    </row>
    <row r="11997" spans="3:11" x14ac:dyDescent="0.25">
      <c r="C11997" s="6"/>
      <c r="G11997" s="6"/>
      <c r="K11997" s="6"/>
    </row>
    <row r="11998" spans="3:11" x14ac:dyDescent="0.25">
      <c r="C11998" s="6"/>
      <c r="G11998" s="6"/>
      <c r="K11998" s="6"/>
    </row>
    <row r="11999" spans="3:11" x14ac:dyDescent="0.25">
      <c r="C11999" s="6"/>
      <c r="G11999" s="6"/>
      <c r="K11999" s="6"/>
    </row>
    <row r="12000" spans="3:11" x14ac:dyDescent="0.25">
      <c r="C12000" s="6"/>
      <c r="G12000" s="6"/>
      <c r="K12000" s="6"/>
    </row>
    <row r="12001" spans="3:11" x14ac:dyDescent="0.25">
      <c r="C12001" s="6"/>
      <c r="G12001" s="6"/>
      <c r="K12001" s="6"/>
    </row>
    <row r="12002" spans="3:11" x14ac:dyDescent="0.25">
      <c r="C12002" s="6"/>
      <c r="G12002" s="6"/>
      <c r="K12002" s="6"/>
    </row>
    <row r="12003" spans="3:11" x14ac:dyDescent="0.25">
      <c r="C12003" s="6"/>
      <c r="G12003" s="6"/>
      <c r="K12003" s="6"/>
    </row>
    <row r="12004" spans="3:11" x14ac:dyDescent="0.25">
      <c r="C12004" s="6"/>
      <c r="G12004" s="6"/>
      <c r="K12004" s="6"/>
    </row>
    <row r="12005" spans="3:11" x14ac:dyDescent="0.25">
      <c r="C12005" s="6"/>
      <c r="G12005" s="6"/>
      <c r="K12005" s="6"/>
    </row>
    <row r="12006" spans="3:11" x14ac:dyDescent="0.25">
      <c r="C12006" s="6"/>
      <c r="G12006" s="6"/>
      <c r="K12006" s="6"/>
    </row>
    <row r="12007" spans="3:11" x14ac:dyDescent="0.25">
      <c r="C12007" s="6"/>
      <c r="G12007" s="6"/>
      <c r="K12007" s="6"/>
    </row>
    <row r="12008" spans="3:11" x14ac:dyDescent="0.25">
      <c r="C12008" s="6"/>
      <c r="G12008" s="6"/>
      <c r="K12008" s="6"/>
    </row>
    <row r="12009" spans="3:11" x14ac:dyDescent="0.25">
      <c r="C12009" s="6"/>
      <c r="G12009" s="6"/>
      <c r="K12009" s="6"/>
    </row>
    <row r="12010" spans="3:11" x14ac:dyDescent="0.25">
      <c r="C12010" s="6"/>
      <c r="G12010" s="6"/>
      <c r="K12010" s="6"/>
    </row>
    <row r="12011" spans="3:11" x14ac:dyDescent="0.25">
      <c r="C12011" s="6"/>
      <c r="G12011" s="6"/>
      <c r="K12011" s="6"/>
    </row>
    <row r="12012" spans="3:11" x14ac:dyDescent="0.25">
      <c r="C12012" s="6"/>
      <c r="G12012" s="6"/>
      <c r="K12012" s="6"/>
    </row>
    <row r="12013" spans="3:11" x14ac:dyDescent="0.25">
      <c r="C12013" s="6"/>
      <c r="G12013" s="6"/>
      <c r="K12013" s="6"/>
    </row>
    <row r="12014" spans="3:11" x14ac:dyDescent="0.25">
      <c r="C12014" s="6"/>
      <c r="G12014" s="6"/>
      <c r="K12014" s="6"/>
    </row>
    <row r="12015" spans="3:11" x14ac:dyDescent="0.25">
      <c r="C12015" s="6"/>
      <c r="G12015" s="6"/>
      <c r="K12015" s="6"/>
    </row>
    <row r="12016" spans="3:11" x14ac:dyDescent="0.25">
      <c r="C12016" s="6"/>
      <c r="G12016" s="6"/>
      <c r="K12016" s="6"/>
    </row>
    <row r="12017" spans="3:11" x14ac:dyDescent="0.25">
      <c r="C12017" s="6"/>
      <c r="G12017" s="6"/>
      <c r="K12017" s="6"/>
    </row>
    <row r="12018" spans="3:11" x14ac:dyDescent="0.25">
      <c r="C12018" s="6"/>
      <c r="G12018" s="6"/>
      <c r="K12018" s="6"/>
    </row>
    <row r="12019" spans="3:11" x14ac:dyDescent="0.25">
      <c r="C12019" s="6"/>
      <c r="G12019" s="6"/>
      <c r="K12019" s="6"/>
    </row>
    <row r="12020" spans="3:11" x14ac:dyDescent="0.25">
      <c r="C12020" s="6"/>
      <c r="G12020" s="6"/>
      <c r="K12020" s="6"/>
    </row>
    <row r="12021" spans="3:11" x14ac:dyDescent="0.25">
      <c r="C12021" s="6"/>
      <c r="G12021" s="6"/>
      <c r="K12021" s="6"/>
    </row>
    <row r="12022" spans="3:11" x14ac:dyDescent="0.25">
      <c r="C12022" s="6"/>
      <c r="G12022" s="6"/>
      <c r="K12022" s="6"/>
    </row>
    <row r="12023" spans="3:11" x14ac:dyDescent="0.25">
      <c r="C12023" s="6"/>
      <c r="G12023" s="6"/>
      <c r="K12023" s="6"/>
    </row>
    <row r="12024" spans="3:11" x14ac:dyDescent="0.25">
      <c r="C12024" s="6"/>
      <c r="G12024" s="6"/>
      <c r="K12024" s="6"/>
    </row>
    <row r="12025" spans="3:11" x14ac:dyDescent="0.25">
      <c r="C12025" s="6"/>
      <c r="G12025" s="6"/>
      <c r="K12025" s="6"/>
    </row>
    <row r="12026" spans="3:11" x14ac:dyDescent="0.25">
      <c r="C12026" s="6"/>
      <c r="G12026" s="6"/>
      <c r="K12026" s="6"/>
    </row>
    <row r="12027" spans="3:11" x14ac:dyDescent="0.25">
      <c r="C12027" s="6"/>
      <c r="G12027" s="6"/>
      <c r="K12027" s="6"/>
    </row>
    <row r="12028" spans="3:11" x14ac:dyDescent="0.25">
      <c r="C12028" s="6"/>
      <c r="G12028" s="6"/>
      <c r="K12028" s="6"/>
    </row>
    <row r="12029" spans="3:11" x14ac:dyDescent="0.25">
      <c r="C12029" s="6"/>
      <c r="G12029" s="6"/>
      <c r="K12029" s="6"/>
    </row>
    <row r="12030" spans="3:11" x14ac:dyDescent="0.25">
      <c r="C12030" s="6"/>
      <c r="G12030" s="6"/>
      <c r="K12030" s="6"/>
    </row>
    <row r="12031" spans="3:11" x14ac:dyDescent="0.25">
      <c r="C12031" s="6"/>
      <c r="G12031" s="6"/>
      <c r="K12031" s="6"/>
    </row>
    <row r="12032" spans="3:11" x14ac:dyDescent="0.25">
      <c r="C12032" s="6"/>
      <c r="G12032" s="6"/>
      <c r="K12032" s="6"/>
    </row>
    <row r="12033" spans="3:11" x14ac:dyDescent="0.25">
      <c r="C12033" s="6"/>
      <c r="G12033" s="6"/>
      <c r="K12033" s="6"/>
    </row>
    <row r="12034" spans="3:11" x14ac:dyDescent="0.25">
      <c r="C12034" s="6"/>
      <c r="G12034" s="6"/>
      <c r="K12034" s="6"/>
    </row>
    <row r="12035" spans="3:11" x14ac:dyDescent="0.25">
      <c r="C12035" s="6"/>
      <c r="G12035" s="6"/>
      <c r="K12035" s="6"/>
    </row>
    <row r="12036" spans="3:11" x14ac:dyDescent="0.25">
      <c r="C12036" s="6"/>
      <c r="G12036" s="6"/>
      <c r="K12036" s="6"/>
    </row>
    <row r="12037" spans="3:11" x14ac:dyDescent="0.25">
      <c r="C12037" s="6"/>
      <c r="G12037" s="6"/>
      <c r="K12037" s="6"/>
    </row>
    <row r="12038" spans="3:11" x14ac:dyDescent="0.25">
      <c r="C12038" s="6"/>
      <c r="G12038" s="6"/>
      <c r="K12038" s="6"/>
    </row>
    <row r="12039" spans="3:11" x14ac:dyDescent="0.25">
      <c r="C12039" s="6"/>
      <c r="G12039" s="6"/>
      <c r="K12039" s="6"/>
    </row>
    <row r="12040" spans="3:11" x14ac:dyDescent="0.25">
      <c r="C12040" s="6"/>
      <c r="G12040" s="6"/>
      <c r="K12040" s="6"/>
    </row>
    <row r="12041" spans="3:11" x14ac:dyDescent="0.25">
      <c r="C12041" s="6"/>
      <c r="G12041" s="6"/>
      <c r="K12041" s="6"/>
    </row>
    <row r="12042" spans="3:11" x14ac:dyDescent="0.25">
      <c r="C12042" s="6"/>
      <c r="G12042" s="6"/>
      <c r="K12042" s="6"/>
    </row>
    <row r="12043" spans="3:11" x14ac:dyDescent="0.25">
      <c r="C12043" s="6"/>
      <c r="G12043" s="6"/>
      <c r="K12043" s="6"/>
    </row>
    <row r="12044" spans="3:11" x14ac:dyDescent="0.25">
      <c r="C12044" s="6"/>
      <c r="G12044" s="6"/>
      <c r="K12044" s="6"/>
    </row>
    <row r="12045" spans="3:11" x14ac:dyDescent="0.25">
      <c r="C12045" s="6"/>
      <c r="G12045" s="6"/>
      <c r="K12045" s="6"/>
    </row>
    <row r="12046" spans="3:11" x14ac:dyDescent="0.25">
      <c r="C12046" s="6"/>
      <c r="G12046" s="6"/>
      <c r="K12046" s="6"/>
    </row>
    <row r="12047" spans="3:11" x14ac:dyDescent="0.25">
      <c r="C12047" s="6"/>
      <c r="G12047" s="6"/>
      <c r="K12047" s="6"/>
    </row>
    <row r="12048" spans="3:11" x14ac:dyDescent="0.25">
      <c r="C12048" s="6"/>
      <c r="G12048" s="6"/>
      <c r="K12048" s="6"/>
    </row>
    <row r="12049" spans="3:11" x14ac:dyDescent="0.25">
      <c r="C12049" s="6"/>
      <c r="G12049" s="6"/>
      <c r="K12049" s="6"/>
    </row>
    <row r="12050" spans="3:11" x14ac:dyDescent="0.25">
      <c r="C12050" s="6"/>
      <c r="G12050" s="6"/>
      <c r="K12050" s="6"/>
    </row>
    <row r="12051" spans="3:11" x14ac:dyDescent="0.25">
      <c r="C12051" s="6"/>
      <c r="G12051" s="6"/>
      <c r="K12051" s="6"/>
    </row>
    <row r="12052" spans="3:11" x14ac:dyDescent="0.25">
      <c r="C12052" s="6"/>
      <c r="G12052" s="6"/>
      <c r="K12052" s="6"/>
    </row>
    <row r="12053" spans="3:11" x14ac:dyDescent="0.25">
      <c r="C12053" s="6"/>
      <c r="G12053" s="6"/>
      <c r="K12053" s="6"/>
    </row>
    <row r="12054" spans="3:11" x14ac:dyDescent="0.25">
      <c r="C12054" s="6"/>
      <c r="G12054" s="6"/>
      <c r="K12054" s="6"/>
    </row>
    <row r="12055" spans="3:11" x14ac:dyDescent="0.25">
      <c r="C12055" s="6"/>
      <c r="G12055" s="6"/>
      <c r="K12055" s="6"/>
    </row>
    <row r="12056" spans="3:11" x14ac:dyDescent="0.25">
      <c r="C12056" s="6"/>
      <c r="G12056" s="6"/>
      <c r="K12056" s="6"/>
    </row>
    <row r="12057" spans="3:11" x14ac:dyDescent="0.25">
      <c r="C12057" s="6"/>
      <c r="G12057" s="6"/>
      <c r="K12057" s="6"/>
    </row>
    <row r="12058" spans="3:11" x14ac:dyDescent="0.25">
      <c r="C12058" s="6"/>
      <c r="G12058" s="6"/>
      <c r="K12058" s="6"/>
    </row>
    <row r="12059" spans="3:11" x14ac:dyDescent="0.25">
      <c r="C12059" s="6"/>
      <c r="G12059" s="6"/>
      <c r="K12059" s="6"/>
    </row>
    <row r="12060" spans="3:11" x14ac:dyDescent="0.25">
      <c r="C12060" s="6"/>
      <c r="G12060" s="6"/>
      <c r="K12060" s="6"/>
    </row>
    <row r="12061" spans="3:11" x14ac:dyDescent="0.25">
      <c r="C12061" s="6"/>
      <c r="G12061" s="6"/>
      <c r="K12061" s="6"/>
    </row>
    <row r="12062" spans="3:11" x14ac:dyDescent="0.25">
      <c r="C12062" s="6"/>
      <c r="G12062" s="6"/>
      <c r="K12062" s="6"/>
    </row>
    <row r="12063" spans="3:11" x14ac:dyDescent="0.25">
      <c r="C12063" s="6"/>
      <c r="G12063" s="6"/>
      <c r="K12063" s="6"/>
    </row>
    <row r="12064" spans="3:11" x14ac:dyDescent="0.25">
      <c r="C12064" s="6"/>
      <c r="G12064" s="6"/>
      <c r="K12064" s="6"/>
    </row>
    <row r="12065" spans="3:11" x14ac:dyDescent="0.25">
      <c r="C12065" s="6"/>
      <c r="G12065" s="6"/>
      <c r="K12065" s="6"/>
    </row>
    <row r="12066" spans="3:11" x14ac:dyDescent="0.25">
      <c r="C12066" s="6"/>
      <c r="G12066" s="6"/>
      <c r="K12066" s="6"/>
    </row>
    <row r="12067" spans="3:11" x14ac:dyDescent="0.25">
      <c r="C12067" s="6"/>
      <c r="G12067" s="6"/>
      <c r="K12067" s="6"/>
    </row>
    <row r="12068" spans="3:11" x14ac:dyDescent="0.25">
      <c r="C12068" s="6"/>
      <c r="G12068" s="6"/>
      <c r="K12068" s="6"/>
    </row>
    <row r="12069" spans="3:11" x14ac:dyDescent="0.25">
      <c r="C12069" s="6"/>
      <c r="G12069" s="6"/>
      <c r="K12069" s="6"/>
    </row>
    <row r="12070" spans="3:11" x14ac:dyDescent="0.25">
      <c r="C12070" s="6"/>
      <c r="G12070" s="6"/>
      <c r="K12070" s="6"/>
    </row>
    <row r="12071" spans="3:11" x14ac:dyDescent="0.25">
      <c r="C12071" s="6"/>
      <c r="G12071" s="6"/>
      <c r="K12071" s="6"/>
    </row>
    <row r="12072" spans="3:11" x14ac:dyDescent="0.25">
      <c r="C12072" s="6"/>
      <c r="G12072" s="6"/>
      <c r="K12072" s="6"/>
    </row>
    <row r="12073" spans="3:11" x14ac:dyDescent="0.25">
      <c r="C12073" s="6"/>
      <c r="G12073" s="6"/>
      <c r="K12073" s="6"/>
    </row>
    <row r="12074" spans="3:11" x14ac:dyDescent="0.25">
      <c r="C12074" s="6"/>
      <c r="G12074" s="6"/>
      <c r="K12074" s="6"/>
    </row>
    <row r="12075" spans="3:11" x14ac:dyDescent="0.25">
      <c r="C12075" s="6"/>
      <c r="G12075" s="6"/>
      <c r="K12075" s="6"/>
    </row>
    <row r="12076" spans="3:11" x14ac:dyDescent="0.25">
      <c r="C12076" s="6"/>
      <c r="G12076" s="6"/>
      <c r="K12076" s="6"/>
    </row>
    <row r="12077" spans="3:11" x14ac:dyDescent="0.25">
      <c r="C12077" s="6"/>
      <c r="G12077" s="6"/>
      <c r="K12077" s="6"/>
    </row>
    <row r="12078" spans="3:11" x14ac:dyDescent="0.25">
      <c r="C12078" s="6"/>
      <c r="G12078" s="6"/>
      <c r="K12078" s="6"/>
    </row>
    <row r="12079" spans="3:11" x14ac:dyDescent="0.25">
      <c r="C12079" s="6"/>
      <c r="G12079" s="6"/>
      <c r="K12079" s="6"/>
    </row>
    <row r="12080" spans="3:11" x14ac:dyDescent="0.25">
      <c r="C12080" s="6"/>
      <c r="G12080" s="6"/>
      <c r="K12080" s="6"/>
    </row>
    <row r="12081" spans="3:11" x14ac:dyDescent="0.25">
      <c r="C12081" s="6"/>
      <c r="G12081" s="6"/>
      <c r="K12081" s="6"/>
    </row>
    <row r="12082" spans="3:11" x14ac:dyDescent="0.25">
      <c r="C12082" s="6"/>
      <c r="G12082" s="6"/>
      <c r="K12082" s="6"/>
    </row>
    <row r="12083" spans="3:11" x14ac:dyDescent="0.25">
      <c r="C12083" s="6"/>
      <c r="G12083" s="6"/>
      <c r="K12083" s="6"/>
    </row>
    <row r="12084" spans="3:11" x14ac:dyDescent="0.25">
      <c r="C12084" s="6"/>
      <c r="G12084" s="6"/>
      <c r="K12084" s="6"/>
    </row>
    <row r="12085" spans="3:11" x14ac:dyDescent="0.25">
      <c r="C12085" s="6"/>
      <c r="G12085" s="6"/>
      <c r="K12085" s="6"/>
    </row>
    <row r="12086" spans="3:11" x14ac:dyDescent="0.25">
      <c r="C12086" s="6"/>
      <c r="G12086" s="6"/>
      <c r="K12086" s="6"/>
    </row>
    <row r="12087" spans="3:11" x14ac:dyDescent="0.25">
      <c r="C12087" s="6"/>
      <c r="G12087" s="6"/>
      <c r="K12087" s="6"/>
    </row>
    <row r="12088" spans="3:11" x14ac:dyDescent="0.25">
      <c r="C12088" s="6"/>
      <c r="G12088" s="6"/>
      <c r="K12088" s="6"/>
    </row>
    <row r="12089" spans="3:11" x14ac:dyDescent="0.25">
      <c r="C12089" s="6"/>
      <c r="G12089" s="6"/>
      <c r="K12089" s="6"/>
    </row>
    <row r="12090" spans="3:11" x14ac:dyDescent="0.25">
      <c r="C12090" s="6"/>
      <c r="G12090" s="6"/>
      <c r="K12090" s="6"/>
    </row>
    <row r="12091" spans="3:11" x14ac:dyDescent="0.25">
      <c r="C12091" s="6"/>
      <c r="G12091" s="6"/>
      <c r="K12091" s="6"/>
    </row>
    <row r="12092" spans="3:11" x14ac:dyDescent="0.25">
      <c r="C12092" s="6"/>
      <c r="G12092" s="6"/>
      <c r="K12092" s="6"/>
    </row>
    <row r="12093" spans="3:11" x14ac:dyDescent="0.25">
      <c r="C12093" s="6"/>
      <c r="G12093" s="6"/>
      <c r="K12093" s="6"/>
    </row>
    <row r="12094" spans="3:11" x14ac:dyDescent="0.25">
      <c r="C12094" s="6"/>
      <c r="G12094" s="6"/>
      <c r="K12094" s="6"/>
    </row>
    <row r="12095" spans="3:11" x14ac:dyDescent="0.25">
      <c r="C12095" s="6"/>
      <c r="G12095" s="6"/>
      <c r="K12095" s="6"/>
    </row>
    <row r="12096" spans="3:11" x14ac:dyDescent="0.25">
      <c r="C12096" s="6"/>
      <c r="G12096" s="6"/>
      <c r="K12096" s="6"/>
    </row>
    <row r="12097" spans="3:11" x14ac:dyDescent="0.25">
      <c r="C12097" s="6"/>
      <c r="G12097" s="6"/>
      <c r="K12097" s="6"/>
    </row>
    <row r="12098" spans="3:11" x14ac:dyDescent="0.25">
      <c r="C12098" s="6"/>
      <c r="G12098" s="6"/>
      <c r="K12098" s="6"/>
    </row>
    <row r="12099" spans="3:11" x14ac:dyDescent="0.25">
      <c r="C12099" s="6"/>
      <c r="G12099" s="6"/>
      <c r="K12099" s="6"/>
    </row>
    <row r="12100" spans="3:11" x14ac:dyDescent="0.25">
      <c r="C12100" s="6"/>
      <c r="G12100" s="6"/>
      <c r="K12100" s="6"/>
    </row>
    <row r="12101" spans="3:11" x14ac:dyDescent="0.25">
      <c r="C12101" s="6"/>
      <c r="G12101" s="6"/>
      <c r="K12101" s="6"/>
    </row>
    <row r="12102" spans="3:11" x14ac:dyDescent="0.25">
      <c r="C12102" s="6"/>
      <c r="G12102" s="6"/>
      <c r="K12102" s="6"/>
    </row>
    <row r="12103" spans="3:11" x14ac:dyDescent="0.25">
      <c r="C12103" s="6"/>
      <c r="G12103" s="6"/>
      <c r="K12103" s="6"/>
    </row>
    <row r="12104" spans="3:11" x14ac:dyDescent="0.25">
      <c r="C12104" s="6"/>
      <c r="G12104" s="6"/>
      <c r="K12104" s="6"/>
    </row>
    <row r="12105" spans="3:11" x14ac:dyDescent="0.25">
      <c r="C12105" s="6"/>
      <c r="G12105" s="6"/>
      <c r="K12105" s="6"/>
    </row>
    <row r="12106" spans="3:11" x14ac:dyDescent="0.25">
      <c r="C12106" s="6"/>
      <c r="G12106" s="6"/>
      <c r="K12106" s="6"/>
    </row>
    <row r="12107" spans="3:11" x14ac:dyDescent="0.25">
      <c r="C12107" s="6"/>
      <c r="G12107" s="6"/>
      <c r="K12107" s="6"/>
    </row>
    <row r="12108" spans="3:11" x14ac:dyDescent="0.25">
      <c r="C12108" s="6"/>
      <c r="G12108" s="6"/>
      <c r="K12108" s="6"/>
    </row>
    <row r="12109" spans="3:11" x14ac:dyDescent="0.25">
      <c r="C12109" s="6"/>
      <c r="G12109" s="6"/>
      <c r="K12109" s="6"/>
    </row>
    <row r="12110" spans="3:11" x14ac:dyDescent="0.25">
      <c r="C12110" s="6"/>
      <c r="G12110" s="6"/>
      <c r="K12110" s="6"/>
    </row>
    <row r="12111" spans="3:11" x14ac:dyDescent="0.25">
      <c r="C12111" s="6"/>
      <c r="G12111" s="6"/>
      <c r="K12111" s="6"/>
    </row>
    <row r="12112" spans="3:11" x14ac:dyDescent="0.25">
      <c r="C12112" s="6"/>
      <c r="G12112" s="6"/>
      <c r="K12112" s="6"/>
    </row>
    <row r="12113" spans="3:11" x14ac:dyDescent="0.25">
      <c r="C12113" s="6"/>
      <c r="G12113" s="6"/>
      <c r="K12113" s="6"/>
    </row>
    <row r="12114" spans="3:11" x14ac:dyDescent="0.25">
      <c r="C12114" s="6"/>
      <c r="G12114" s="6"/>
      <c r="K12114" s="6"/>
    </row>
    <row r="12115" spans="3:11" x14ac:dyDescent="0.25">
      <c r="C12115" s="6"/>
      <c r="G12115" s="6"/>
      <c r="K12115" s="6"/>
    </row>
    <row r="12116" spans="3:11" x14ac:dyDescent="0.25">
      <c r="C12116" s="6"/>
      <c r="G12116" s="6"/>
      <c r="K12116" s="6"/>
    </row>
    <row r="12117" spans="3:11" x14ac:dyDescent="0.25">
      <c r="C12117" s="6"/>
      <c r="G12117" s="6"/>
      <c r="K12117" s="6"/>
    </row>
    <row r="12118" spans="3:11" x14ac:dyDescent="0.25">
      <c r="C12118" s="6"/>
      <c r="G12118" s="6"/>
      <c r="K12118" s="6"/>
    </row>
    <row r="12119" spans="3:11" x14ac:dyDescent="0.25">
      <c r="C12119" s="6"/>
      <c r="G12119" s="6"/>
      <c r="K12119" s="6"/>
    </row>
    <row r="12120" spans="3:11" x14ac:dyDescent="0.25">
      <c r="C12120" s="6"/>
      <c r="G12120" s="6"/>
      <c r="K12120" s="6"/>
    </row>
    <row r="12121" spans="3:11" x14ac:dyDescent="0.25">
      <c r="C12121" s="6"/>
      <c r="G12121" s="6"/>
      <c r="K12121" s="6"/>
    </row>
    <row r="12122" spans="3:11" x14ac:dyDescent="0.25">
      <c r="C12122" s="6"/>
      <c r="G12122" s="6"/>
      <c r="K12122" s="6"/>
    </row>
    <row r="12123" spans="3:11" x14ac:dyDescent="0.25">
      <c r="C12123" s="6"/>
      <c r="G12123" s="6"/>
      <c r="K12123" s="6"/>
    </row>
    <row r="12124" spans="3:11" x14ac:dyDescent="0.25">
      <c r="C12124" s="6"/>
      <c r="G12124" s="6"/>
      <c r="K12124" s="6"/>
    </row>
    <row r="12125" spans="3:11" x14ac:dyDescent="0.25">
      <c r="C12125" s="6"/>
      <c r="G12125" s="6"/>
      <c r="K12125" s="6"/>
    </row>
    <row r="12126" spans="3:11" x14ac:dyDescent="0.25">
      <c r="C12126" s="6"/>
      <c r="G12126" s="6"/>
      <c r="K12126" s="6"/>
    </row>
    <row r="12127" spans="3:11" x14ac:dyDescent="0.25">
      <c r="C12127" s="6"/>
      <c r="G12127" s="6"/>
      <c r="K12127" s="6"/>
    </row>
    <row r="12128" spans="3:11" x14ac:dyDescent="0.25">
      <c r="C12128" s="6"/>
      <c r="G12128" s="6"/>
      <c r="K12128" s="6"/>
    </row>
    <row r="12129" spans="3:11" x14ac:dyDescent="0.25">
      <c r="C12129" s="6"/>
      <c r="G12129" s="6"/>
      <c r="K12129" s="6"/>
    </row>
    <row r="12130" spans="3:11" x14ac:dyDescent="0.25">
      <c r="C12130" s="6"/>
      <c r="G12130" s="6"/>
      <c r="K12130" s="6"/>
    </row>
    <row r="12131" spans="3:11" x14ac:dyDescent="0.25">
      <c r="C12131" s="6"/>
      <c r="G12131" s="6"/>
      <c r="K12131" s="6"/>
    </row>
    <row r="12132" spans="3:11" x14ac:dyDescent="0.25">
      <c r="C12132" s="6"/>
      <c r="G12132" s="6"/>
      <c r="K12132" s="6"/>
    </row>
    <row r="12133" spans="3:11" x14ac:dyDescent="0.25">
      <c r="C12133" s="6"/>
      <c r="G12133" s="6"/>
      <c r="K12133" s="6"/>
    </row>
    <row r="12134" spans="3:11" x14ac:dyDescent="0.25">
      <c r="C12134" s="6"/>
      <c r="G12134" s="6"/>
      <c r="K12134" s="6"/>
    </row>
    <row r="12135" spans="3:11" x14ac:dyDescent="0.25">
      <c r="C12135" s="6"/>
      <c r="G12135" s="6"/>
      <c r="K12135" s="6"/>
    </row>
    <row r="12136" spans="3:11" x14ac:dyDescent="0.25">
      <c r="C12136" s="6"/>
      <c r="G12136" s="6"/>
      <c r="K12136" s="6"/>
    </row>
    <row r="12137" spans="3:11" x14ac:dyDescent="0.25">
      <c r="C12137" s="6"/>
      <c r="G12137" s="6"/>
      <c r="K12137" s="6"/>
    </row>
    <row r="12138" spans="3:11" x14ac:dyDescent="0.25">
      <c r="C12138" s="6"/>
      <c r="G12138" s="6"/>
      <c r="K12138" s="6"/>
    </row>
    <row r="12139" spans="3:11" x14ac:dyDescent="0.25">
      <c r="C12139" s="6"/>
      <c r="G12139" s="6"/>
      <c r="K12139" s="6"/>
    </row>
    <row r="12140" spans="3:11" x14ac:dyDescent="0.25">
      <c r="C12140" s="6"/>
      <c r="G12140" s="6"/>
      <c r="K12140" s="6"/>
    </row>
    <row r="12141" spans="3:11" x14ac:dyDescent="0.25">
      <c r="C12141" s="6"/>
      <c r="G12141" s="6"/>
      <c r="K12141" s="6"/>
    </row>
    <row r="12142" spans="3:11" x14ac:dyDescent="0.25">
      <c r="C12142" s="6"/>
      <c r="G12142" s="6"/>
      <c r="K12142" s="6"/>
    </row>
    <row r="12143" spans="3:11" x14ac:dyDescent="0.25">
      <c r="C12143" s="6"/>
      <c r="G12143" s="6"/>
      <c r="K12143" s="6"/>
    </row>
    <row r="12144" spans="3:11" x14ac:dyDescent="0.25">
      <c r="C12144" s="6"/>
      <c r="G12144" s="6"/>
      <c r="K12144" s="6"/>
    </row>
    <row r="12145" spans="3:11" x14ac:dyDescent="0.25">
      <c r="C12145" s="6"/>
      <c r="G12145" s="6"/>
      <c r="K12145" s="6"/>
    </row>
    <row r="12146" spans="3:11" x14ac:dyDescent="0.25">
      <c r="C12146" s="6"/>
      <c r="G12146" s="6"/>
      <c r="K12146" s="6"/>
    </row>
    <row r="12147" spans="3:11" x14ac:dyDescent="0.25">
      <c r="C12147" s="6"/>
      <c r="G12147" s="6"/>
      <c r="K12147" s="6"/>
    </row>
    <row r="12148" spans="3:11" x14ac:dyDescent="0.25">
      <c r="C12148" s="6"/>
      <c r="G12148" s="6"/>
      <c r="K12148" s="6"/>
    </row>
    <row r="12149" spans="3:11" x14ac:dyDescent="0.25">
      <c r="C12149" s="6"/>
      <c r="G12149" s="6"/>
      <c r="K12149" s="6"/>
    </row>
    <row r="12150" spans="3:11" x14ac:dyDescent="0.25">
      <c r="C12150" s="6"/>
      <c r="G12150" s="6"/>
      <c r="K12150" s="6"/>
    </row>
    <row r="12151" spans="3:11" x14ac:dyDescent="0.25">
      <c r="C12151" s="6"/>
      <c r="G12151" s="6"/>
      <c r="K12151" s="6"/>
    </row>
    <row r="12152" spans="3:11" x14ac:dyDescent="0.25">
      <c r="C12152" s="6"/>
      <c r="G12152" s="6"/>
      <c r="K12152" s="6"/>
    </row>
    <row r="12153" spans="3:11" x14ac:dyDescent="0.25">
      <c r="C12153" s="6"/>
      <c r="G12153" s="6"/>
      <c r="K12153" s="6"/>
    </row>
    <row r="12154" spans="3:11" x14ac:dyDescent="0.25">
      <c r="C12154" s="6"/>
      <c r="G12154" s="6"/>
      <c r="K12154" s="6"/>
    </row>
    <row r="12155" spans="3:11" x14ac:dyDescent="0.25">
      <c r="C12155" s="6"/>
      <c r="G12155" s="6"/>
      <c r="K12155" s="6"/>
    </row>
    <row r="12156" spans="3:11" x14ac:dyDescent="0.25">
      <c r="C12156" s="6"/>
      <c r="G12156" s="6"/>
      <c r="K12156" s="6"/>
    </row>
    <row r="12157" spans="3:11" x14ac:dyDescent="0.25">
      <c r="C12157" s="6"/>
      <c r="G12157" s="6"/>
      <c r="K12157" s="6"/>
    </row>
    <row r="12158" spans="3:11" x14ac:dyDescent="0.25">
      <c r="C12158" s="6"/>
      <c r="G12158" s="6"/>
      <c r="K12158" s="6"/>
    </row>
    <row r="12159" spans="3:11" x14ac:dyDescent="0.25">
      <c r="C12159" s="6"/>
      <c r="G12159" s="6"/>
      <c r="K12159" s="6"/>
    </row>
    <row r="12160" spans="3:11" x14ac:dyDescent="0.25">
      <c r="C12160" s="6"/>
      <c r="G12160" s="6"/>
      <c r="K12160" s="6"/>
    </row>
    <row r="12161" spans="3:11" x14ac:dyDescent="0.25">
      <c r="C12161" s="6"/>
      <c r="G12161" s="6"/>
      <c r="K12161" s="6"/>
    </row>
    <row r="12162" spans="3:11" x14ac:dyDescent="0.25">
      <c r="C12162" s="6"/>
      <c r="G12162" s="6"/>
      <c r="K12162" s="6"/>
    </row>
    <row r="12163" spans="3:11" x14ac:dyDescent="0.25">
      <c r="C12163" s="6"/>
      <c r="G12163" s="6"/>
      <c r="K12163" s="6"/>
    </row>
    <row r="12164" spans="3:11" x14ac:dyDescent="0.25">
      <c r="C12164" s="6"/>
      <c r="G12164" s="6"/>
      <c r="K12164" s="6"/>
    </row>
    <row r="12165" spans="3:11" x14ac:dyDescent="0.25">
      <c r="C12165" s="6"/>
      <c r="G12165" s="6"/>
      <c r="K12165" s="6"/>
    </row>
    <row r="12166" spans="3:11" x14ac:dyDescent="0.25">
      <c r="C12166" s="6"/>
      <c r="G12166" s="6"/>
      <c r="K12166" s="6"/>
    </row>
    <row r="12167" spans="3:11" x14ac:dyDescent="0.25">
      <c r="C12167" s="6"/>
      <c r="G12167" s="6"/>
      <c r="K12167" s="6"/>
    </row>
    <row r="12168" spans="3:11" x14ac:dyDescent="0.25">
      <c r="C12168" s="6"/>
      <c r="G12168" s="6"/>
      <c r="K12168" s="6"/>
    </row>
    <row r="12169" spans="3:11" x14ac:dyDescent="0.25">
      <c r="C12169" s="6"/>
      <c r="G12169" s="6"/>
      <c r="K12169" s="6"/>
    </row>
    <row r="12170" spans="3:11" x14ac:dyDescent="0.25">
      <c r="C12170" s="6"/>
      <c r="G12170" s="6"/>
      <c r="K12170" s="6"/>
    </row>
    <row r="12171" spans="3:11" x14ac:dyDescent="0.25">
      <c r="C12171" s="6"/>
      <c r="G12171" s="6"/>
      <c r="K12171" s="6"/>
    </row>
    <row r="12172" spans="3:11" x14ac:dyDescent="0.25">
      <c r="C12172" s="6"/>
      <c r="G12172" s="6"/>
      <c r="K12172" s="6"/>
    </row>
    <row r="12173" spans="3:11" x14ac:dyDescent="0.25">
      <c r="C12173" s="6"/>
      <c r="G12173" s="6"/>
      <c r="K12173" s="6"/>
    </row>
    <row r="12174" spans="3:11" x14ac:dyDescent="0.25">
      <c r="C12174" s="6"/>
      <c r="G12174" s="6"/>
      <c r="K12174" s="6"/>
    </row>
    <row r="12175" spans="3:11" x14ac:dyDescent="0.25">
      <c r="C12175" s="6"/>
      <c r="G12175" s="6"/>
      <c r="K12175" s="6"/>
    </row>
    <row r="12176" spans="3:11" x14ac:dyDescent="0.25">
      <c r="C12176" s="6"/>
      <c r="G12176" s="6"/>
      <c r="K12176" s="6"/>
    </row>
    <row r="12177" spans="3:11" x14ac:dyDescent="0.25">
      <c r="C12177" s="6"/>
      <c r="G12177" s="6"/>
      <c r="K12177" s="6"/>
    </row>
    <row r="12178" spans="3:11" x14ac:dyDescent="0.25">
      <c r="C12178" s="6"/>
      <c r="G12178" s="6"/>
      <c r="K12178" s="6"/>
    </row>
    <row r="12179" spans="3:11" x14ac:dyDescent="0.25">
      <c r="C12179" s="6"/>
      <c r="G12179" s="6"/>
      <c r="K12179" s="6"/>
    </row>
    <row r="12180" spans="3:11" x14ac:dyDescent="0.25">
      <c r="C12180" s="6"/>
      <c r="G12180" s="6"/>
      <c r="K12180" s="6"/>
    </row>
    <row r="12181" spans="3:11" x14ac:dyDescent="0.25">
      <c r="C12181" s="6"/>
      <c r="G12181" s="6"/>
      <c r="K12181" s="6"/>
    </row>
    <row r="12182" spans="3:11" x14ac:dyDescent="0.25">
      <c r="C12182" s="6"/>
      <c r="G12182" s="6"/>
      <c r="K12182" s="6"/>
    </row>
    <row r="12183" spans="3:11" x14ac:dyDescent="0.25">
      <c r="C12183" s="6"/>
      <c r="G12183" s="6"/>
      <c r="K12183" s="6"/>
    </row>
    <row r="12184" spans="3:11" x14ac:dyDescent="0.25">
      <c r="C12184" s="6"/>
      <c r="G12184" s="6"/>
      <c r="K12184" s="6"/>
    </row>
    <row r="12185" spans="3:11" x14ac:dyDescent="0.25">
      <c r="C12185" s="6"/>
      <c r="G12185" s="6"/>
      <c r="K12185" s="6"/>
    </row>
    <row r="12186" spans="3:11" x14ac:dyDescent="0.25">
      <c r="C12186" s="6"/>
      <c r="G12186" s="6"/>
      <c r="K12186" s="6"/>
    </row>
    <row r="12187" spans="3:11" x14ac:dyDescent="0.25">
      <c r="C12187" s="6"/>
      <c r="G12187" s="6"/>
      <c r="K12187" s="6"/>
    </row>
    <row r="12188" spans="3:11" x14ac:dyDescent="0.25">
      <c r="C12188" s="6"/>
      <c r="G12188" s="6"/>
      <c r="K12188" s="6"/>
    </row>
    <row r="12189" spans="3:11" x14ac:dyDescent="0.25">
      <c r="C12189" s="6"/>
      <c r="G12189" s="6"/>
      <c r="K12189" s="6"/>
    </row>
    <row r="12190" spans="3:11" x14ac:dyDescent="0.25">
      <c r="C12190" s="6"/>
      <c r="G12190" s="6"/>
      <c r="K12190" s="6"/>
    </row>
    <row r="12191" spans="3:11" x14ac:dyDescent="0.25">
      <c r="C12191" s="6"/>
      <c r="G12191" s="6"/>
      <c r="K12191" s="6"/>
    </row>
    <row r="12192" spans="3:11" x14ac:dyDescent="0.25">
      <c r="C12192" s="6"/>
      <c r="G12192" s="6"/>
      <c r="K12192" s="6"/>
    </row>
    <row r="12193" spans="3:11" x14ac:dyDescent="0.25">
      <c r="C12193" s="6"/>
      <c r="G12193" s="6"/>
      <c r="K12193" s="6"/>
    </row>
    <row r="12194" spans="3:11" x14ac:dyDescent="0.25">
      <c r="C12194" s="6"/>
      <c r="G12194" s="6"/>
      <c r="K12194" s="6"/>
    </row>
    <row r="12195" spans="3:11" x14ac:dyDescent="0.25">
      <c r="C12195" s="6"/>
      <c r="G12195" s="6"/>
      <c r="K12195" s="6"/>
    </row>
    <row r="12196" spans="3:11" x14ac:dyDescent="0.25">
      <c r="C12196" s="6"/>
      <c r="G12196" s="6"/>
      <c r="K12196" s="6"/>
    </row>
    <row r="12197" spans="3:11" x14ac:dyDescent="0.25">
      <c r="C12197" s="6"/>
      <c r="G12197" s="6"/>
      <c r="K12197" s="6"/>
    </row>
    <row r="12198" spans="3:11" x14ac:dyDescent="0.25">
      <c r="C12198" s="6"/>
      <c r="G12198" s="6"/>
      <c r="K12198" s="6"/>
    </row>
    <row r="12199" spans="3:11" x14ac:dyDescent="0.25">
      <c r="C12199" s="6"/>
      <c r="G12199" s="6"/>
      <c r="K12199" s="6"/>
    </row>
    <row r="12200" spans="3:11" x14ac:dyDescent="0.25">
      <c r="C12200" s="6"/>
      <c r="G12200" s="6"/>
      <c r="K12200" s="6"/>
    </row>
    <row r="12201" spans="3:11" x14ac:dyDescent="0.25">
      <c r="C12201" s="6"/>
      <c r="G12201" s="6"/>
      <c r="K12201" s="6"/>
    </row>
    <row r="12202" spans="3:11" x14ac:dyDescent="0.25">
      <c r="C12202" s="6"/>
      <c r="G12202" s="6"/>
      <c r="K12202" s="6"/>
    </row>
    <row r="12203" spans="3:11" x14ac:dyDescent="0.25">
      <c r="C12203" s="6"/>
      <c r="G12203" s="6"/>
      <c r="K12203" s="6"/>
    </row>
    <row r="12204" spans="3:11" x14ac:dyDescent="0.25">
      <c r="C12204" s="6"/>
      <c r="G12204" s="6"/>
      <c r="K12204" s="6"/>
    </row>
    <row r="12205" spans="3:11" x14ac:dyDescent="0.25">
      <c r="C12205" s="6"/>
      <c r="G12205" s="6"/>
      <c r="K12205" s="6"/>
    </row>
    <row r="12206" spans="3:11" x14ac:dyDescent="0.25">
      <c r="C12206" s="6"/>
      <c r="G12206" s="6"/>
      <c r="K12206" s="6"/>
    </row>
    <row r="12207" spans="3:11" x14ac:dyDescent="0.25">
      <c r="C12207" s="6"/>
      <c r="G12207" s="6"/>
      <c r="K12207" s="6"/>
    </row>
    <row r="12208" spans="3:11" x14ac:dyDescent="0.25">
      <c r="C12208" s="6"/>
      <c r="G12208" s="6"/>
      <c r="K12208" s="6"/>
    </row>
    <row r="12209" spans="3:11" x14ac:dyDescent="0.25">
      <c r="C12209" s="6"/>
      <c r="G12209" s="6"/>
      <c r="K12209" s="6"/>
    </row>
    <row r="12210" spans="3:11" x14ac:dyDescent="0.25">
      <c r="C12210" s="6"/>
      <c r="G12210" s="6"/>
      <c r="K12210" s="6"/>
    </row>
    <row r="12211" spans="3:11" x14ac:dyDescent="0.25">
      <c r="C12211" s="6"/>
      <c r="G12211" s="6"/>
      <c r="K12211" s="6"/>
    </row>
    <row r="12212" spans="3:11" x14ac:dyDescent="0.25">
      <c r="C12212" s="6"/>
      <c r="G12212" s="6"/>
      <c r="K12212" s="6"/>
    </row>
    <row r="12213" spans="3:11" x14ac:dyDescent="0.25">
      <c r="C12213" s="6"/>
      <c r="G12213" s="6"/>
      <c r="K12213" s="6"/>
    </row>
    <row r="12214" spans="3:11" x14ac:dyDescent="0.25">
      <c r="C12214" s="6"/>
      <c r="G12214" s="6"/>
      <c r="K12214" s="6"/>
    </row>
    <row r="12215" spans="3:11" x14ac:dyDescent="0.25">
      <c r="C12215" s="6"/>
      <c r="G12215" s="6"/>
      <c r="K12215" s="6"/>
    </row>
    <row r="12216" spans="3:11" x14ac:dyDescent="0.25">
      <c r="C12216" s="6"/>
      <c r="G12216" s="6"/>
      <c r="K12216" s="6"/>
    </row>
    <row r="12217" spans="3:11" x14ac:dyDescent="0.25">
      <c r="C12217" s="6"/>
      <c r="G12217" s="6"/>
      <c r="K12217" s="6"/>
    </row>
    <row r="12218" spans="3:11" x14ac:dyDescent="0.25">
      <c r="C12218" s="6"/>
      <c r="G12218" s="6"/>
      <c r="K12218" s="6"/>
    </row>
    <row r="12219" spans="3:11" x14ac:dyDescent="0.25">
      <c r="C12219" s="6"/>
      <c r="G12219" s="6"/>
      <c r="K12219" s="6"/>
    </row>
    <row r="12220" spans="3:11" x14ac:dyDescent="0.25">
      <c r="C12220" s="6"/>
      <c r="G12220" s="6"/>
      <c r="K12220" s="6"/>
    </row>
    <row r="12221" spans="3:11" x14ac:dyDescent="0.25">
      <c r="C12221" s="6"/>
      <c r="G12221" s="6"/>
      <c r="K12221" s="6"/>
    </row>
    <row r="12222" spans="3:11" x14ac:dyDescent="0.25">
      <c r="C12222" s="6"/>
      <c r="G12222" s="6"/>
      <c r="K12222" s="6"/>
    </row>
    <row r="12223" spans="3:11" x14ac:dyDescent="0.25">
      <c r="C12223" s="6"/>
      <c r="G12223" s="6"/>
      <c r="K12223" s="6"/>
    </row>
    <row r="12224" spans="3:11" x14ac:dyDescent="0.25">
      <c r="C12224" s="6"/>
      <c r="G12224" s="6"/>
      <c r="K12224" s="6"/>
    </row>
    <row r="12225" spans="3:11" x14ac:dyDescent="0.25">
      <c r="C12225" s="6"/>
      <c r="G12225" s="6"/>
      <c r="K12225" s="6"/>
    </row>
    <row r="12226" spans="3:11" x14ac:dyDescent="0.25">
      <c r="C12226" s="6"/>
      <c r="G12226" s="6"/>
      <c r="K12226" s="6"/>
    </row>
    <row r="12227" spans="3:11" x14ac:dyDescent="0.25">
      <c r="C12227" s="6"/>
      <c r="G12227" s="6"/>
      <c r="K12227" s="6"/>
    </row>
    <row r="12228" spans="3:11" x14ac:dyDescent="0.25">
      <c r="C12228" s="6"/>
      <c r="G12228" s="6"/>
      <c r="K12228" s="6"/>
    </row>
    <row r="12229" spans="3:11" x14ac:dyDescent="0.25">
      <c r="C12229" s="6"/>
      <c r="G12229" s="6"/>
      <c r="K12229" s="6"/>
    </row>
    <row r="12230" spans="3:11" x14ac:dyDescent="0.25">
      <c r="C12230" s="6"/>
      <c r="G12230" s="6"/>
      <c r="K12230" s="6"/>
    </row>
    <row r="12231" spans="3:11" x14ac:dyDescent="0.25">
      <c r="C12231" s="6"/>
      <c r="G12231" s="6"/>
      <c r="K12231" s="6"/>
    </row>
    <row r="12232" spans="3:11" x14ac:dyDescent="0.25">
      <c r="C12232" s="6"/>
      <c r="G12232" s="6"/>
      <c r="K12232" s="6"/>
    </row>
    <row r="12233" spans="3:11" x14ac:dyDescent="0.25">
      <c r="C12233" s="6"/>
      <c r="G12233" s="6"/>
      <c r="K12233" s="6"/>
    </row>
    <row r="12234" spans="3:11" x14ac:dyDescent="0.25">
      <c r="C12234" s="6"/>
      <c r="G12234" s="6"/>
      <c r="K12234" s="6"/>
    </row>
    <row r="12235" spans="3:11" x14ac:dyDescent="0.25">
      <c r="C12235" s="6"/>
      <c r="G12235" s="6"/>
      <c r="K12235" s="6"/>
    </row>
    <row r="12236" spans="3:11" x14ac:dyDescent="0.25">
      <c r="C12236" s="6"/>
      <c r="G12236" s="6"/>
      <c r="K12236" s="6"/>
    </row>
    <row r="12237" spans="3:11" x14ac:dyDescent="0.25">
      <c r="C12237" s="6"/>
      <c r="G12237" s="6"/>
      <c r="K12237" s="6"/>
    </row>
    <row r="12238" spans="3:11" x14ac:dyDescent="0.25">
      <c r="C12238" s="6"/>
      <c r="G12238" s="6"/>
      <c r="K12238" s="6"/>
    </row>
    <row r="12239" spans="3:11" x14ac:dyDescent="0.25">
      <c r="C12239" s="6"/>
      <c r="G12239" s="6"/>
      <c r="K12239" s="6"/>
    </row>
    <row r="12240" spans="3:11" x14ac:dyDescent="0.25">
      <c r="C12240" s="6"/>
      <c r="G12240" s="6"/>
      <c r="K12240" s="6"/>
    </row>
    <row r="12241" spans="3:11" x14ac:dyDescent="0.25">
      <c r="C12241" s="6"/>
      <c r="G12241" s="6"/>
      <c r="K12241" s="6"/>
    </row>
    <row r="12242" spans="3:11" x14ac:dyDescent="0.25">
      <c r="C12242" s="6"/>
      <c r="G12242" s="6"/>
      <c r="K12242" s="6"/>
    </row>
    <row r="12243" spans="3:11" x14ac:dyDescent="0.25">
      <c r="C12243" s="6"/>
      <c r="G12243" s="6"/>
      <c r="K12243" s="6"/>
    </row>
    <row r="12244" spans="3:11" x14ac:dyDescent="0.25">
      <c r="C12244" s="6"/>
      <c r="G12244" s="6"/>
      <c r="K12244" s="6"/>
    </row>
    <row r="12245" spans="3:11" x14ac:dyDescent="0.25">
      <c r="C12245" s="6"/>
      <c r="G12245" s="6"/>
      <c r="K12245" s="6"/>
    </row>
    <row r="12246" spans="3:11" x14ac:dyDescent="0.25">
      <c r="C12246" s="6"/>
      <c r="G12246" s="6"/>
      <c r="K12246" s="6"/>
    </row>
    <row r="12247" spans="3:11" x14ac:dyDescent="0.25">
      <c r="C12247" s="6"/>
      <c r="G12247" s="6"/>
      <c r="K12247" s="6"/>
    </row>
    <row r="12248" spans="3:11" x14ac:dyDescent="0.25">
      <c r="C12248" s="6"/>
      <c r="G12248" s="6"/>
      <c r="K12248" s="6"/>
    </row>
    <row r="12249" spans="3:11" x14ac:dyDescent="0.25">
      <c r="C12249" s="6"/>
      <c r="G12249" s="6"/>
      <c r="K12249" s="6"/>
    </row>
    <row r="12250" spans="3:11" x14ac:dyDescent="0.25">
      <c r="C12250" s="6"/>
      <c r="G12250" s="6"/>
      <c r="K12250" s="6"/>
    </row>
    <row r="12251" spans="3:11" x14ac:dyDescent="0.25">
      <c r="C12251" s="6"/>
      <c r="G12251" s="6"/>
      <c r="K12251" s="6"/>
    </row>
    <row r="12252" spans="3:11" x14ac:dyDescent="0.25">
      <c r="C12252" s="6"/>
      <c r="G12252" s="6"/>
      <c r="K12252" s="6"/>
    </row>
    <row r="12253" spans="3:11" x14ac:dyDescent="0.25">
      <c r="C12253" s="6"/>
      <c r="G12253" s="6"/>
      <c r="K12253" s="6"/>
    </row>
    <row r="12254" spans="3:11" x14ac:dyDescent="0.25">
      <c r="C12254" s="6"/>
      <c r="G12254" s="6"/>
      <c r="K12254" s="6"/>
    </row>
    <row r="12255" spans="3:11" x14ac:dyDescent="0.25">
      <c r="C12255" s="6"/>
      <c r="G12255" s="6"/>
      <c r="K12255" s="6"/>
    </row>
    <row r="12256" spans="3:11" x14ac:dyDescent="0.25">
      <c r="C12256" s="6"/>
      <c r="G12256" s="6"/>
      <c r="K12256" s="6"/>
    </row>
    <row r="12257" spans="3:11" x14ac:dyDescent="0.25">
      <c r="C12257" s="6"/>
      <c r="G12257" s="6"/>
      <c r="K12257" s="6"/>
    </row>
    <row r="12258" spans="3:11" x14ac:dyDescent="0.25">
      <c r="C12258" s="6"/>
      <c r="G12258" s="6"/>
      <c r="K12258" s="6"/>
    </row>
    <row r="12259" spans="3:11" x14ac:dyDescent="0.25">
      <c r="C12259" s="6"/>
      <c r="G12259" s="6"/>
      <c r="K12259" s="6"/>
    </row>
    <row r="12260" spans="3:11" x14ac:dyDescent="0.25">
      <c r="C12260" s="6"/>
      <c r="G12260" s="6"/>
      <c r="K12260" s="6"/>
    </row>
    <row r="12261" spans="3:11" x14ac:dyDescent="0.25">
      <c r="C12261" s="6"/>
      <c r="G12261" s="6"/>
      <c r="K12261" s="6"/>
    </row>
    <row r="12262" spans="3:11" x14ac:dyDescent="0.25">
      <c r="C12262" s="6"/>
      <c r="G12262" s="6"/>
      <c r="K12262" s="6"/>
    </row>
    <row r="12263" spans="3:11" x14ac:dyDescent="0.25">
      <c r="C12263" s="6"/>
      <c r="G12263" s="6"/>
      <c r="K12263" s="6"/>
    </row>
    <row r="12264" spans="3:11" x14ac:dyDescent="0.25">
      <c r="C12264" s="6"/>
      <c r="G12264" s="6"/>
      <c r="K12264" s="6"/>
    </row>
    <row r="12265" spans="3:11" x14ac:dyDescent="0.25">
      <c r="C12265" s="6"/>
      <c r="G12265" s="6"/>
      <c r="K12265" s="6"/>
    </row>
    <row r="12266" spans="3:11" x14ac:dyDescent="0.25">
      <c r="C12266" s="6"/>
      <c r="G12266" s="6"/>
      <c r="K12266" s="6"/>
    </row>
    <row r="12267" spans="3:11" x14ac:dyDescent="0.25">
      <c r="C12267" s="6"/>
      <c r="G12267" s="6"/>
      <c r="K12267" s="6"/>
    </row>
    <row r="12268" spans="3:11" x14ac:dyDescent="0.25">
      <c r="C12268" s="6"/>
      <c r="G12268" s="6"/>
      <c r="K12268" s="6"/>
    </row>
    <row r="12269" spans="3:11" x14ac:dyDescent="0.25">
      <c r="C12269" s="6"/>
      <c r="G12269" s="6"/>
      <c r="K12269" s="6"/>
    </row>
    <row r="12270" spans="3:11" x14ac:dyDescent="0.25">
      <c r="C12270" s="6"/>
      <c r="G12270" s="6"/>
      <c r="K12270" s="6"/>
    </row>
    <row r="12271" spans="3:11" x14ac:dyDescent="0.25">
      <c r="C12271" s="6"/>
      <c r="G12271" s="6"/>
      <c r="K12271" s="6"/>
    </row>
    <row r="12272" spans="3:11" x14ac:dyDescent="0.25">
      <c r="C12272" s="6"/>
      <c r="G12272" s="6"/>
      <c r="K12272" s="6"/>
    </row>
    <row r="12273" spans="3:11" x14ac:dyDescent="0.25">
      <c r="C12273" s="6"/>
      <c r="G12273" s="6"/>
      <c r="K12273" s="6"/>
    </row>
    <row r="12274" spans="3:11" x14ac:dyDescent="0.25">
      <c r="C12274" s="6"/>
      <c r="G12274" s="6"/>
      <c r="K12274" s="6"/>
    </row>
    <row r="12275" spans="3:11" x14ac:dyDescent="0.25">
      <c r="C12275" s="6"/>
      <c r="G12275" s="6"/>
      <c r="K12275" s="6"/>
    </row>
    <row r="12276" spans="3:11" x14ac:dyDescent="0.25">
      <c r="C12276" s="6"/>
      <c r="G12276" s="6"/>
      <c r="K12276" s="6"/>
    </row>
    <row r="12277" spans="3:11" x14ac:dyDescent="0.25">
      <c r="C12277" s="6"/>
      <c r="G12277" s="6"/>
      <c r="K12277" s="6"/>
    </row>
    <row r="12278" spans="3:11" x14ac:dyDescent="0.25">
      <c r="C12278" s="6"/>
      <c r="G12278" s="6"/>
      <c r="K12278" s="6"/>
    </row>
    <row r="12279" spans="3:11" x14ac:dyDescent="0.25">
      <c r="C12279" s="6"/>
      <c r="G12279" s="6"/>
      <c r="K12279" s="6"/>
    </row>
    <row r="12280" spans="3:11" x14ac:dyDescent="0.25">
      <c r="C12280" s="6"/>
      <c r="G12280" s="6"/>
      <c r="K12280" s="6"/>
    </row>
    <row r="12281" spans="3:11" x14ac:dyDescent="0.25">
      <c r="C12281" s="6"/>
      <c r="G12281" s="6"/>
      <c r="K12281" s="6"/>
    </row>
    <row r="12282" spans="3:11" x14ac:dyDescent="0.25">
      <c r="C12282" s="6"/>
      <c r="G12282" s="6"/>
      <c r="K12282" s="6"/>
    </row>
    <row r="12283" spans="3:11" x14ac:dyDescent="0.25">
      <c r="C12283" s="6"/>
      <c r="G12283" s="6"/>
      <c r="K12283" s="6"/>
    </row>
    <row r="12284" spans="3:11" x14ac:dyDescent="0.25">
      <c r="C12284" s="6"/>
      <c r="G12284" s="6"/>
      <c r="K12284" s="6"/>
    </row>
    <row r="12285" spans="3:11" x14ac:dyDescent="0.25">
      <c r="C12285" s="6"/>
      <c r="G12285" s="6"/>
      <c r="K12285" s="6"/>
    </row>
    <row r="12286" spans="3:11" x14ac:dyDescent="0.25">
      <c r="C12286" s="6"/>
      <c r="G12286" s="6"/>
      <c r="K12286" s="6"/>
    </row>
    <row r="12287" spans="3:11" x14ac:dyDescent="0.25">
      <c r="C12287" s="6"/>
      <c r="G12287" s="6"/>
      <c r="K12287" s="6"/>
    </row>
    <row r="12288" spans="3:11" x14ac:dyDescent="0.25">
      <c r="C12288" s="6"/>
      <c r="G12288" s="6"/>
      <c r="K12288" s="6"/>
    </row>
    <row r="12289" spans="3:11" x14ac:dyDescent="0.25">
      <c r="C12289" s="6"/>
      <c r="G12289" s="6"/>
      <c r="K12289" s="6"/>
    </row>
    <row r="12290" spans="3:11" x14ac:dyDescent="0.25">
      <c r="C12290" s="6"/>
      <c r="G12290" s="6"/>
      <c r="K12290" s="6"/>
    </row>
    <row r="12291" spans="3:11" x14ac:dyDescent="0.25">
      <c r="C12291" s="6"/>
      <c r="G12291" s="6"/>
      <c r="K12291" s="6"/>
    </row>
    <row r="12292" spans="3:11" x14ac:dyDescent="0.25">
      <c r="C12292" s="6"/>
      <c r="G12292" s="6"/>
      <c r="K12292" s="6"/>
    </row>
    <row r="12293" spans="3:11" x14ac:dyDescent="0.25">
      <c r="C12293" s="6"/>
      <c r="G12293" s="6"/>
      <c r="K12293" s="6"/>
    </row>
    <row r="12294" spans="3:11" x14ac:dyDescent="0.25">
      <c r="C12294" s="6"/>
      <c r="G12294" s="6"/>
      <c r="K12294" s="6"/>
    </row>
    <row r="12295" spans="3:11" x14ac:dyDescent="0.25">
      <c r="C12295" s="6"/>
      <c r="G12295" s="6"/>
      <c r="K12295" s="6"/>
    </row>
    <row r="12296" spans="3:11" x14ac:dyDescent="0.25">
      <c r="C12296" s="6"/>
      <c r="G12296" s="6"/>
      <c r="K12296" s="6"/>
    </row>
    <row r="12297" spans="3:11" x14ac:dyDescent="0.25">
      <c r="C12297" s="6"/>
      <c r="G12297" s="6"/>
      <c r="K12297" s="6"/>
    </row>
    <row r="12298" spans="3:11" x14ac:dyDescent="0.25">
      <c r="C12298" s="6"/>
      <c r="G12298" s="6"/>
      <c r="K12298" s="6"/>
    </row>
    <row r="12299" spans="3:11" x14ac:dyDescent="0.25">
      <c r="C12299" s="6"/>
      <c r="G12299" s="6"/>
      <c r="K12299" s="6"/>
    </row>
    <row r="12300" spans="3:11" x14ac:dyDescent="0.25">
      <c r="C12300" s="6"/>
      <c r="G12300" s="6"/>
      <c r="K12300" s="6"/>
    </row>
    <row r="12301" spans="3:11" x14ac:dyDescent="0.25">
      <c r="C12301" s="6"/>
      <c r="G12301" s="6"/>
      <c r="K12301" s="6"/>
    </row>
    <row r="12302" spans="3:11" x14ac:dyDescent="0.25">
      <c r="C12302" s="6"/>
      <c r="G12302" s="6"/>
      <c r="K12302" s="6"/>
    </row>
    <row r="12303" spans="3:11" x14ac:dyDescent="0.25">
      <c r="C12303" s="6"/>
      <c r="G12303" s="6"/>
      <c r="K12303" s="6"/>
    </row>
    <row r="12304" spans="3:11" x14ac:dyDescent="0.25">
      <c r="C12304" s="6"/>
      <c r="G12304" s="6"/>
      <c r="K12304" s="6"/>
    </row>
    <row r="12305" spans="3:11" x14ac:dyDescent="0.25">
      <c r="C12305" s="6"/>
      <c r="G12305" s="6"/>
      <c r="K12305" s="6"/>
    </row>
    <row r="12306" spans="3:11" x14ac:dyDescent="0.25">
      <c r="C12306" s="6"/>
      <c r="G12306" s="6"/>
      <c r="K12306" s="6"/>
    </row>
    <row r="12307" spans="3:11" x14ac:dyDescent="0.25">
      <c r="C12307" s="6"/>
      <c r="G12307" s="6"/>
      <c r="K12307" s="6"/>
    </row>
    <row r="12308" spans="3:11" x14ac:dyDescent="0.25">
      <c r="C12308" s="6"/>
      <c r="G12308" s="6"/>
      <c r="K12308" s="6"/>
    </row>
    <row r="12309" spans="3:11" x14ac:dyDescent="0.25">
      <c r="C12309" s="6"/>
      <c r="G12309" s="6"/>
      <c r="K12309" s="6"/>
    </row>
    <row r="12310" spans="3:11" x14ac:dyDescent="0.25">
      <c r="C12310" s="6"/>
      <c r="G12310" s="6"/>
      <c r="K12310" s="6"/>
    </row>
    <row r="12311" spans="3:11" x14ac:dyDescent="0.25">
      <c r="C12311" s="6"/>
      <c r="G12311" s="6"/>
      <c r="K12311" s="6"/>
    </row>
    <row r="12312" spans="3:11" x14ac:dyDescent="0.25">
      <c r="C12312" s="6"/>
      <c r="G12312" s="6"/>
      <c r="K12312" s="6"/>
    </row>
    <row r="12313" spans="3:11" x14ac:dyDescent="0.25">
      <c r="C12313" s="6"/>
      <c r="G12313" s="6"/>
      <c r="K12313" s="6"/>
    </row>
    <row r="12314" spans="3:11" x14ac:dyDescent="0.25">
      <c r="C12314" s="6"/>
      <c r="G12314" s="6"/>
      <c r="K12314" s="6"/>
    </row>
    <row r="12315" spans="3:11" x14ac:dyDescent="0.25">
      <c r="C12315" s="6"/>
      <c r="G12315" s="6"/>
      <c r="K12315" s="6"/>
    </row>
    <row r="12316" spans="3:11" x14ac:dyDescent="0.25">
      <c r="C12316" s="6"/>
      <c r="G12316" s="6"/>
      <c r="K12316" s="6"/>
    </row>
    <row r="12317" spans="3:11" x14ac:dyDescent="0.25">
      <c r="C12317" s="6"/>
      <c r="G12317" s="6"/>
      <c r="K12317" s="6"/>
    </row>
    <row r="12318" spans="3:11" x14ac:dyDescent="0.25">
      <c r="C12318" s="6"/>
      <c r="G12318" s="6"/>
      <c r="K12318" s="6"/>
    </row>
    <row r="12319" spans="3:11" x14ac:dyDescent="0.25">
      <c r="C12319" s="6"/>
      <c r="G12319" s="6"/>
      <c r="K12319" s="6"/>
    </row>
    <row r="12320" spans="3:11" x14ac:dyDescent="0.25">
      <c r="C12320" s="6"/>
      <c r="G12320" s="6"/>
      <c r="K12320" s="6"/>
    </row>
    <row r="12321" spans="3:11" x14ac:dyDescent="0.25">
      <c r="C12321" s="6"/>
      <c r="G12321" s="6"/>
      <c r="K12321" s="6"/>
    </row>
    <row r="12322" spans="3:11" x14ac:dyDescent="0.25">
      <c r="C12322" s="6"/>
      <c r="G12322" s="6"/>
      <c r="K12322" s="6"/>
    </row>
    <row r="12323" spans="3:11" x14ac:dyDescent="0.25">
      <c r="C12323" s="6"/>
      <c r="G12323" s="6"/>
      <c r="K12323" s="6"/>
    </row>
    <row r="12324" spans="3:11" x14ac:dyDescent="0.25">
      <c r="C12324" s="6"/>
      <c r="G12324" s="6"/>
      <c r="K12324" s="6"/>
    </row>
    <row r="12325" spans="3:11" x14ac:dyDescent="0.25">
      <c r="C12325" s="6"/>
      <c r="G12325" s="6"/>
      <c r="K12325" s="6"/>
    </row>
    <row r="12326" spans="3:11" x14ac:dyDescent="0.25">
      <c r="C12326" s="6"/>
      <c r="G12326" s="6"/>
      <c r="K12326" s="6"/>
    </row>
    <row r="12327" spans="3:11" x14ac:dyDescent="0.25">
      <c r="C12327" s="6"/>
      <c r="G12327" s="6"/>
      <c r="K12327" s="6"/>
    </row>
    <row r="12328" spans="3:11" x14ac:dyDescent="0.25">
      <c r="C12328" s="6"/>
      <c r="G12328" s="6"/>
      <c r="K12328" s="6"/>
    </row>
    <row r="12329" spans="3:11" x14ac:dyDescent="0.25">
      <c r="C12329" s="6"/>
      <c r="G12329" s="6"/>
      <c r="K12329" s="6"/>
    </row>
    <row r="12330" spans="3:11" x14ac:dyDescent="0.25">
      <c r="C12330" s="6"/>
      <c r="G12330" s="6"/>
      <c r="K12330" s="6"/>
    </row>
    <row r="12331" spans="3:11" x14ac:dyDescent="0.25">
      <c r="C12331" s="6"/>
      <c r="G12331" s="6"/>
      <c r="K12331" s="6"/>
    </row>
    <row r="12332" spans="3:11" x14ac:dyDescent="0.25">
      <c r="C12332" s="6"/>
      <c r="G12332" s="6"/>
      <c r="K12332" s="6"/>
    </row>
    <row r="12333" spans="3:11" x14ac:dyDescent="0.25">
      <c r="C12333" s="6"/>
      <c r="G12333" s="6"/>
      <c r="K12333" s="6"/>
    </row>
    <row r="12334" spans="3:11" x14ac:dyDescent="0.25">
      <c r="C12334" s="6"/>
      <c r="G12334" s="6"/>
      <c r="K12334" s="6"/>
    </row>
    <row r="12335" spans="3:11" x14ac:dyDescent="0.25">
      <c r="C12335" s="6"/>
      <c r="G12335" s="6"/>
      <c r="K12335" s="6"/>
    </row>
    <row r="12336" spans="3:11" x14ac:dyDescent="0.25">
      <c r="C12336" s="6"/>
      <c r="G12336" s="6"/>
      <c r="K12336" s="6"/>
    </row>
    <row r="12337" spans="3:11" x14ac:dyDescent="0.25">
      <c r="C12337" s="6"/>
      <c r="G12337" s="6"/>
      <c r="K12337" s="6"/>
    </row>
    <row r="12338" spans="3:11" x14ac:dyDescent="0.25">
      <c r="C12338" s="6"/>
      <c r="G12338" s="6"/>
      <c r="K12338" s="6"/>
    </row>
    <row r="12339" spans="3:11" x14ac:dyDescent="0.25">
      <c r="C12339" s="6"/>
      <c r="G12339" s="6"/>
      <c r="K12339" s="6"/>
    </row>
    <row r="12340" spans="3:11" x14ac:dyDescent="0.25">
      <c r="C12340" s="6"/>
      <c r="G12340" s="6"/>
      <c r="K12340" s="6"/>
    </row>
    <row r="12341" spans="3:11" x14ac:dyDescent="0.25">
      <c r="C12341" s="6"/>
      <c r="G12341" s="6"/>
      <c r="K12341" s="6"/>
    </row>
    <row r="12342" spans="3:11" x14ac:dyDescent="0.25">
      <c r="C12342" s="6"/>
      <c r="G12342" s="6"/>
      <c r="K12342" s="6"/>
    </row>
    <row r="12343" spans="3:11" x14ac:dyDescent="0.25">
      <c r="C12343" s="6"/>
      <c r="G12343" s="6"/>
      <c r="K12343" s="6"/>
    </row>
    <row r="12344" spans="3:11" x14ac:dyDescent="0.25">
      <c r="C12344" s="6"/>
      <c r="G12344" s="6"/>
      <c r="K12344" s="6"/>
    </row>
    <row r="12345" spans="3:11" x14ac:dyDescent="0.25">
      <c r="C12345" s="6"/>
      <c r="G12345" s="6"/>
      <c r="K12345" s="6"/>
    </row>
    <row r="12346" spans="3:11" x14ac:dyDescent="0.25">
      <c r="C12346" s="6"/>
      <c r="G12346" s="6"/>
      <c r="K12346" s="6"/>
    </row>
    <row r="12347" spans="3:11" x14ac:dyDescent="0.25">
      <c r="C12347" s="6"/>
      <c r="G12347" s="6"/>
      <c r="K12347" s="6"/>
    </row>
    <row r="12348" spans="3:11" x14ac:dyDescent="0.25">
      <c r="C12348" s="6"/>
      <c r="G12348" s="6"/>
      <c r="K12348" s="6"/>
    </row>
    <row r="12349" spans="3:11" x14ac:dyDescent="0.25">
      <c r="C12349" s="6"/>
      <c r="G12349" s="6"/>
      <c r="K12349" s="6"/>
    </row>
    <row r="12350" spans="3:11" x14ac:dyDescent="0.25">
      <c r="C12350" s="6"/>
      <c r="G12350" s="6"/>
      <c r="K12350" s="6"/>
    </row>
    <row r="12351" spans="3:11" x14ac:dyDescent="0.25">
      <c r="C12351" s="6"/>
      <c r="G12351" s="6"/>
      <c r="K12351" s="6"/>
    </row>
    <row r="12352" spans="3:11" x14ac:dyDescent="0.25">
      <c r="C12352" s="6"/>
      <c r="G12352" s="6"/>
      <c r="K12352" s="6"/>
    </row>
    <row r="12353" spans="3:11" x14ac:dyDescent="0.25">
      <c r="C12353" s="6"/>
      <c r="G12353" s="6"/>
      <c r="K12353" s="6"/>
    </row>
    <row r="12354" spans="3:11" x14ac:dyDescent="0.25">
      <c r="C12354" s="6"/>
      <c r="G12354" s="6"/>
      <c r="K12354" s="6"/>
    </row>
    <row r="12355" spans="3:11" x14ac:dyDescent="0.25">
      <c r="C12355" s="6"/>
      <c r="G12355" s="6"/>
      <c r="K12355" s="6"/>
    </row>
    <row r="12356" spans="3:11" x14ac:dyDescent="0.25">
      <c r="C12356" s="6"/>
      <c r="G12356" s="6"/>
      <c r="K12356" s="6"/>
    </row>
    <row r="12357" spans="3:11" x14ac:dyDescent="0.25">
      <c r="C12357" s="6"/>
      <c r="G12357" s="6"/>
      <c r="K12357" s="6"/>
    </row>
    <row r="12358" spans="3:11" x14ac:dyDescent="0.25">
      <c r="C12358" s="6"/>
      <c r="G12358" s="6"/>
      <c r="K12358" s="6"/>
    </row>
    <row r="12359" spans="3:11" x14ac:dyDescent="0.25">
      <c r="C12359" s="6"/>
      <c r="G12359" s="6"/>
      <c r="K12359" s="6"/>
    </row>
    <row r="12360" spans="3:11" x14ac:dyDescent="0.25">
      <c r="C12360" s="6"/>
      <c r="G12360" s="6"/>
      <c r="K12360" s="6"/>
    </row>
    <row r="12361" spans="3:11" x14ac:dyDescent="0.25">
      <c r="C12361" s="6"/>
      <c r="G12361" s="6"/>
      <c r="K12361" s="6"/>
    </row>
    <row r="12362" spans="3:11" x14ac:dyDescent="0.25">
      <c r="C12362" s="6"/>
      <c r="G12362" s="6"/>
      <c r="K12362" s="6"/>
    </row>
    <row r="12363" spans="3:11" x14ac:dyDescent="0.25">
      <c r="C12363" s="6"/>
      <c r="G12363" s="6"/>
      <c r="K12363" s="6"/>
    </row>
    <row r="12364" spans="3:11" x14ac:dyDescent="0.25">
      <c r="C12364" s="6"/>
      <c r="G12364" s="6"/>
      <c r="K12364" s="6"/>
    </row>
    <row r="12365" spans="3:11" x14ac:dyDescent="0.25">
      <c r="C12365" s="6"/>
      <c r="G12365" s="6"/>
      <c r="K12365" s="6"/>
    </row>
    <row r="12366" spans="3:11" x14ac:dyDescent="0.25">
      <c r="C12366" s="6"/>
      <c r="G12366" s="6"/>
      <c r="K12366" s="6"/>
    </row>
    <row r="12367" spans="3:11" x14ac:dyDescent="0.25">
      <c r="C12367" s="6"/>
      <c r="G12367" s="6"/>
      <c r="K12367" s="6"/>
    </row>
    <row r="12368" spans="3:11" x14ac:dyDescent="0.25">
      <c r="C12368" s="6"/>
      <c r="G12368" s="6"/>
      <c r="K12368" s="6"/>
    </row>
    <row r="12369" spans="3:11" x14ac:dyDescent="0.25">
      <c r="C12369" s="6"/>
      <c r="G12369" s="6"/>
      <c r="K12369" s="6"/>
    </row>
    <row r="12370" spans="3:11" x14ac:dyDescent="0.25">
      <c r="C12370" s="6"/>
      <c r="G12370" s="6"/>
      <c r="K12370" s="6"/>
    </row>
    <row r="12371" spans="3:11" x14ac:dyDescent="0.25">
      <c r="C12371" s="6"/>
      <c r="G12371" s="6"/>
      <c r="K12371" s="6"/>
    </row>
    <row r="12372" spans="3:11" x14ac:dyDescent="0.25">
      <c r="C12372" s="6"/>
      <c r="G12372" s="6"/>
      <c r="K12372" s="6"/>
    </row>
    <row r="12373" spans="3:11" x14ac:dyDescent="0.25">
      <c r="C12373" s="6"/>
      <c r="G12373" s="6"/>
      <c r="K12373" s="6"/>
    </row>
    <row r="12374" spans="3:11" x14ac:dyDescent="0.25">
      <c r="C12374" s="6"/>
      <c r="G12374" s="6"/>
      <c r="K12374" s="6"/>
    </row>
    <row r="12375" spans="3:11" x14ac:dyDescent="0.25">
      <c r="C12375" s="6"/>
      <c r="G12375" s="6"/>
      <c r="K12375" s="6"/>
    </row>
    <row r="12376" spans="3:11" x14ac:dyDescent="0.25">
      <c r="C12376" s="6"/>
      <c r="G12376" s="6"/>
      <c r="K12376" s="6"/>
    </row>
    <row r="12377" spans="3:11" x14ac:dyDescent="0.25">
      <c r="C12377" s="6"/>
      <c r="G12377" s="6"/>
      <c r="K12377" s="6"/>
    </row>
    <row r="12378" spans="3:11" x14ac:dyDescent="0.25">
      <c r="C12378" s="6"/>
      <c r="G12378" s="6"/>
      <c r="K12378" s="6"/>
    </row>
    <row r="12379" spans="3:11" x14ac:dyDescent="0.25">
      <c r="C12379" s="6"/>
      <c r="G12379" s="6"/>
      <c r="K12379" s="6"/>
    </row>
    <row r="12380" spans="3:11" x14ac:dyDescent="0.25">
      <c r="C12380" s="6"/>
      <c r="G12380" s="6"/>
      <c r="K12380" s="6"/>
    </row>
    <row r="12381" spans="3:11" x14ac:dyDescent="0.25">
      <c r="C12381" s="6"/>
      <c r="G12381" s="6"/>
      <c r="K12381" s="6"/>
    </row>
    <row r="12382" spans="3:11" x14ac:dyDescent="0.25">
      <c r="C12382" s="6"/>
      <c r="G12382" s="6"/>
      <c r="K12382" s="6"/>
    </row>
    <row r="12383" spans="3:11" x14ac:dyDescent="0.25">
      <c r="C12383" s="6"/>
      <c r="G12383" s="6"/>
      <c r="K12383" s="6"/>
    </row>
    <row r="12384" spans="3:11" x14ac:dyDescent="0.25">
      <c r="C12384" s="6"/>
      <c r="G12384" s="6"/>
      <c r="K12384" s="6"/>
    </row>
    <row r="12385" spans="3:11" x14ac:dyDescent="0.25">
      <c r="C12385" s="6"/>
      <c r="G12385" s="6"/>
      <c r="K12385" s="6"/>
    </row>
    <row r="12386" spans="3:11" x14ac:dyDescent="0.25">
      <c r="C12386" s="6"/>
      <c r="G12386" s="6"/>
      <c r="K12386" s="6"/>
    </row>
    <row r="12387" spans="3:11" x14ac:dyDescent="0.25">
      <c r="C12387" s="6"/>
      <c r="G12387" s="6"/>
      <c r="K12387" s="6"/>
    </row>
    <row r="12388" spans="3:11" x14ac:dyDescent="0.25">
      <c r="C12388" s="6"/>
      <c r="G12388" s="6"/>
      <c r="K12388" s="6"/>
    </row>
    <row r="12389" spans="3:11" x14ac:dyDescent="0.25">
      <c r="C12389" s="6"/>
      <c r="G12389" s="6"/>
      <c r="K12389" s="6"/>
    </row>
    <row r="12390" spans="3:11" x14ac:dyDescent="0.25">
      <c r="C12390" s="6"/>
      <c r="G12390" s="6"/>
      <c r="K12390" s="6"/>
    </row>
    <row r="12391" spans="3:11" x14ac:dyDescent="0.25">
      <c r="C12391" s="6"/>
      <c r="G12391" s="6"/>
      <c r="K12391" s="6"/>
    </row>
    <row r="12392" spans="3:11" x14ac:dyDescent="0.25">
      <c r="C12392" s="6"/>
      <c r="G12392" s="6"/>
      <c r="K12392" s="6"/>
    </row>
    <row r="12393" spans="3:11" x14ac:dyDescent="0.25">
      <c r="C12393" s="6"/>
      <c r="G12393" s="6"/>
      <c r="K12393" s="6"/>
    </row>
    <row r="12394" spans="3:11" x14ac:dyDescent="0.25">
      <c r="C12394" s="6"/>
      <c r="G12394" s="6"/>
      <c r="K12394" s="6"/>
    </row>
    <row r="12395" spans="3:11" x14ac:dyDescent="0.25">
      <c r="C12395" s="6"/>
      <c r="G12395" s="6"/>
      <c r="K12395" s="6"/>
    </row>
    <row r="12396" spans="3:11" x14ac:dyDescent="0.25">
      <c r="C12396" s="6"/>
      <c r="G12396" s="6"/>
      <c r="K12396" s="6"/>
    </row>
    <row r="12397" spans="3:11" x14ac:dyDescent="0.25">
      <c r="C12397" s="6"/>
      <c r="G12397" s="6"/>
      <c r="K12397" s="6"/>
    </row>
    <row r="12398" spans="3:11" x14ac:dyDescent="0.25">
      <c r="C12398" s="6"/>
      <c r="G12398" s="6"/>
      <c r="K12398" s="6"/>
    </row>
    <row r="12399" spans="3:11" x14ac:dyDescent="0.25">
      <c r="C12399" s="6"/>
      <c r="G12399" s="6"/>
      <c r="K12399" s="6"/>
    </row>
    <row r="12400" spans="3:11" x14ac:dyDescent="0.25">
      <c r="C12400" s="6"/>
      <c r="G12400" s="6"/>
      <c r="K12400" s="6"/>
    </row>
    <row r="12401" spans="3:11" x14ac:dyDescent="0.25">
      <c r="C12401" s="6"/>
      <c r="G12401" s="6"/>
      <c r="K12401" s="6"/>
    </row>
    <row r="12402" spans="3:11" x14ac:dyDescent="0.25">
      <c r="C12402" s="6"/>
      <c r="G12402" s="6"/>
      <c r="K12402" s="6"/>
    </row>
    <row r="12403" spans="3:11" x14ac:dyDescent="0.25">
      <c r="C12403" s="6"/>
      <c r="G12403" s="6"/>
      <c r="K12403" s="6"/>
    </row>
    <row r="12404" spans="3:11" x14ac:dyDescent="0.25">
      <c r="C12404" s="6"/>
      <c r="G12404" s="6"/>
      <c r="K12404" s="6"/>
    </row>
    <row r="12405" spans="3:11" x14ac:dyDescent="0.25">
      <c r="C12405" s="6"/>
      <c r="G12405" s="6"/>
      <c r="K12405" s="6"/>
    </row>
    <row r="12406" spans="3:11" x14ac:dyDescent="0.25">
      <c r="C12406" s="6"/>
      <c r="G12406" s="6"/>
      <c r="K12406" s="6"/>
    </row>
    <row r="12407" spans="3:11" x14ac:dyDescent="0.25">
      <c r="C12407" s="6"/>
      <c r="G12407" s="6"/>
      <c r="K12407" s="6"/>
    </row>
    <row r="12408" spans="3:11" x14ac:dyDescent="0.25">
      <c r="C12408" s="6"/>
      <c r="G12408" s="6"/>
      <c r="K12408" s="6"/>
    </row>
    <row r="12409" spans="3:11" x14ac:dyDescent="0.25">
      <c r="C12409" s="6"/>
      <c r="G12409" s="6"/>
      <c r="K12409" s="6"/>
    </row>
    <row r="12410" spans="3:11" x14ac:dyDescent="0.25">
      <c r="C12410" s="6"/>
      <c r="G12410" s="6"/>
      <c r="K12410" s="6"/>
    </row>
    <row r="12411" spans="3:11" x14ac:dyDescent="0.25">
      <c r="C12411" s="6"/>
      <c r="G12411" s="6"/>
      <c r="K12411" s="6"/>
    </row>
    <row r="12412" spans="3:11" x14ac:dyDescent="0.25">
      <c r="C12412" s="6"/>
      <c r="G12412" s="6"/>
      <c r="K12412" s="6"/>
    </row>
    <row r="12413" spans="3:11" x14ac:dyDescent="0.25">
      <c r="C12413" s="6"/>
      <c r="G12413" s="6"/>
      <c r="K12413" s="6"/>
    </row>
    <row r="12414" spans="3:11" x14ac:dyDescent="0.25">
      <c r="C12414" s="6"/>
      <c r="G12414" s="6"/>
      <c r="K12414" s="6"/>
    </row>
    <row r="12415" spans="3:11" x14ac:dyDescent="0.25">
      <c r="C12415" s="6"/>
      <c r="G12415" s="6"/>
      <c r="K12415" s="6"/>
    </row>
    <row r="12416" spans="3:11" x14ac:dyDescent="0.25">
      <c r="C12416" s="6"/>
      <c r="G12416" s="6"/>
      <c r="K12416" s="6"/>
    </row>
    <row r="12417" spans="3:11" x14ac:dyDescent="0.25">
      <c r="C12417" s="6"/>
      <c r="G12417" s="6"/>
      <c r="K12417" s="6"/>
    </row>
    <row r="12418" spans="3:11" x14ac:dyDescent="0.25">
      <c r="C12418" s="6"/>
      <c r="G12418" s="6"/>
      <c r="K12418" s="6"/>
    </row>
    <row r="12419" spans="3:11" x14ac:dyDescent="0.25">
      <c r="C12419" s="6"/>
      <c r="G12419" s="6"/>
      <c r="K12419" s="6"/>
    </row>
    <row r="12420" spans="3:11" x14ac:dyDescent="0.25">
      <c r="C12420" s="6"/>
      <c r="G12420" s="6"/>
      <c r="K12420" s="6"/>
    </row>
    <row r="12421" spans="3:11" x14ac:dyDescent="0.25">
      <c r="C12421" s="6"/>
      <c r="G12421" s="6"/>
      <c r="K12421" s="6"/>
    </row>
    <row r="12422" spans="3:11" x14ac:dyDescent="0.25">
      <c r="C12422" s="6"/>
      <c r="G12422" s="6"/>
      <c r="K12422" s="6"/>
    </row>
    <row r="12423" spans="3:11" x14ac:dyDescent="0.25">
      <c r="C12423" s="6"/>
      <c r="G12423" s="6"/>
      <c r="K12423" s="6"/>
    </row>
    <row r="12424" spans="3:11" x14ac:dyDescent="0.25">
      <c r="C12424" s="6"/>
      <c r="G12424" s="6"/>
      <c r="K12424" s="6"/>
    </row>
    <row r="12425" spans="3:11" x14ac:dyDescent="0.25">
      <c r="C12425" s="6"/>
      <c r="G12425" s="6"/>
      <c r="K12425" s="6"/>
    </row>
    <row r="12426" spans="3:11" x14ac:dyDescent="0.25">
      <c r="C12426" s="6"/>
      <c r="G12426" s="6"/>
      <c r="K12426" s="6"/>
    </row>
    <row r="12427" spans="3:11" x14ac:dyDescent="0.25">
      <c r="C12427" s="6"/>
      <c r="G12427" s="6"/>
      <c r="K12427" s="6"/>
    </row>
    <row r="12428" spans="3:11" x14ac:dyDescent="0.25">
      <c r="C12428" s="6"/>
      <c r="G12428" s="6"/>
      <c r="K12428" s="6"/>
    </row>
    <row r="12429" spans="3:11" x14ac:dyDescent="0.25">
      <c r="C12429" s="6"/>
      <c r="G12429" s="6"/>
      <c r="K12429" s="6"/>
    </row>
    <row r="12430" spans="3:11" x14ac:dyDescent="0.25">
      <c r="C12430" s="6"/>
      <c r="G12430" s="6"/>
      <c r="K12430" s="6"/>
    </row>
    <row r="12431" spans="3:11" x14ac:dyDescent="0.25">
      <c r="C12431" s="6"/>
      <c r="G12431" s="6"/>
      <c r="K12431" s="6"/>
    </row>
    <row r="12432" spans="3:11" x14ac:dyDescent="0.25">
      <c r="C12432" s="6"/>
      <c r="G12432" s="6"/>
      <c r="K12432" s="6"/>
    </row>
    <row r="12433" spans="3:11" x14ac:dyDescent="0.25">
      <c r="C12433" s="6"/>
      <c r="G12433" s="6"/>
      <c r="K12433" s="6"/>
    </row>
    <row r="12434" spans="3:11" x14ac:dyDescent="0.25">
      <c r="C12434" s="6"/>
      <c r="G12434" s="6"/>
      <c r="K12434" s="6"/>
    </row>
    <row r="12435" spans="3:11" x14ac:dyDescent="0.25">
      <c r="C12435" s="6"/>
      <c r="G12435" s="6"/>
      <c r="K12435" s="6"/>
    </row>
    <row r="12436" spans="3:11" x14ac:dyDescent="0.25">
      <c r="C12436" s="6"/>
      <c r="G12436" s="6"/>
      <c r="K12436" s="6"/>
    </row>
    <row r="12437" spans="3:11" x14ac:dyDescent="0.25">
      <c r="C12437" s="6"/>
      <c r="G12437" s="6"/>
      <c r="K12437" s="6"/>
    </row>
    <row r="12438" spans="3:11" x14ac:dyDescent="0.25">
      <c r="C12438" s="6"/>
      <c r="G12438" s="6"/>
      <c r="K12438" s="6"/>
    </row>
    <row r="12439" spans="3:11" x14ac:dyDescent="0.25">
      <c r="C12439" s="6"/>
      <c r="G12439" s="6"/>
      <c r="K12439" s="6"/>
    </row>
    <row r="12440" spans="3:11" x14ac:dyDescent="0.25">
      <c r="C12440" s="6"/>
      <c r="G12440" s="6"/>
      <c r="K12440" s="6"/>
    </row>
    <row r="12441" spans="3:11" x14ac:dyDescent="0.25">
      <c r="C12441" s="6"/>
      <c r="G12441" s="6"/>
      <c r="K12441" s="6"/>
    </row>
    <row r="12442" spans="3:11" x14ac:dyDescent="0.25">
      <c r="C12442" s="6"/>
      <c r="G12442" s="6"/>
      <c r="K12442" s="6"/>
    </row>
    <row r="12443" spans="3:11" x14ac:dyDescent="0.25">
      <c r="C12443" s="6"/>
      <c r="G12443" s="6"/>
      <c r="K12443" s="6"/>
    </row>
    <row r="12444" spans="3:11" x14ac:dyDescent="0.25">
      <c r="C12444" s="6"/>
      <c r="G12444" s="6"/>
      <c r="K12444" s="6"/>
    </row>
    <row r="12445" spans="3:11" x14ac:dyDescent="0.25">
      <c r="C12445" s="6"/>
      <c r="G12445" s="6"/>
      <c r="K12445" s="6"/>
    </row>
    <row r="12446" spans="3:11" x14ac:dyDescent="0.25">
      <c r="C12446" s="6"/>
      <c r="G12446" s="6"/>
      <c r="K12446" s="6"/>
    </row>
    <row r="12447" spans="3:11" x14ac:dyDescent="0.25">
      <c r="C12447" s="6"/>
      <c r="G12447" s="6"/>
      <c r="K12447" s="6"/>
    </row>
    <row r="12448" spans="3:11" x14ac:dyDescent="0.25">
      <c r="C12448" s="6"/>
      <c r="G12448" s="6"/>
      <c r="K12448" s="6"/>
    </row>
    <row r="12449" spans="3:11" x14ac:dyDescent="0.25">
      <c r="C12449" s="6"/>
      <c r="G12449" s="6"/>
      <c r="K12449" s="6"/>
    </row>
    <row r="12450" spans="3:11" x14ac:dyDescent="0.25">
      <c r="C12450" s="6"/>
      <c r="G12450" s="6"/>
      <c r="K12450" s="6"/>
    </row>
    <row r="12451" spans="3:11" x14ac:dyDescent="0.25">
      <c r="C12451" s="6"/>
      <c r="G12451" s="6"/>
      <c r="K12451" s="6"/>
    </row>
    <row r="12452" spans="3:11" x14ac:dyDescent="0.25">
      <c r="C12452" s="6"/>
      <c r="G12452" s="6"/>
      <c r="K12452" s="6"/>
    </row>
    <row r="12453" spans="3:11" x14ac:dyDescent="0.25">
      <c r="C12453" s="6"/>
      <c r="G12453" s="6"/>
      <c r="K12453" s="6"/>
    </row>
    <row r="12454" spans="3:11" x14ac:dyDescent="0.25">
      <c r="C12454" s="6"/>
      <c r="G12454" s="6"/>
      <c r="K12454" s="6"/>
    </row>
    <row r="12455" spans="3:11" x14ac:dyDescent="0.25">
      <c r="C12455" s="6"/>
      <c r="G12455" s="6"/>
      <c r="K12455" s="6"/>
    </row>
    <row r="12456" spans="3:11" x14ac:dyDescent="0.25">
      <c r="C12456" s="6"/>
      <c r="G12456" s="6"/>
      <c r="K12456" s="6"/>
    </row>
    <row r="12457" spans="3:11" x14ac:dyDescent="0.25">
      <c r="C12457" s="6"/>
      <c r="G12457" s="6"/>
      <c r="K12457" s="6"/>
    </row>
    <row r="12458" spans="3:11" x14ac:dyDescent="0.25">
      <c r="C12458" s="6"/>
      <c r="G12458" s="6"/>
      <c r="K12458" s="6"/>
    </row>
    <row r="12459" spans="3:11" x14ac:dyDescent="0.25">
      <c r="C12459" s="6"/>
      <c r="G12459" s="6"/>
      <c r="K12459" s="6"/>
    </row>
    <row r="12460" spans="3:11" x14ac:dyDescent="0.25">
      <c r="C12460" s="6"/>
      <c r="G12460" s="6"/>
      <c r="K12460" s="6"/>
    </row>
    <row r="12461" spans="3:11" x14ac:dyDescent="0.25">
      <c r="C12461" s="6"/>
      <c r="G12461" s="6"/>
      <c r="K12461" s="6"/>
    </row>
    <row r="12462" spans="3:11" x14ac:dyDescent="0.25">
      <c r="C12462" s="6"/>
      <c r="G12462" s="6"/>
      <c r="K12462" s="6"/>
    </row>
    <row r="12463" spans="3:11" x14ac:dyDescent="0.25">
      <c r="C12463" s="6"/>
      <c r="G12463" s="6"/>
      <c r="K12463" s="6"/>
    </row>
    <row r="12464" spans="3:11" x14ac:dyDescent="0.25">
      <c r="C12464" s="6"/>
      <c r="G12464" s="6"/>
      <c r="K12464" s="6"/>
    </row>
    <row r="12465" spans="3:11" x14ac:dyDescent="0.25">
      <c r="C12465" s="6"/>
      <c r="G12465" s="6"/>
      <c r="K12465" s="6"/>
    </row>
    <row r="12466" spans="3:11" x14ac:dyDescent="0.25">
      <c r="C12466" s="6"/>
      <c r="G12466" s="6"/>
      <c r="K12466" s="6"/>
    </row>
    <row r="12467" spans="3:11" x14ac:dyDescent="0.25">
      <c r="C12467" s="6"/>
      <c r="G12467" s="6"/>
      <c r="K12467" s="6"/>
    </row>
    <row r="12468" spans="3:11" x14ac:dyDescent="0.25">
      <c r="C12468" s="6"/>
      <c r="G12468" s="6"/>
      <c r="K12468" s="6"/>
    </row>
    <row r="12469" spans="3:11" x14ac:dyDescent="0.25">
      <c r="C12469" s="6"/>
      <c r="G12469" s="6"/>
      <c r="K12469" s="6"/>
    </row>
    <row r="12470" spans="3:11" x14ac:dyDescent="0.25">
      <c r="C12470" s="6"/>
      <c r="G12470" s="6"/>
      <c r="K12470" s="6"/>
    </row>
    <row r="12471" spans="3:11" x14ac:dyDescent="0.25">
      <c r="C12471" s="6"/>
      <c r="G12471" s="6"/>
      <c r="K12471" s="6"/>
    </row>
    <row r="12472" spans="3:11" x14ac:dyDescent="0.25">
      <c r="C12472" s="6"/>
      <c r="G12472" s="6"/>
      <c r="K12472" s="6"/>
    </row>
    <row r="12473" spans="3:11" x14ac:dyDescent="0.25">
      <c r="C12473" s="6"/>
      <c r="G12473" s="6"/>
      <c r="K12473" s="6"/>
    </row>
    <row r="12474" spans="3:11" x14ac:dyDescent="0.25">
      <c r="C12474" s="6"/>
      <c r="G12474" s="6"/>
      <c r="K12474" s="6"/>
    </row>
    <row r="12475" spans="3:11" x14ac:dyDescent="0.25">
      <c r="C12475" s="6"/>
      <c r="G12475" s="6"/>
      <c r="K12475" s="6"/>
    </row>
    <row r="12476" spans="3:11" x14ac:dyDescent="0.25">
      <c r="C12476" s="6"/>
      <c r="G12476" s="6"/>
      <c r="K12476" s="6"/>
    </row>
    <row r="12477" spans="3:11" x14ac:dyDescent="0.25">
      <c r="C12477" s="6"/>
      <c r="G12477" s="6"/>
      <c r="K12477" s="6"/>
    </row>
    <row r="12478" spans="3:11" x14ac:dyDescent="0.25">
      <c r="C12478" s="6"/>
      <c r="G12478" s="6"/>
      <c r="K12478" s="6"/>
    </row>
    <row r="12479" spans="3:11" x14ac:dyDescent="0.25">
      <c r="C12479" s="6"/>
      <c r="G12479" s="6"/>
      <c r="K12479" s="6"/>
    </row>
    <row r="12480" spans="3:11" x14ac:dyDescent="0.25">
      <c r="C12480" s="6"/>
      <c r="G12480" s="6"/>
      <c r="K12480" s="6"/>
    </row>
    <row r="12481" spans="3:11" x14ac:dyDescent="0.25">
      <c r="C12481" s="6"/>
      <c r="G12481" s="6"/>
      <c r="K12481" s="6"/>
    </row>
    <row r="12482" spans="3:11" x14ac:dyDescent="0.25">
      <c r="C12482" s="6"/>
      <c r="G12482" s="6"/>
      <c r="K12482" s="6"/>
    </row>
    <row r="12483" spans="3:11" x14ac:dyDescent="0.25">
      <c r="C12483" s="6"/>
      <c r="G12483" s="6"/>
      <c r="K12483" s="6"/>
    </row>
    <row r="12484" spans="3:11" x14ac:dyDescent="0.25">
      <c r="C12484" s="6"/>
      <c r="G12484" s="6"/>
      <c r="K12484" s="6"/>
    </row>
    <row r="12485" spans="3:11" x14ac:dyDescent="0.25">
      <c r="C12485" s="6"/>
      <c r="G12485" s="6"/>
      <c r="K12485" s="6"/>
    </row>
    <row r="12486" spans="3:11" x14ac:dyDescent="0.25">
      <c r="C12486" s="6"/>
      <c r="G12486" s="6"/>
      <c r="K12486" s="6"/>
    </row>
    <row r="12487" spans="3:11" x14ac:dyDescent="0.25">
      <c r="C12487" s="6"/>
      <c r="G12487" s="6"/>
      <c r="K12487" s="6"/>
    </row>
    <row r="12488" spans="3:11" x14ac:dyDescent="0.25">
      <c r="C12488" s="6"/>
      <c r="G12488" s="6"/>
      <c r="K12488" s="6"/>
    </row>
    <row r="12489" spans="3:11" x14ac:dyDescent="0.25">
      <c r="C12489" s="6"/>
      <c r="G12489" s="6"/>
      <c r="K12489" s="6"/>
    </row>
    <row r="12490" spans="3:11" x14ac:dyDescent="0.25">
      <c r="C12490" s="6"/>
      <c r="G12490" s="6"/>
      <c r="K12490" s="6"/>
    </row>
    <row r="12491" spans="3:11" x14ac:dyDescent="0.25">
      <c r="C12491" s="6"/>
      <c r="G12491" s="6"/>
      <c r="K12491" s="6"/>
    </row>
    <row r="12492" spans="3:11" x14ac:dyDescent="0.25">
      <c r="C12492" s="6"/>
      <c r="G12492" s="6"/>
      <c r="K12492" s="6"/>
    </row>
    <row r="12493" spans="3:11" x14ac:dyDescent="0.25">
      <c r="C12493" s="6"/>
      <c r="G12493" s="6"/>
      <c r="K12493" s="6"/>
    </row>
    <row r="12494" spans="3:11" x14ac:dyDescent="0.25">
      <c r="C12494" s="6"/>
      <c r="G12494" s="6"/>
      <c r="K12494" s="6"/>
    </row>
    <row r="12495" spans="3:11" x14ac:dyDescent="0.25">
      <c r="C12495" s="6"/>
      <c r="G12495" s="6"/>
      <c r="K12495" s="6"/>
    </row>
    <row r="12496" spans="3:11" x14ac:dyDescent="0.25">
      <c r="C12496" s="6"/>
      <c r="G12496" s="6"/>
      <c r="K12496" s="6"/>
    </row>
    <row r="12497" spans="3:11" x14ac:dyDescent="0.25">
      <c r="C12497" s="6"/>
      <c r="G12497" s="6"/>
      <c r="K12497" s="6"/>
    </row>
    <row r="12498" spans="3:11" x14ac:dyDescent="0.25">
      <c r="C12498" s="6"/>
      <c r="G12498" s="6"/>
      <c r="K12498" s="6"/>
    </row>
    <row r="12499" spans="3:11" x14ac:dyDescent="0.25">
      <c r="C12499" s="6"/>
      <c r="G12499" s="6"/>
      <c r="K12499" s="6"/>
    </row>
    <row r="12500" spans="3:11" x14ac:dyDescent="0.25">
      <c r="C12500" s="6"/>
      <c r="G12500" s="6"/>
      <c r="K12500" s="6"/>
    </row>
    <row r="12501" spans="3:11" x14ac:dyDescent="0.25">
      <c r="C12501" s="6"/>
      <c r="G12501" s="6"/>
      <c r="K12501" s="6"/>
    </row>
    <row r="12502" spans="3:11" x14ac:dyDescent="0.25">
      <c r="C12502" s="6"/>
      <c r="G12502" s="6"/>
      <c r="K12502" s="6"/>
    </row>
    <row r="12503" spans="3:11" x14ac:dyDescent="0.25">
      <c r="C12503" s="6"/>
      <c r="G12503" s="6"/>
      <c r="K12503" s="6"/>
    </row>
    <row r="12504" spans="3:11" x14ac:dyDescent="0.25">
      <c r="C12504" s="6"/>
      <c r="G12504" s="6"/>
      <c r="K12504" s="6"/>
    </row>
    <row r="12505" spans="3:11" x14ac:dyDescent="0.25">
      <c r="C12505" s="6"/>
      <c r="G12505" s="6"/>
      <c r="K12505" s="6"/>
    </row>
    <row r="12506" spans="3:11" x14ac:dyDescent="0.25">
      <c r="C12506" s="6"/>
      <c r="G12506" s="6"/>
      <c r="K12506" s="6"/>
    </row>
    <row r="12507" spans="3:11" x14ac:dyDescent="0.25">
      <c r="C12507" s="6"/>
      <c r="G12507" s="6"/>
      <c r="K12507" s="6"/>
    </row>
    <row r="12508" spans="3:11" x14ac:dyDescent="0.25">
      <c r="C12508" s="6"/>
      <c r="G12508" s="6"/>
      <c r="K12508" s="6"/>
    </row>
    <row r="12509" spans="3:11" x14ac:dyDescent="0.25">
      <c r="C12509" s="6"/>
      <c r="G12509" s="6"/>
      <c r="K12509" s="6"/>
    </row>
    <row r="12510" spans="3:11" x14ac:dyDescent="0.25">
      <c r="C12510" s="6"/>
      <c r="G12510" s="6"/>
      <c r="K12510" s="6"/>
    </row>
    <row r="12511" spans="3:11" x14ac:dyDescent="0.25">
      <c r="C12511" s="6"/>
      <c r="G12511" s="6"/>
      <c r="K12511" s="6"/>
    </row>
    <row r="12512" spans="3:11" x14ac:dyDescent="0.25">
      <c r="C12512" s="6"/>
      <c r="G12512" s="6"/>
      <c r="K12512" s="6"/>
    </row>
    <row r="12513" spans="3:11" x14ac:dyDescent="0.25">
      <c r="C12513" s="6"/>
      <c r="G12513" s="6"/>
      <c r="K12513" s="6"/>
    </row>
    <row r="12514" spans="3:11" x14ac:dyDescent="0.25">
      <c r="C12514" s="6"/>
      <c r="G12514" s="6"/>
      <c r="K12514" s="6"/>
    </row>
    <row r="12515" spans="3:11" x14ac:dyDescent="0.25">
      <c r="C12515" s="6"/>
      <c r="G12515" s="6"/>
      <c r="K12515" s="6"/>
    </row>
    <row r="12516" spans="3:11" x14ac:dyDescent="0.25">
      <c r="C12516" s="6"/>
      <c r="G12516" s="6"/>
      <c r="K12516" s="6"/>
    </row>
    <row r="12517" spans="3:11" x14ac:dyDescent="0.25">
      <c r="C12517" s="6"/>
      <c r="G12517" s="6"/>
      <c r="K12517" s="6"/>
    </row>
    <row r="12518" spans="3:11" x14ac:dyDescent="0.25">
      <c r="C12518" s="6"/>
      <c r="G12518" s="6"/>
      <c r="K12518" s="6"/>
    </row>
    <row r="12519" spans="3:11" x14ac:dyDescent="0.25">
      <c r="C12519" s="6"/>
      <c r="G12519" s="6"/>
      <c r="K12519" s="6"/>
    </row>
    <row r="12520" spans="3:11" x14ac:dyDescent="0.25">
      <c r="C12520" s="6"/>
      <c r="G12520" s="6"/>
      <c r="K12520" s="6"/>
    </row>
    <row r="12521" spans="3:11" x14ac:dyDescent="0.25">
      <c r="C12521" s="6"/>
      <c r="G12521" s="6"/>
      <c r="K12521" s="6"/>
    </row>
    <row r="12522" spans="3:11" x14ac:dyDescent="0.25">
      <c r="C12522" s="6"/>
      <c r="G12522" s="6"/>
      <c r="K12522" s="6"/>
    </row>
    <row r="12523" spans="3:11" x14ac:dyDescent="0.25">
      <c r="C12523" s="6"/>
      <c r="G12523" s="6"/>
      <c r="K12523" s="6"/>
    </row>
    <row r="12524" spans="3:11" x14ac:dyDescent="0.25">
      <c r="C12524" s="6"/>
      <c r="G12524" s="6"/>
      <c r="K12524" s="6"/>
    </row>
    <row r="12525" spans="3:11" x14ac:dyDescent="0.25">
      <c r="C12525" s="6"/>
      <c r="G12525" s="6"/>
      <c r="K12525" s="6"/>
    </row>
    <row r="12526" spans="3:11" x14ac:dyDescent="0.25">
      <c r="C12526" s="6"/>
      <c r="G12526" s="6"/>
      <c r="K12526" s="6"/>
    </row>
    <row r="12527" spans="3:11" x14ac:dyDescent="0.25">
      <c r="C12527" s="6"/>
      <c r="G12527" s="6"/>
      <c r="K12527" s="6"/>
    </row>
    <row r="12528" spans="3:11" x14ac:dyDescent="0.25">
      <c r="C12528" s="6"/>
      <c r="G12528" s="6"/>
      <c r="K12528" s="6"/>
    </row>
    <row r="12529" spans="3:11" x14ac:dyDescent="0.25">
      <c r="C12529" s="6"/>
      <c r="G12529" s="6"/>
      <c r="K12529" s="6"/>
    </row>
    <row r="12530" spans="3:11" x14ac:dyDescent="0.25">
      <c r="C12530" s="6"/>
      <c r="G12530" s="6"/>
      <c r="K12530" s="6"/>
    </row>
    <row r="12531" spans="3:11" x14ac:dyDescent="0.25">
      <c r="C12531" s="6"/>
      <c r="G12531" s="6"/>
      <c r="K12531" s="6"/>
    </row>
    <row r="12532" spans="3:11" x14ac:dyDescent="0.25">
      <c r="C12532" s="6"/>
      <c r="G12532" s="6"/>
      <c r="K12532" s="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9" r:id="rId4" name="CommandButton3">
          <controlPr defaultSize="0" autoLine="0" autoPict="0" r:id="rId5">
            <anchor moveWithCells="1">
              <from>
                <xdr:col>4</xdr:col>
                <xdr:colOff>0</xdr:colOff>
                <xdr:row>29</xdr:row>
                <xdr:rowOff>161925</xdr:rowOff>
              </from>
              <to>
                <xdr:col>6</xdr:col>
                <xdr:colOff>1057275</xdr:colOff>
                <xdr:row>31</xdr:row>
                <xdr:rowOff>95250</xdr:rowOff>
              </to>
            </anchor>
          </controlPr>
        </control>
      </mc:Choice>
      <mc:Fallback>
        <control shapeId="1069" r:id="rId4" name="CommandButton3"/>
      </mc:Fallback>
    </mc:AlternateContent>
    <mc:AlternateContent xmlns:mc="http://schemas.openxmlformats.org/markup-compatibility/2006">
      <mc:Choice Requires="x14">
        <control shapeId="1065" r:id="rId6" name="CommandButton2">
          <controlPr defaultSize="0" autoLine="0" autoPict="0" r:id="rId7">
            <anchor moveWithCells="1">
              <from>
                <xdr:col>3</xdr:col>
                <xdr:colOff>628650</xdr:colOff>
                <xdr:row>29</xdr:row>
                <xdr:rowOff>171450</xdr:rowOff>
              </from>
              <to>
                <xdr:col>3</xdr:col>
                <xdr:colOff>2286000</xdr:colOff>
                <xdr:row>31</xdr:row>
                <xdr:rowOff>95250</xdr:rowOff>
              </to>
            </anchor>
          </controlPr>
        </control>
      </mc:Choice>
      <mc:Fallback>
        <control shapeId="1065" r:id="rId6" name="CommandButton2"/>
      </mc:Fallback>
    </mc:AlternateContent>
    <mc:AlternateContent xmlns:mc="http://schemas.openxmlformats.org/markup-compatibility/2006">
      <mc:Choice Requires="x14">
        <control shapeId="1057" r:id="rId8" name="CommandButton1">
          <controlPr defaultSize="0" autoLine="0" r:id="rId9">
            <anchor moveWithCells="1">
              <from>
                <xdr:col>2</xdr:col>
                <xdr:colOff>19050</xdr:colOff>
                <xdr:row>29</xdr:row>
                <xdr:rowOff>180975</xdr:rowOff>
              </from>
              <to>
                <xdr:col>3</xdr:col>
                <xdr:colOff>0</xdr:colOff>
                <xdr:row>31</xdr:row>
                <xdr:rowOff>85725</xdr:rowOff>
              </to>
            </anchor>
          </controlPr>
        </control>
      </mc:Choice>
      <mc:Fallback>
        <control shapeId="1057" r:id="rId8" name="CommandButton1"/>
      </mc:Fallback>
    </mc:AlternateContent>
    <mc:AlternateContent xmlns:mc="http://schemas.openxmlformats.org/markup-compatibility/2006">
      <mc:Choice Requires="x14">
        <control shapeId="1061" r:id="rId10" name="TextBox1">
          <controlPr defaultSize="0" autoLine="0" autoPict="0" r:id="rId11">
            <anchor moveWithCells="1">
              <from>
                <xdr:col>14</xdr:col>
                <xdr:colOff>400050</xdr:colOff>
                <xdr:row>17</xdr:row>
                <xdr:rowOff>76200</xdr:rowOff>
              </from>
              <to>
                <xdr:col>15</xdr:col>
                <xdr:colOff>1485900</xdr:colOff>
                <xdr:row>30</xdr:row>
                <xdr:rowOff>57150</xdr:rowOff>
              </to>
            </anchor>
          </controlPr>
        </control>
      </mc:Choice>
      <mc:Fallback>
        <control shapeId="1061" r:id="rId10" name="Text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6">
        <x14:dataValidation type="list" allowBlank="1" showInputMessage="1" showErrorMessage="1" xr:uid="{00000000-0002-0000-0000-000001000000}">
          <x14:formula1>
            <xm:f>Lookups!$A$2:$A$6</xm:f>
          </x14:formula1>
          <xm:sqref>D11</xm:sqref>
        </x14:dataValidation>
        <x14:dataValidation type="list" allowBlank="1" showInputMessage="1" showErrorMessage="1" xr:uid="{00000000-0002-0000-0000-000005000000}">
          <x14:formula1>
            <xm:f>Lookups!$L$2:$L$3</xm:f>
          </x14:formula1>
          <xm:sqref>D13</xm:sqref>
        </x14:dataValidation>
        <x14:dataValidation type="list" allowBlank="1" showInputMessage="1" showErrorMessage="1" xr:uid="{00000000-0002-0000-0000-000006000000}">
          <x14:formula1>
            <xm:f>Lookups!$G$2:$G$5</xm:f>
          </x14:formula1>
          <xm:sqref>L28</xm:sqref>
        </x14:dataValidation>
        <x14:dataValidation type="list" allowBlank="1" showInputMessage="1" showErrorMessage="1" xr:uid="{00000000-0002-0000-0000-000007000000}">
          <x14:formula1>
            <xm:f>Lookups!$I$2:$I$3</xm:f>
          </x14:formula1>
          <xm:sqref>H7</xm:sqref>
        </x14:dataValidation>
        <x14:dataValidation type="list" allowBlank="1" showInputMessage="1" showErrorMessage="1" xr:uid="{00000000-0002-0000-0000-000008000000}">
          <x14:formula1>
            <xm:f>Lookups!$J$2:$J$3</xm:f>
          </x14:formula1>
          <xm:sqref>H9 L30</xm:sqref>
        </x14:dataValidation>
        <x14:dataValidation type="list" allowBlank="1" showInputMessage="1" showErrorMessage="1" xr:uid="{00000000-0002-0000-0000-000009000000}">
          <x14:formula1>
            <xm:f>Lookups!$H$2:$H$4</xm:f>
          </x14:formula1>
          <xm:sqref>H17</xm:sqref>
        </x14:dataValidation>
        <x14:dataValidation type="list" allowBlank="1" showInputMessage="1" showErrorMessage="1" xr:uid="{00000000-0002-0000-0000-00000A000000}">
          <x14:formula1>
            <xm:f>Lookups!$K$2:$K$5</xm:f>
          </x14:formula1>
          <xm:sqref>H25</xm:sqref>
        </x14:dataValidation>
        <x14:dataValidation type="list" allowBlank="1" showInputMessage="1" showErrorMessage="1" xr:uid="{00000000-0002-0000-0000-00000B000000}">
          <x14:formula1>
            <xm:f>Lookups!$N$2:$N$3</xm:f>
          </x14:formula1>
          <xm:sqref>L5</xm:sqref>
        </x14:dataValidation>
        <x14:dataValidation type="list" allowBlank="1" showInputMessage="1" showErrorMessage="1" xr:uid="{00000000-0002-0000-0000-00000C000000}">
          <x14:formula1>
            <xm:f>Lookups!$F$2:$F$3</xm:f>
          </x14:formula1>
          <xm:sqref>D27</xm:sqref>
        </x14:dataValidation>
        <x14:dataValidation type="list" allowBlank="1" showInputMessage="1" showErrorMessage="1" xr:uid="{00000000-0002-0000-0000-00000D000000}">
          <x14:formula1>
            <xm:f>Lookups!$M$2:$M$3</xm:f>
          </x14:formula1>
          <xm:sqref>H5</xm:sqref>
        </x14:dataValidation>
        <x14:dataValidation type="list" allowBlank="1" showInputMessage="1" showErrorMessage="1" xr:uid="{00000000-0002-0000-0000-00000E000000}">
          <x14:formula1>
            <xm:f>Lookups!$O$2:$O$3</xm:f>
          </x14:formula1>
          <xm:sqref>L24 L22 D7</xm:sqref>
        </x14:dataValidation>
        <x14:dataValidation type="list" allowBlank="1" showInputMessage="1" showErrorMessage="1" xr:uid="{00000000-0002-0000-0000-00000F000000}">
          <x14:formula1>
            <xm:f>Lookups!$P$2:$P$10</xm:f>
          </x14:formula1>
          <xm:sqref>D9</xm:sqref>
        </x14:dataValidation>
        <x14:dataValidation type="list" allowBlank="1" showInputMessage="1" showErrorMessage="1" xr:uid="{00000000-0002-0000-0000-000003000000}">
          <x14:formula1>
            <xm:f>AzurePubOffers!$B:$B</xm:f>
          </x14:formula1>
          <xm:sqref>D19</xm:sqref>
        </x14:dataValidation>
        <x14:dataValidation type="list" allowBlank="1" showInputMessage="1" showErrorMessage="1" xr:uid="{00000000-0002-0000-0000-000004000000}">
          <x14:formula1>
            <xm:f>AzureImageSKU!$B:$B</xm:f>
          </x14:formula1>
          <xm:sqref>D21</xm:sqref>
        </x14:dataValidation>
        <x14:dataValidation type="list" allowBlank="1" showInputMessage="1" showErrorMessage="1" xr:uid="{6B455AF0-04D6-471C-A55E-B9CC529F9C7D}">
          <x14:formula1>
            <xm:f>Lookups!$Q$2:$Q$3</xm:f>
          </x14:formula1>
          <xm:sqref>L13</xm:sqref>
        </x14:dataValidation>
        <x14:dataValidation type="list" allowBlank="1" showInputMessage="1" showErrorMessage="1" xr:uid="{EF15205A-A7AE-4A7E-8F33-FA3A13CB6735}">
          <x14:formula1>
            <xm:f>Lookups!$R$2:$R$3</xm:f>
          </x14:formula1>
          <xm:sqref>H21</xm:sqref>
        </x14:dataValidation>
        <x14:dataValidation type="list" allowBlank="1" showInputMessage="1" showErrorMessage="1" xr:uid="{D4890D1D-72A6-4E89-8110-2959EF5B3FD7}">
          <x14:formula1>
            <xm:f>Lookups!$S$2:$S$6</xm:f>
          </x14:formula1>
          <xm:sqref>H23</xm:sqref>
        </x14:dataValidation>
        <x14:dataValidation type="list" allowBlank="1" showInputMessage="1" showErrorMessage="1" xr:uid="{B0C98653-5D5A-4589-A472-F2DEAF9E86E1}">
          <x14:formula1>
            <xm:f>Lookups!$H$2:$H$3</xm:f>
          </x14:formula1>
          <xm:sqref>P5 P9</xm:sqref>
        </x14:dataValidation>
        <x14:dataValidation type="list" allowBlank="1" showInputMessage="1" showErrorMessage="1" xr:uid="{026D05B4-D841-45C4-A936-5C5FA217F0E3}">
          <x14:formula1>
            <xm:f>Lookups!$T$2:$T$3</xm:f>
          </x14:formula1>
          <xm:sqref>L26</xm:sqref>
        </x14:dataValidation>
        <x14:dataValidation type="list" allowBlank="1" showInputMessage="1" showErrorMessage="1" xr:uid="{BD8F30F1-FAB3-4075-9324-059469F08826}">
          <x14:formula1>
            <xm:f>Lookups!$U$2:$U$3</xm:f>
          </x14:formula1>
          <xm:sqref>P13</xm:sqref>
        </x14:dataValidation>
        <x14:dataValidation type="list" allowBlank="1" showInputMessage="1" showErrorMessage="1" xr:uid="{00000000-0002-0000-0000-000002000000}">
          <x14:formula1>
            <xm:f>AzureVMSize!$B$2:$B$286</xm:f>
          </x14:formula1>
          <xm:sqref>D25</xm:sqref>
        </x14:dataValidation>
        <x14:dataValidation type="list" allowBlank="1" showInputMessage="1" showErrorMessage="1" xr:uid="{FA496709-5269-48B9-BD2B-9365B323B078}">
          <x14:formula1>
            <xm:f>vNetLookup!$B$2:$B$34</xm:f>
          </x14:formula1>
          <xm:sqref>L7</xm:sqref>
        </x14:dataValidation>
        <x14:dataValidation type="list" allowBlank="1" showInputMessage="1" showErrorMessage="1" xr:uid="{708419C3-8D00-4F45-84AB-DE73F0383863}">
          <x14:formula1>
            <xm:f>SubnetID!$B$2:$B$198</xm:f>
          </x14:formula1>
          <xm:sqref>L9</xm:sqref>
        </x14:dataValidation>
        <x14:dataValidation type="list" allowBlank="1" showInputMessage="1" showErrorMessage="1" xr:uid="{EEFB2DED-6C38-49AB-99B0-DA3F9080A6C5}">
          <x14:formula1>
            <xm:f>SubnetID!$F:$F</xm:f>
          </x14:formula1>
          <xm:sqref>L17</xm:sqref>
        </x14:dataValidation>
        <x14:dataValidation type="list" allowBlank="1" showInputMessage="1" showErrorMessage="1" xr:uid="{00000000-0002-0000-0000-000000000000}">
          <x14:formula1>
            <xm:f>AzurePublishers!$B$2:$B$657</xm:f>
          </x14:formula1>
          <xm:sqref>D17</xm:sqref>
        </x14:dataValidation>
        <x14:dataValidation type="list" allowBlank="1" showInputMessage="1" showErrorMessage="1" xr:uid="{00000000-0002-0000-0000-000010000000}">
          <x14:formula1>
            <xm:f>AzureVMImage!$B2:$B22</xm:f>
          </x14:formula1>
          <xm:sqref>D23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Z2"/>
  <sheetViews>
    <sheetView topLeftCell="AV1" workbookViewId="0">
      <selection activeCell="AV2" sqref="A2:XFD2"/>
    </sheetView>
  </sheetViews>
  <sheetFormatPr defaultRowHeight="15" x14ac:dyDescent="0.25"/>
  <cols>
    <col min="1" max="1" width="27.7109375" customWidth="1"/>
    <col min="2" max="2" width="20.85546875" customWidth="1"/>
    <col min="3" max="3" width="25.28515625" customWidth="1"/>
    <col min="4" max="4" width="25.140625" customWidth="1"/>
    <col min="5" max="5" width="21.28515625" customWidth="1"/>
    <col min="6" max="6" width="19.7109375" bestFit="1" customWidth="1"/>
    <col min="7" max="7" width="23.85546875" bestFit="1" customWidth="1"/>
    <col min="8" max="8" width="15.140625" bestFit="1" customWidth="1"/>
    <col min="9" max="9" width="16" bestFit="1" customWidth="1"/>
    <col min="10" max="10" width="18.7109375" bestFit="1" customWidth="1"/>
    <col min="11" max="11" width="24.28515625" customWidth="1"/>
    <col min="12" max="12" width="19.7109375" bestFit="1" customWidth="1"/>
    <col min="13" max="13" width="22.7109375" customWidth="1"/>
    <col min="14" max="14" width="22.28515625" customWidth="1"/>
    <col min="15" max="15" width="23" customWidth="1"/>
    <col min="16" max="17" width="21.7109375" customWidth="1"/>
    <col min="18" max="18" width="19.5703125" bestFit="1" customWidth="1"/>
    <col min="19" max="19" width="19.140625" bestFit="1" customWidth="1"/>
    <col min="20" max="20" width="40.85546875" bestFit="1" customWidth="1"/>
    <col min="21" max="21" width="38.85546875" bestFit="1" customWidth="1"/>
    <col min="22" max="22" width="25.140625" customWidth="1"/>
    <col min="23" max="23" width="18.42578125" customWidth="1"/>
    <col min="24" max="24" width="40.85546875" customWidth="1"/>
    <col min="25" max="25" width="63.42578125" customWidth="1"/>
    <col min="26" max="26" width="32" customWidth="1"/>
    <col min="27" max="27" width="22.140625" bestFit="1" customWidth="1"/>
    <col min="28" max="28" width="34.42578125" customWidth="1"/>
    <col min="29" max="33" width="26.85546875" customWidth="1"/>
    <col min="34" max="34" width="20.7109375" customWidth="1"/>
    <col min="35" max="35" width="25.5703125" bestFit="1" customWidth="1"/>
    <col min="36" max="37" width="18.42578125" bestFit="1" customWidth="1"/>
    <col min="38" max="38" width="26.85546875" customWidth="1"/>
    <col min="39" max="39" width="63.85546875" customWidth="1"/>
    <col min="40" max="40" width="16.7109375" bestFit="1" customWidth="1"/>
    <col min="41" max="41" width="25.28515625" bestFit="1" customWidth="1"/>
    <col min="42" max="42" width="16.42578125" bestFit="1" customWidth="1"/>
    <col min="43" max="43" width="20.85546875" bestFit="1" customWidth="1"/>
    <col min="44" max="44" width="30.85546875" customWidth="1"/>
    <col min="45" max="45" width="15.140625" bestFit="1" customWidth="1"/>
    <col min="46" max="46" width="32.7109375" customWidth="1"/>
    <col min="47" max="47" width="27" bestFit="1" customWidth="1"/>
    <col min="48" max="48" width="29.7109375" bestFit="1" customWidth="1"/>
    <col min="49" max="49" width="36.5703125" bestFit="1" customWidth="1"/>
    <col min="50" max="50" width="27" bestFit="1" customWidth="1"/>
    <col min="51" max="51" width="24.28515625" bestFit="1" customWidth="1"/>
    <col min="52" max="52" width="45" customWidth="1"/>
  </cols>
  <sheetData>
    <row r="1" spans="1:52" s="2" customFormat="1" x14ac:dyDescent="0.25">
      <c r="A1" s="2" t="s">
        <v>800</v>
      </c>
      <c r="B1" s="2" t="s">
        <v>794</v>
      </c>
      <c r="C1" s="2" t="s">
        <v>962</v>
      </c>
      <c r="D1" s="2" t="s">
        <v>829</v>
      </c>
      <c r="E1" s="2" t="s">
        <v>828</v>
      </c>
      <c r="F1" s="2" t="s">
        <v>827</v>
      </c>
      <c r="G1" s="2" t="s">
        <v>819</v>
      </c>
      <c r="H1" s="2" t="s">
        <v>820</v>
      </c>
      <c r="I1" s="2" t="s">
        <v>822</v>
      </c>
      <c r="J1" s="2" t="s">
        <v>821</v>
      </c>
      <c r="K1" s="2" t="s">
        <v>801</v>
      </c>
      <c r="L1" s="2" t="s">
        <v>0</v>
      </c>
      <c r="M1" s="2" t="s">
        <v>963</v>
      </c>
      <c r="N1" s="2" t="s">
        <v>825</v>
      </c>
      <c r="O1" s="2" t="s">
        <v>961</v>
      </c>
      <c r="P1" s="2" t="s">
        <v>8</v>
      </c>
      <c r="Q1" s="2" t="s">
        <v>839</v>
      </c>
      <c r="R1" s="2" t="s">
        <v>796</v>
      </c>
      <c r="S1" s="2" t="s">
        <v>807</v>
      </c>
      <c r="T1" s="2" t="s">
        <v>809</v>
      </c>
      <c r="U1" s="2" t="s">
        <v>808</v>
      </c>
      <c r="V1" s="2" t="s">
        <v>22</v>
      </c>
      <c r="W1" s="2" t="s">
        <v>795</v>
      </c>
      <c r="X1" s="2" t="s">
        <v>803</v>
      </c>
      <c r="Y1" s="2" t="s">
        <v>810</v>
      </c>
      <c r="Z1" s="2" t="s">
        <v>805</v>
      </c>
      <c r="AA1" s="2" t="s">
        <v>826</v>
      </c>
      <c r="AB1" s="2" t="s">
        <v>804</v>
      </c>
      <c r="AC1" s="2" t="s">
        <v>1015</v>
      </c>
      <c r="AD1" s="2" t="s">
        <v>845</v>
      </c>
      <c r="AE1" s="2" t="s">
        <v>844</v>
      </c>
      <c r="AF1" s="2" t="s">
        <v>6</v>
      </c>
      <c r="AG1" s="2" t="s">
        <v>21</v>
      </c>
      <c r="AH1" s="2" t="s">
        <v>823</v>
      </c>
      <c r="AI1" s="2" t="s">
        <v>824</v>
      </c>
      <c r="AJ1" s="2" t="s">
        <v>812</v>
      </c>
      <c r="AK1" s="2" t="s">
        <v>813</v>
      </c>
      <c r="AL1" s="2" t="s">
        <v>814</v>
      </c>
      <c r="AM1" s="2" t="s">
        <v>815</v>
      </c>
      <c r="AN1" s="2" t="s">
        <v>798</v>
      </c>
      <c r="AO1" s="2" t="s">
        <v>799</v>
      </c>
      <c r="AP1" s="2" t="s">
        <v>797</v>
      </c>
      <c r="AQ1" s="2" t="s">
        <v>811</v>
      </c>
      <c r="AR1" s="2" t="s">
        <v>802</v>
      </c>
      <c r="AS1" s="2" t="s">
        <v>806</v>
      </c>
      <c r="AT1" s="2" t="s">
        <v>959</v>
      </c>
      <c r="AU1" s="2" t="s">
        <v>1017</v>
      </c>
      <c r="AV1" s="2" t="s">
        <v>960</v>
      </c>
      <c r="AW1" s="2" t="s">
        <v>947</v>
      </c>
      <c r="AX1" s="2" t="s">
        <v>958</v>
      </c>
      <c r="AY1" s="2" t="s">
        <v>1018</v>
      </c>
      <c r="AZ1" s="2" t="s">
        <v>953</v>
      </c>
    </row>
    <row r="2" spans="1:52" x14ac:dyDescent="0.25">
      <c r="A2" t="s">
        <v>765</v>
      </c>
      <c r="B2" t="s">
        <v>773</v>
      </c>
      <c r="C2" t="s">
        <v>848</v>
      </c>
      <c r="D2" t="s">
        <v>951</v>
      </c>
      <c r="E2" t="s">
        <v>833</v>
      </c>
      <c r="F2" t="s">
        <v>1008</v>
      </c>
      <c r="G2" t="s">
        <v>468</v>
      </c>
      <c r="H2" t="s">
        <v>724</v>
      </c>
      <c r="I2" t="s">
        <v>732</v>
      </c>
      <c r="J2" t="s">
        <v>741</v>
      </c>
      <c r="K2" t="s">
        <v>83</v>
      </c>
      <c r="L2" t="s">
        <v>766</v>
      </c>
      <c r="N2" t="s">
        <v>773</v>
      </c>
      <c r="O2" t="s">
        <v>10</v>
      </c>
      <c r="P2" t="s">
        <v>774</v>
      </c>
      <c r="Q2" t="s">
        <v>1009</v>
      </c>
      <c r="R2" t="s">
        <v>774</v>
      </c>
      <c r="S2" t="s">
        <v>1010</v>
      </c>
      <c r="T2">
        <v>2</v>
      </c>
      <c r="U2">
        <v>2</v>
      </c>
      <c r="V2" t="s">
        <v>779</v>
      </c>
      <c r="W2" t="s">
        <v>833</v>
      </c>
      <c r="X2" t="s">
        <v>984</v>
      </c>
      <c r="Y2" t="s">
        <v>1001</v>
      </c>
      <c r="Z2" t="s">
        <v>1011</v>
      </c>
      <c r="AA2" t="s">
        <v>934</v>
      </c>
      <c r="AB2" t="s">
        <v>1012</v>
      </c>
      <c r="AC2" t="s">
        <v>987</v>
      </c>
      <c r="AD2" t="s">
        <v>773</v>
      </c>
      <c r="AE2" t="s">
        <v>773</v>
      </c>
      <c r="AF2" t="s">
        <v>991</v>
      </c>
      <c r="AG2" t="s">
        <v>771</v>
      </c>
      <c r="AH2" t="s">
        <v>774</v>
      </c>
      <c r="AI2" t="s">
        <v>1735</v>
      </c>
      <c r="AJ2" t="s">
        <v>1761</v>
      </c>
      <c r="AK2" t="s">
        <v>1763</v>
      </c>
      <c r="AL2" t="s">
        <v>952</v>
      </c>
      <c r="AM2" t="s">
        <v>954</v>
      </c>
      <c r="AN2" t="s">
        <v>952</v>
      </c>
      <c r="AO2" t="s">
        <v>799</v>
      </c>
      <c r="AP2" t="s">
        <v>773</v>
      </c>
      <c r="AQ2" t="s">
        <v>1013</v>
      </c>
      <c r="AR2" t="s">
        <v>944</v>
      </c>
      <c r="AS2" t="s">
        <v>988</v>
      </c>
      <c r="AT2" t="s">
        <v>1014</v>
      </c>
      <c r="AU2" t="s">
        <v>774</v>
      </c>
      <c r="AV2" t="s">
        <v>818</v>
      </c>
      <c r="AW2" t="s">
        <v>949</v>
      </c>
      <c r="AX2" t="s">
        <v>773</v>
      </c>
      <c r="AY2" t="s">
        <v>1071</v>
      </c>
      <c r="AZ2" t="s">
        <v>954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U27"/>
  <sheetViews>
    <sheetView workbookViewId="0">
      <selection activeCell="B15" sqref="B15"/>
    </sheetView>
  </sheetViews>
  <sheetFormatPr defaultRowHeight="15" x14ac:dyDescent="0.25"/>
  <cols>
    <col min="1" max="1" width="29.140625" customWidth="1"/>
    <col min="2" max="2" width="97.42578125" customWidth="1"/>
    <col min="3" max="3" width="9.42578125" customWidth="1"/>
    <col min="5" max="5" width="37.85546875" customWidth="1"/>
    <col min="6" max="6" width="30.140625" customWidth="1"/>
    <col min="7" max="7" width="14.42578125" customWidth="1"/>
    <col min="8" max="8" width="24.42578125" customWidth="1"/>
    <col min="11" max="11" width="26.7109375" customWidth="1"/>
    <col min="12" max="12" width="22.28515625" bestFit="1" customWidth="1"/>
    <col min="13" max="13" width="13.42578125" bestFit="1" customWidth="1"/>
    <col min="15" max="15" width="33" customWidth="1"/>
    <col min="16" max="16" width="17.5703125" bestFit="1" customWidth="1"/>
    <col min="18" max="18" width="12.28515625" bestFit="1" customWidth="1"/>
    <col min="19" max="19" width="14.42578125" bestFit="1" customWidth="1"/>
    <col min="20" max="20" width="38.7109375" customWidth="1"/>
    <col min="21" max="21" width="44.42578125" customWidth="1"/>
  </cols>
  <sheetData>
    <row r="1" spans="1:21" x14ac:dyDescent="0.25">
      <c r="A1" t="s">
        <v>1</v>
      </c>
      <c r="B1" t="s">
        <v>744</v>
      </c>
      <c r="F1" t="s">
        <v>0</v>
      </c>
      <c r="G1" t="s">
        <v>21</v>
      </c>
      <c r="H1" t="s">
        <v>755</v>
      </c>
      <c r="I1" t="s">
        <v>2</v>
      </c>
      <c r="J1" t="s">
        <v>772</v>
      </c>
      <c r="K1" t="s">
        <v>776</v>
      </c>
      <c r="L1" t="s">
        <v>834</v>
      </c>
      <c r="M1" t="s">
        <v>825</v>
      </c>
      <c r="N1" t="s">
        <v>840</v>
      </c>
      <c r="O1" s="4" t="s">
        <v>749</v>
      </c>
      <c r="P1" t="s">
        <v>847</v>
      </c>
      <c r="Q1" t="s">
        <v>932</v>
      </c>
      <c r="R1" t="s">
        <v>945</v>
      </c>
      <c r="S1" t="s">
        <v>946</v>
      </c>
      <c r="T1" t="s">
        <v>989</v>
      </c>
      <c r="U1" t="s">
        <v>1016</v>
      </c>
    </row>
    <row r="2" spans="1:21" x14ac:dyDescent="0.25">
      <c r="A2" t="s">
        <v>951</v>
      </c>
      <c r="B2" t="s">
        <v>949</v>
      </c>
      <c r="C2">
        <v>1</v>
      </c>
      <c r="D2" t="s">
        <v>11</v>
      </c>
      <c r="E2" t="s">
        <v>16</v>
      </c>
      <c r="F2" t="s">
        <v>766</v>
      </c>
      <c r="G2" t="s">
        <v>768</v>
      </c>
      <c r="H2" t="s">
        <v>773</v>
      </c>
      <c r="I2" t="s">
        <v>9</v>
      </c>
      <c r="J2" t="s">
        <v>773</v>
      </c>
      <c r="K2" t="s">
        <v>777</v>
      </c>
      <c r="L2" t="s">
        <v>832</v>
      </c>
      <c r="M2" t="s">
        <v>773</v>
      </c>
      <c r="N2" t="s">
        <v>832</v>
      </c>
      <c r="O2" t="s">
        <v>773</v>
      </c>
      <c r="P2" t="s">
        <v>848</v>
      </c>
      <c r="Q2" t="s">
        <v>933</v>
      </c>
      <c r="R2">
        <v>1</v>
      </c>
      <c r="S2">
        <v>1</v>
      </c>
      <c r="T2" t="s">
        <v>990</v>
      </c>
      <c r="U2" t="s">
        <v>773</v>
      </c>
    </row>
    <row r="3" spans="1:21" x14ac:dyDescent="0.25">
      <c r="A3" t="s">
        <v>950</v>
      </c>
      <c r="B3" t="s">
        <v>948</v>
      </c>
      <c r="C3">
        <v>2</v>
      </c>
      <c r="D3" t="s">
        <v>12</v>
      </c>
      <c r="E3" t="s">
        <v>16</v>
      </c>
      <c r="F3" t="s">
        <v>767</v>
      </c>
      <c r="G3" t="s">
        <v>771</v>
      </c>
      <c r="H3" t="s">
        <v>774</v>
      </c>
      <c r="I3" s="1" t="s">
        <v>10</v>
      </c>
      <c r="J3" s="1" t="s">
        <v>774</v>
      </c>
      <c r="K3" s="1" t="s">
        <v>778</v>
      </c>
      <c r="L3" s="1" t="s">
        <v>833</v>
      </c>
      <c r="M3" s="1" t="s">
        <v>774</v>
      </c>
      <c r="N3" s="1" t="s">
        <v>833</v>
      </c>
      <c r="O3" s="1" t="s">
        <v>774</v>
      </c>
      <c r="P3" s="1" t="s">
        <v>849</v>
      </c>
      <c r="Q3" s="1" t="s">
        <v>934</v>
      </c>
      <c r="R3">
        <v>2</v>
      </c>
      <c r="S3">
        <v>2</v>
      </c>
      <c r="T3" t="s">
        <v>991</v>
      </c>
      <c r="U3" t="s">
        <v>774</v>
      </c>
    </row>
    <row r="4" spans="1:21" x14ac:dyDescent="0.25">
      <c r="C4">
        <v>3</v>
      </c>
      <c r="D4" t="s">
        <v>13</v>
      </c>
      <c r="E4" t="s">
        <v>17</v>
      </c>
      <c r="G4" t="s">
        <v>769</v>
      </c>
      <c r="K4" s="1" t="s">
        <v>780</v>
      </c>
      <c r="P4" s="1" t="s">
        <v>850</v>
      </c>
      <c r="S4">
        <v>3</v>
      </c>
    </row>
    <row r="5" spans="1:21" x14ac:dyDescent="0.25">
      <c r="C5">
        <v>4</v>
      </c>
      <c r="D5" t="s">
        <v>14</v>
      </c>
      <c r="E5" t="s">
        <v>18</v>
      </c>
      <c r="G5" t="s">
        <v>770</v>
      </c>
      <c r="K5" s="1" t="s">
        <v>779</v>
      </c>
      <c r="P5" s="1" t="s">
        <v>851</v>
      </c>
      <c r="S5">
        <v>4</v>
      </c>
    </row>
    <row r="6" spans="1:21" x14ac:dyDescent="0.25">
      <c r="C6">
        <v>5</v>
      </c>
      <c r="D6" t="s">
        <v>15</v>
      </c>
      <c r="E6" t="s">
        <v>19</v>
      </c>
      <c r="P6" s="1" t="s">
        <v>852</v>
      </c>
    </row>
    <row r="7" spans="1:21" x14ac:dyDescent="0.25">
      <c r="P7" s="1" t="s">
        <v>853</v>
      </c>
    </row>
    <row r="8" spans="1:21" x14ac:dyDescent="0.25">
      <c r="A8" t="s">
        <v>947</v>
      </c>
      <c r="B8" s="1" t="str">
        <f>LOOKUP(InputPage!D11,Lookups!A2:A3,Lookups!B2:B3)</f>
        <v>c6af6ae2-9944-4751-b114-790536486ec8</v>
      </c>
      <c r="P8" s="1" t="s">
        <v>854</v>
      </c>
    </row>
    <row r="9" spans="1:21" x14ac:dyDescent="0.25">
      <c r="B9" s="1"/>
      <c r="P9" s="1" t="s">
        <v>855</v>
      </c>
    </row>
    <row r="10" spans="1:21" x14ac:dyDescent="0.25">
      <c r="A10" t="s">
        <v>789</v>
      </c>
      <c r="B10" s="1" t="str">
        <f>LOOKUP(InputPage!L7,vNetLookup!B:B,vNetLookup!C:C)</f>
        <v>/subscriptions/c6af6ae2-9944-4751-b114-790536486ec8/resourceGroups/EENonProdInfraSoutheast/providers/Microsoft.Network/virtualNetworks/VNet_NonProd_ausoutheast</v>
      </c>
    </row>
    <row r="11" spans="1:21" x14ac:dyDescent="0.25">
      <c r="A11" t="s">
        <v>936</v>
      </c>
      <c r="B11" s="1" t="str">
        <f>LOOKUP(Lookups!B13,AzureAutomation!D:D,AzureAutomation!B:B)</f>
        <v>/subscriptions/c6af6ae2-9944-4751-b114-790536486ec8/resourceGroups/Admin-EENONPROD01-rg/providers/Microsoft.Automation/automationAccounts/Admin-EENONPROD01-aa</v>
      </c>
    </row>
    <row r="13" spans="1:21" x14ac:dyDescent="0.25">
      <c r="A13" s="2" t="s">
        <v>824</v>
      </c>
      <c r="B13" t="s">
        <v>1735</v>
      </c>
    </row>
    <row r="14" spans="1:21" x14ac:dyDescent="0.25">
      <c r="A14" s="2" t="s">
        <v>812</v>
      </c>
      <c r="B14" t="str">
        <f>AzureAutomationKeys!B4</f>
        <v>https://ase-agentservice-prod-1.azure-automation.net/accounts/a70ebbe5-f342-4ba9-89fe-eb92e8535202</v>
      </c>
    </row>
    <row r="15" spans="1:21" x14ac:dyDescent="0.25">
      <c r="A15" s="2" t="s">
        <v>813</v>
      </c>
      <c r="B15" t="str">
        <f>Key!B2</f>
        <v>f2CHFMFa2ZFx6Fq++xYnRKj3uD05ntPkkd1UXEH/GzDGsSlS5j/niFz2kXR7prMzfx3vdj7L+njt3aUL72iWrg==</v>
      </c>
    </row>
    <row r="16" spans="1:21" x14ac:dyDescent="0.25">
      <c r="A16" s="2" t="s">
        <v>814</v>
      </c>
      <c r="B16" t="s">
        <v>952</v>
      </c>
    </row>
    <row r="17" spans="1:2" x14ac:dyDescent="0.25">
      <c r="A17" s="2" t="s">
        <v>953</v>
      </c>
      <c r="B17" t="s">
        <v>954</v>
      </c>
    </row>
    <row r="18" spans="1:2" x14ac:dyDescent="0.25">
      <c r="A18" s="2" t="s">
        <v>815</v>
      </c>
      <c r="B18" t="s">
        <v>955</v>
      </c>
    </row>
    <row r="19" spans="1:2" x14ac:dyDescent="0.25">
      <c r="A19" s="2" t="s">
        <v>802</v>
      </c>
      <c r="B19" t="s">
        <v>944</v>
      </c>
    </row>
    <row r="20" spans="1:2" x14ac:dyDescent="0.25">
      <c r="A20" s="2" t="s">
        <v>806</v>
      </c>
      <c r="B20" s="5" t="s">
        <v>988</v>
      </c>
    </row>
    <row r="21" spans="1:2" x14ac:dyDescent="0.25">
      <c r="A21" s="2" t="s">
        <v>816</v>
      </c>
      <c r="B21" t="s">
        <v>816</v>
      </c>
    </row>
    <row r="22" spans="1:2" x14ac:dyDescent="0.25">
      <c r="A22" s="2" t="s">
        <v>817</v>
      </c>
      <c r="B22" t="s">
        <v>817</v>
      </c>
    </row>
    <row r="23" spans="1:2" x14ac:dyDescent="0.25">
      <c r="A23" s="2" t="s">
        <v>818</v>
      </c>
      <c r="B23" t="s">
        <v>818</v>
      </c>
    </row>
    <row r="24" spans="1:2" x14ac:dyDescent="0.25">
      <c r="A24" t="s">
        <v>798</v>
      </c>
      <c r="B24" t="s">
        <v>952</v>
      </c>
    </row>
    <row r="25" spans="1:2" x14ac:dyDescent="0.25">
      <c r="A25" t="s">
        <v>799</v>
      </c>
      <c r="B25" t="s">
        <v>799</v>
      </c>
    </row>
    <row r="27" spans="1:2" ht="15" customHeight="1" x14ac:dyDescent="0.25">
      <c r="A27" t="s">
        <v>1018</v>
      </c>
      <c r="B27" s="48" t="str">
        <f>LOOKUP(InputPage!L9,vNetRGLookup!B:B,vNetRGLookup!G:G)</f>
        <v>EENonProdInfraSoutheast</v>
      </c>
    </row>
  </sheetData>
  <hyperlinks>
    <hyperlink ref="B20" r:id="rId1" xr:uid="{25755ACD-AF24-4050-BD94-9FEB0A316F38}"/>
  </hyperlinks>
  <pageMargins left="0.7" right="0.7" top="0.75" bottom="0.75" header="0.3" footer="0.3"/>
  <pageSetup paperSize="9" orientation="portrait" r:id="rId2"/>
  <ignoredErrors>
    <ignoredError sqref="B11" 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2A23DF1-5CE7-4CBF-8B2F-82E4C68771E2}">
          <x14:formula1>
            <xm:f>AzureAutomation!$D$2:$D$26</xm:f>
          </x14:formula1>
          <xm:sqref>B13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C7"/>
  <sheetViews>
    <sheetView workbookViewId="0">
      <selection sqref="A1:C5"/>
    </sheetView>
  </sheetViews>
  <sheetFormatPr defaultRowHeight="15" x14ac:dyDescent="0.25"/>
  <cols>
    <col min="1" max="1" width="19" bestFit="1" customWidth="1"/>
    <col min="2" max="2" width="17.42578125" bestFit="1" customWidth="1"/>
    <col min="3" max="3" width="81.140625" bestFit="1" customWidth="1"/>
  </cols>
  <sheetData>
    <row r="1" spans="1:3" x14ac:dyDescent="0.25">
      <c r="A1" t="s">
        <v>119</v>
      </c>
      <c r="B1" t="s">
        <v>120</v>
      </c>
      <c r="C1" t="s">
        <v>121</v>
      </c>
    </row>
    <row r="2" spans="1:3" x14ac:dyDescent="0.25">
      <c r="A2" t="s">
        <v>122</v>
      </c>
      <c r="B2" t="s">
        <v>740</v>
      </c>
      <c r="C2" t="s">
        <v>924</v>
      </c>
    </row>
    <row r="3" spans="1:3" x14ac:dyDescent="0.25">
      <c r="A3" t="s">
        <v>122</v>
      </c>
      <c r="B3" t="s">
        <v>741</v>
      </c>
      <c r="C3" t="s">
        <v>925</v>
      </c>
    </row>
    <row r="4" spans="1:3" x14ac:dyDescent="0.25">
      <c r="A4" t="s">
        <v>122</v>
      </c>
      <c r="B4" t="s">
        <v>742</v>
      </c>
      <c r="C4" t="s">
        <v>926</v>
      </c>
    </row>
    <row r="5" spans="1:3" x14ac:dyDescent="0.25">
      <c r="A5" t="s">
        <v>122</v>
      </c>
      <c r="B5" t="s">
        <v>743</v>
      </c>
      <c r="C5" t="s">
        <v>927</v>
      </c>
    </row>
    <row r="6" spans="1:3" x14ac:dyDescent="0.25">
      <c r="A6" t="s">
        <v>122</v>
      </c>
      <c r="B6" t="s">
        <v>928</v>
      </c>
      <c r="C6" t="s">
        <v>929</v>
      </c>
    </row>
    <row r="7" spans="1:3" x14ac:dyDescent="0.25">
      <c r="A7" t="s">
        <v>122</v>
      </c>
      <c r="B7" t="s">
        <v>930</v>
      </c>
      <c r="C7" t="s">
        <v>931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C14"/>
  <sheetViews>
    <sheetView workbookViewId="0">
      <selection sqref="A1:C13"/>
    </sheetView>
  </sheetViews>
  <sheetFormatPr defaultRowHeight="15" x14ac:dyDescent="0.25"/>
  <cols>
    <col min="1" max="1" width="19" bestFit="1" customWidth="1"/>
    <col min="2" max="2" width="36.5703125" customWidth="1"/>
    <col min="3" max="3" width="81.140625" bestFit="1" customWidth="1"/>
  </cols>
  <sheetData>
    <row r="1" spans="1:3" x14ac:dyDescent="0.25">
      <c r="A1" t="s">
        <v>119</v>
      </c>
      <c r="B1" t="s">
        <v>120</v>
      </c>
      <c r="C1" t="s">
        <v>121</v>
      </c>
    </row>
    <row r="2" spans="1:3" x14ac:dyDescent="0.25">
      <c r="A2" t="s">
        <v>122</v>
      </c>
      <c r="B2" t="s">
        <v>726</v>
      </c>
      <c r="C2" t="s">
        <v>910</v>
      </c>
    </row>
    <row r="3" spans="1:3" x14ac:dyDescent="0.25">
      <c r="A3" t="s">
        <v>122</v>
      </c>
      <c r="B3" t="s">
        <v>727</v>
      </c>
      <c r="C3" t="s">
        <v>911</v>
      </c>
    </row>
    <row r="4" spans="1:3" x14ac:dyDescent="0.25">
      <c r="A4" t="s">
        <v>122</v>
      </c>
      <c r="B4" t="s">
        <v>728</v>
      </c>
      <c r="C4" t="s">
        <v>912</v>
      </c>
    </row>
    <row r="5" spans="1:3" x14ac:dyDescent="0.25">
      <c r="A5" t="s">
        <v>122</v>
      </c>
      <c r="B5" t="s">
        <v>729</v>
      </c>
      <c r="C5" t="s">
        <v>913</v>
      </c>
    </row>
    <row r="6" spans="1:3" x14ac:dyDescent="0.25">
      <c r="A6" t="s">
        <v>122</v>
      </c>
      <c r="B6" t="s">
        <v>730</v>
      </c>
      <c r="C6" t="s">
        <v>914</v>
      </c>
    </row>
    <row r="7" spans="1:3" x14ac:dyDescent="0.25">
      <c r="A7" t="s">
        <v>122</v>
      </c>
      <c r="B7" t="s">
        <v>731</v>
      </c>
      <c r="C7" t="s">
        <v>915</v>
      </c>
    </row>
    <row r="8" spans="1:3" x14ac:dyDescent="0.25">
      <c r="A8" t="s">
        <v>122</v>
      </c>
      <c r="B8" t="s">
        <v>732</v>
      </c>
      <c r="C8" t="s">
        <v>916</v>
      </c>
    </row>
    <row r="9" spans="1:3" x14ac:dyDescent="0.25">
      <c r="A9" t="s">
        <v>122</v>
      </c>
      <c r="B9" t="s">
        <v>733</v>
      </c>
      <c r="C9" t="s">
        <v>917</v>
      </c>
    </row>
    <row r="10" spans="1:3" x14ac:dyDescent="0.25">
      <c r="A10" t="s">
        <v>122</v>
      </c>
      <c r="B10" t="s">
        <v>734</v>
      </c>
      <c r="C10" t="s">
        <v>918</v>
      </c>
    </row>
    <row r="11" spans="1:3" x14ac:dyDescent="0.25">
      <c r="A11" t="s">
        <v>122</v>
      </c>
      <c r="B11" t="s">
        <v>735</v>
      </c>
      <c r="C11" t="s">
        <v>919</v>
      </c>
    </row>
    <row r="12" spans="1:3" x14ac:dyDescent="0.25">
      <c r="A12" t="s">
        <v>122</v>
      </c>
      <c r="B12" t="s">
        <v>736</v>
      </c>
      <c r="C12" t="s">
        <v>920</v>
      </c>
    </row>
    <row r="13" spans="1:3" x14ac:dyDescent="0.25">
      <c r="A13" t="s">
        <v>122</v>
      </c>
      <c r="B13" t="s">
        <v>921</v>
      </c>
      <c r="C13" t="s">
        <v>922</v>
      </c>
    </row>
    <row r="14" spans="1:3" x14ac:dyDescent="0.25">
      <c r="A14" t="s">
        <v>122</v>
      </c>
      <c r="B14" t="s">
        <v>737</v>
      </c>
      <c r="C14" t="s">
        <v>923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C3"/>
  <sheetViews>
    <sheetView workbookViewId="0">
      <selection sqref="A1:C3"/>
    </sheetView>
  </sheetViews>
  <sheetFormatPr defaultRowHeight="15" x14ac:dyDescent="0.25"/>
  <cols>
    <col min="1" max="1" width="19" bestFit="1" customWidth="1"/>
    <col min="2" max="2" width="16.85546875" bestFit="1" customWidth="1"/>
    <col min="3" max="3" width="81.140625" bestFit="1" customWidth="1"/>
  </cols>
  <sheetData>
    <row r="1" spans="1:3" x14ac:dyDescent="0.25">
      <c r="A1" t="s">
        <v>119</v>
      </c>
      <c r="B1" t="s">
        <v>120</v>
      </c>
      <c r="C1" t="s">
        <v>121</v>
      </c>
    </row>
    <row r="2" spans="1:3" x14ac:dyDescent="0.25">
      <c r="A2" t="s">
        <v>122</v>
      </c>
      <c r="B2" t="s">
        <v>723</v>
      </c>
      <c r="C2" t="s">
        <v>908</v>
      </c>
    </row>
    <row r="3" spans="1:3" x14ac:dyDescent="0.25">
      <c r="A3" t="s">
        <v>122</v>
      </c>
      <c r="B3" t="s">
        <v>724</v>
      </c>
      <c r="C3" t="s">
        <v>909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A2"/>
  <sheetViews>
    <sheetView workbookViewId="0">
      <selection activeCell="J31" sqref="J31"/>
    </sheetView>
  </sheetViews>
  <sheetFormatPr defaultRowHeight="15" x14ac:dyDescent="0.25"/>
  <cols>
    <col min="1" max="1" width="169.140625" customWidth="1"/>
  </cols>
  <sheetData>
    <row r="1" spans="1:1" x14ac:dyDescent="0.25">
      <c r="A1" t="s">
        <v>721</v>
      </c>
    </row>
    <row r="2" spans="1:1" x14ac:dyDescent="0.25">
      <c r="A2" s="3" t="s">
        <v>722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A0FB3D-34F1-4297-8305-7AF1E307F2FA}">
  <sheetPr codeName="Sheet2"/>
  <dimension ref="A1:B3"/>
  <sheetViews>
    <sheetView workbookViewId="0">
      <selection activeCell="B19" sqref="B19"/>
    </sheetView>
  </sheetViews>
  <sheetFormatPr defaultRowHeight="15" x14ac:dyDescent="0.25"/>
  <cols>
    <col min="1" max="1" width="10" bestFit="1" customWidth="1"/>
    <col min="2" max="2" width="81.140625" bestFit="1" customWidth="1"/>
  </cols>
  <sheetData>
    <row r="1" spans="1:2" x14ac:dyDescent="0.25">
      <c r="A1" t="s">
        <v>4</v>
      </c>
      <c r="B1" t="s">
        <v>937</v>
      </c>
    </row>
    <row r="2" spans="1:2" x14ac:dyDescent="0.25">
      <c r="A2" t="s">
        <v>938</v>
      </c>
      <c r="B2" t="s">
        <v>1763</v>
      </c>
    </row>
    <row r="3" spans="1:2" x14ac:dyDescent="0.25">
      <c r="A3" t="s">
        <v>939</v>
      </c>
      <c r="B3" t="s">
        <v>1764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1BD29-C544-4CA9-BA9F-1B08680C4B64}">
  <sheetPr codeName="Sheet14"/>
  <dimension ref="A1:B5"/>
  <sheetViews>
    <sheetView tabSelected="1" workbookViewId="0">
      <selection sqref="A1:B5"/>
    </sheetView>
  </sheetViews>
  <sheetFormatPr defaultRowHeight="15" x14ac:dyDescent="0.25"/>
  <cols>
    <col min="1" max="1" width="20.85546875" bestFit="1" customWidth="1"/>
    <col min="2" max="3" width="81.140625" bestFit="1" customWidth="1"/>
    <col min="4" max="4" width="17.5703125" bestFit="1" customWidth="1"/>
    <col min="5" max="5" width="27" bestFit="1" customWidth="1"/>
    <col min="6" max="6" width="41" bestFit="1" customWidth="1"/>
    <col min="7" max="7" width="18.42578125" bestFit="1" customWidth="1"/>
  </cols>
  <sheetData>
    <row r="1" spans="1:2" x14ac:dyDescent="0.25">
      <c r="A1" t="s">
        <v>4</v>
      </c>
      <c r="B1" t="s">
        <v>937</v>
      </c>
    </row>
    <row r="2" spans="1:2" x14ac:dyDescent="0.25">
      <c r="A2" s="3" t="s">
        <v>940</v>
      </c>
      <c r="B2" t="s">
        <v>1760</v>
      </c>
    </row>
    <row r="3" spans="1:2" x14ac:dyDescent="0.25">
      <c r="A3" s="3" t="s">
        <v>941</v>
      </c>
      <c r="B3" t="s">
        <v>787</v>
      </c>
    </row>
    <row r="4" spans="1:2" x14ac:dyDescent="0.25">
      <c r="A4" s="3" t="s">
        <v>942</v>
      </c>
      <c r="B4" t="s">
        <v>1761</v>
      </c>
    </row>
    <row r="5" spans="1:2" x14ac:dyDescent="0.25">
      <c r="A5" s="3" t="s">
        <v>943</v>
      </c>
      <c r="B5" t="s">
        <v>1762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26597-5EC5-4A1F-8B12-DE3E1A34296B}">
  <sheetPr codeName="Sheet15"/>
  <dimension ref="A1:F14"/>
  <sheetViews>
    <sheetView workbookViewId="0">
      <selection sqref="A1:F12"/>
    </sheetView>
  </sheetViews>
  <sheetFormatPr defaultRowHeight="15" x14ac:dyDescent="0.25"/>
  <cols>
    <col min="1" max="1" width="8.5703125" bestFit="1" customWidth="1"/>
    <col min="2" max="2" width="81.140625" bestFit="1" customWidth="1"/>
    <col min="3" max="3" width="17.5703125" bestFit="1" customWidth="1"/>
    <col min="4" max="4" width="28" bestFit="1" customWidth="1"/>
    <col min="5" max="5" width="41" bestFit="1" customWidth="1"/>
    <col min="6" max="6" width="18.42578125" bestFit="1" customWidth="1"/>
    <col min="7" max="7" width="19" bestFit="1" customWidth="1"/>
    <col min="8" max="8" width="51" bestFit="1" customWidth="1"/>
    <col min="9" max="9" width="81.140625" bestFit="1" customWidth="1"/>
  </cols>
  <sheetData>
    <row r="1" spans="1:6" x14ac:dyDescent="0.25">
      <c r="A1" t="s">
        <v>4</v>
      </c>
      <c r="B1" t="s">
        <v>781</v>
      </c>
      <c r="C1" t="s">
        <v>784</v>
      </c>
      <c r="D1" t="s">
        <v>758</v>
      </c>
      <c r="E1" t="s">
        <v>783</v>
      </c>
      <c r="F1" t="s">
        <v>785</v>
      </c>
    </row>
    <row r="2" spans="1:6" x14ac:dyDescent="0.25">
      <c r="A2" s="3" t="s">
        <v>764</v>
      </c>
      <c r="B2" t="s">
        <v>1734</v>
      </c>
      <c r="C2" t="s">
        <v>788</v>
      </c>
      <c r="D2" t="s">
        <v>1735</v>
      </c>
      <c r="E2" t="s">
        <v>935</v>
      </c>
      <c r="F2" t="s">
        <v>787</v>
      </c>
    </row>
    <row r="3" spans="1:6" x14ac:dyDescent="0.25">
      <c r="A3" s="3" t="s">
        <v>764</v>
      </c>
      <c r="B3" t="s">
        <v>1736</v>
      </c>
      <c r="C3" t="s">
        <v>788</v>
      </c>
      <c r="D3" t="s">
        <v>1737</v>
      </c>
      <c r="E3" t="s">
        <v>935</v>
      </c>
      <c r="F3" t="s">
        <v>787</v>
      </c>
    </row>
    <row r="4" spans="1:6" x14ac:dyDescent="0.25">
      <c r="A4" s="3" t="s">
        <v>764</v>
      </c>
      <c r="B4" t="s">
        <v>1738</v>
      </c>
      <c r="C4" t="s">
        <v>788</v>
      </c>
      <c r="D4" t="s">
        <v>1739</v>
      </c>
      <c r="E4" t="s">
        <v>935</v>
      </c>
      <c r="F4" t="s">
        <v>787</v>
      </c>
    </row>
    <row r="5" spans="1:6" x14ac:dyDescent="0.25">
      <c r="A5" s="3" t="s">
        <v>764</v>
      </c>
      <c r="B5" t="s">
        <v>1740</v>
      </c>
      <c r="C5" t="s">
        <v>788</v>
      </c>
      <c r="D5" t="s">
        <v>1741</v>
      </c>
      <c r="E5" t="s">
        <v>935</v>
      </c>
      <c r="F5" t="s">
        <v>787</v>
      </c>
    </row>
    <row r="6" spans="1:6" x14ac:dyDescent="0.25">
      <c r="A6" s="3" t="s">
        <v>764</v>
      </c>
      <c r="B6" t="s">
        <v>1742</v>
      </c>
      <c r="C6" t="s">
        <v>788</v>
      </c>
      <c r="D6" t="s">
        <v>1743</v>
      </c>
      <c r="E6" t="s">
        <v>935</v>
      </c>
      <c r="F6" t="s">
        <v>787</v>
      </c>
    </row>
    <row r="7" spans="1:6" x14ac:dyDescent="0.25">
      <c r="A7" s="3" t="s">
        <v>764</v>
      </c>
      <c r="B7" t="s">
        <v>1744</v>
      </c>
      <c r="C7" t="s">
        <v>788</v>
      </c>
      <c r="D7" t="s">
        <v>1745</v>
      </c>
      <c r="E7" t="s">
        <v>935</v>
      </c>
      <c r="F7" t="s">
        <v>787</v>
      </c>
    </row>
    <row r="8" spans="1:6" x14ac:dyDescent="0.25">
      <c r="A8" s="3" t="s">
        <v>764</v>
      </c>
      <c r="B8" t="s">
        <v>1746</v>
      </c>
      <c r="C8" t="s">
        <v>788</v>
      </c>
      <c r="D8" t="s">
        <v>1747</v>
      </c>
      <c r="E8" t="s">
        <v>935</v>
      </c>
      <c r="F8" t="s">
        <v>787</v>
      </c>
    </row>
    <row r="9" spans="1:6" x14ac:dyDescent="0.25">
      <c r="A9" s="3" t="s">
        <v>764</v>
      </c>
      <c r="B9" t="s">
        <v>1748</v>
      </c>
      <c r="C9" t="s">
        <v>788</v>
      </c>
      <c r="D9" t="s">
        <v>1749</v>
      </c>
      <c r="E9" t="s">
        <v>935</v>
      </c>
      <c r="F9" t="s">
        <v>787</v>
      </c>
    </row>
    <row r="10" spans="1:6" x14ac:dyDescent="0.25">
      <c r="A10" s="3" t="s">
        <v>764</v>
      </c>
      <c r="B10" t="s">
        <v>1750</v>
      </c>
      <c r="C10" t="s">
        <v>788</v>
      </c>
      <c r="D10" t="s">
        <v>1751</v>
      </c>
      <c r="E10" t="s">
        <v>935</v>
      </c>
      <c r="F10" t="s">
        <v>787</v>
      </c>
    </row>
    <row r="11" spans="1:6" x14ac:dyDescent="0.25">
      <c r="A11" s="3" t="s">
        <v>764</v>
      </c>
      <c r="B11" t="s">
        <v>1752</v>
      </c>
      <c r="C11" t="s">
        <v>788</v>
      </c>
      <c r="D11" t="s">
        <v>1753</v>
      </c>
      <c r="E11" t="s">
        <v>935</v>
      </c>
      <c r="F11" t="s">
        <v>787</v>
      </c>
    </row>
    <row r="12" spans="1:6" x14ac:dyDescent="0.25">
      <c r="A12" s="3" t="s">
        <v>764</v>
      </c>
      <c r="B12" t="s">
        <v>1754</v>
      </c>
      <c r="C12" t="s">
        <v>788</v>
      </c>
      <c r="D12" t="s">
        <v>1755</v>
      </c>
      <c r="E12" t="s">
        <v>935</v>
      </c>
      <c r="F12" t="s">
        <v>787</v>
      </c>
    </row>
    <row r="13" spans="1:6" x14ac:dyDescent="0.25">
      <c r="A13" s="3" t="s">
        <v>764</v>
      </c>
      <c r="B13" t="s">
        <v>1756</v>
      </c>
      <c r="C13" t="s">
        <v>788</v>
      </c>
      <c r="D13" t="s">
        <v>1757</v>
      </c>
      <c r="E13" t="s">
        <v>935</v>
      </c>
      <c r="F13" t="s">
        <v>787</v>
      </c>
    </row>
    <row r="14" spans="1:6" x14ac:dyDescent="0.25">
      <c r="A14" s="3" t="s">
        <v>764</v>
      </c>
      <c r="B14" t="s">
        <v>1758</v>
      </c>
      <c r="C14" t="s">
        <v>788</v>
      </c>
      <c r="D14" t="s">
        <v>1759</v>
      </c>
      <c r="E14" t="s">
        <v>935</v>
      </c>
      <c r="F14" t="s">
        <v>787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C657"/>
  <sheetViews>
    <sheetView workbookViewId="0">
      <selection sqref="A1:C658"/>
    </sheetView>
  </sheetViews>
  <sheetFormatPr defaultRowHeight="15" x14ac:dyDescent="0.25"/>
  <cols>
    <col min="1" max="1" width="19" bestFit="1" customWidth="1"/>
    <col min="2" max="2" width="51" bestFit="1" customWidth="1"/>
    <col min="3" max="3" width="81.140625" bestFit="1" customWidth="1"/>
    <col min="4" max="4" width="51" bestFit="1" customWidth="1"/>
    <col min="5" max="5" width="19" bestFit="1" customWidth="1"/>
    <col min="6" max="6" width="51" bestFit="1" customWidth="1"/>
    <col min="7" max="7" width="81.140625" bestFit="1" customWidth="1"/>
  </cols>
  <sheetData>
    <row r="1" spans="1:3" x14ac:dyDescent="0.25">
      <c r="A1" t="s">
        <v>119</v>
      </c>
      <c r="B1" t="s">
        <v>120</v>
      </c>
      <c r="C1" t="s">
        <v>121</v>
      </c>
    </row>
    <row r="2" spans="1:3" x14ac:dyDescent="0.25">
      <c r="A2" t="s">
        <v>122</v>
      </c>
      <c r="B2" t="s">
        <v>858</v>
      </c>
      <c r="C2" t="s">
        <v>1078</v>
      </c>
    </row>
    <row r="3" spans="1:3" x14ac:dyDescent="0.25">
      <c r="A3" t="s">
        <v>122</v>
      </c>
      <c r="B3" t="s">
        <v>123</v>
      </c>
      <c r="C3" t="s">
        <v>1079</v>
      </c>
    </row>
    <row r="4" spans="1:3" x14ac:dyDescent="0.25">
      <c r="A4" t="s">
        <v>122</v>
      </c>
      <c r="B4" t="s">
        <v>859</v>
      </c>
      <c r="C4" t="s">
        <v>1080</v>
      </c>
    </row>
    <row r="5" spans="1:3" x14ac:dyDescent="0.25">
      <c r="A5" t="s">
        <v>122</v>
      </c>
      <c r="B5" t="s">
        <v>124</v>
      </c>
      <c r="C5" t="s">
        <v>1081</v>
      </c>
    </row>
    <row r="6" spans="1:3" x14ac:dyDescent="0.25">
      <c r="A6" t="s">
        <v>122</v>
      </c>
      <c r="B6" t="s">
        <v>125</v>
      </c>
      <c r="C6" t="s">
        <v>1082</v>
      </c>
    </row>
    <row r="7" spans="1:3" x14ac:dyDescent="0.25">
      <c r="A7" t="s">
        <v>122</v>
      </c>
      <c r="B7" t="s">
        <v>126</v>
      </c>
      <c r="C7" t="s">
        <v>1083</v>
      </c>
    </row>
    <row r="8" spans="1:3" x14ac:dyDescent="0.25">
      <c r="A8" t="s">
        <v>122</v>
      </c>
      <c r="B8" t="s">
        <v>127</v>
      </c>
      <c r="C8" t="s">
        <v>1084</v>
      </c>
    </row>
    <row r="9" spans="1:3" x14ac:dyDescent="0.25">
      <c r="A9" t="s">
        <v>122</v>
      </c>
      <c r="B9" t="s">
        <v>966</v>
      </c>
      <c r="C9" t="s">
        <v>1085</v>
      </c>
    </row>
    <row r="10" spans="1:3" x14ac:dyDescent="0.25">
      <c r="A10" t="s">
        <v>122</v>
      </c>
      <c r="B10" t="s">
        <v>128</v>
      </c>
      <c r="C10" t="s">
        <v>1086</v>
      </c>
    </row>
    <row r="11" spans="1:3" x14ac:dyDescent="0.25">
      <c r="A11" t="s">
        <v>122</v>
      </c>
      <c r="B11" t="s">
        <v>129</v>
      </c>
      <c r="C11" t="s">
        <v>1087</v>
      </c>
    </row>
    <row r="12" spans="1:3" x14ac:dyDescent="0.25">
      <c r="A12" t="s">
        <v>122</v>
      </c>
      <c r="B12" t="s">
        <v>130</v>
      </c>
      <c r="C12" t="s">
        <v>1088</v>
      </c>
    </row>
    <row r="13" spans="1:3" x14ac:dyDescent="0.25">
      <c r="A13" t="s">
        <v>122</v>
      </c>
      <c r="B13" t="s">
        <v>131</v>
      </c>
      <c r="C13" t="s">
        <v>1089</v>
      </c>
    </row>
    <row r="14" spans="1:3" x14ac:dyDescent="0.25">
      <c r="A14" t="s">
        <v>122</v>
      </c>
      <c r="B14" t="s">
        <v>132</v>
      </c>
      <c r="C14" t="s">
        <v>1090</v>
      </c>
    </row>
    <row r="15" spans="1:3" x14ac:dyDescent="0.25">
      <c r="A15" t="s">
        <v>122</v>
      </c>
      <c r="B15" t="s">
        <v>133</v>
      </c>
      <c r="C15" t="s">
        <v>1091</v>
      </c>
    </row>
    <row r="16" spans="1:3" x14ac:dyDescent="0.25">
      <c r="A16" t="s">
        <v>122</v>
      </c>
      <c r="B16" t="s">
        <v>134</v>
      </c>
      <c r="C16" t="s">
        <v>1092</v>
      </c>
    </row>
    <row r="17" spans="1:3" x14ac:dyDescent="0.25">
      <c r="A17" t="s">
        <v>122</v>
      </c>
      <c r="B17" t="s">
        <v>135</v>
      </c>
      <c r="C17" t="s">
        <v>1093</v>
      </c>
    </row>
    <row r="18" spans="1:3" x14ac:dyDescent="0.25">
      <c r="A18" t="s">
        <v>122</v>
      </c>
      <c r="B18" t="s">
        <v>136</v>
      </c>
      <c r="C18" t="s">
        <v>1094</v>
      </c>
    </row>
    <row r="19" spans="1:3" x14ac:dyDescent="0.25">
      <c r="A19" t="s">
        <v>122</v>
      </c>
      <c r="B19" t="s">
        <v>137</v>
      </c>
      <c r="C19" t="s">
        <v>1095</v>
      </c>
    </row>
    <row r="20" spans="1:3" x14ac:dyDescent="0.25">
      <c r="A20" t="s">
        <v>122</v>
      </c>
      <c r="B20" t="s">
        <v>138</v>
      </c>
      <c r="C20" t="s">
        <v>1096</v>
      </c>
    </row>
    <row r="21" spans="1:3" x14ac:dyDescent="0.25">
      <c r="A21" t="s">
        <v>122</v>
      </c>
      <c r="B21" t="s">
        <v>139</v>
      </c>
      <c r="C21" t="s">
        <v>1097</v>
      </c>
    </row>
    <row r="22" spans="1:3" x14ac:dyDescent="0.25">
      <c r="A22" t="s">
        <v>122</v>
      </c>
      <c r="B22" t="s">
        <v>140</v>
      </c>
      <c r="C22" t="s">
        <v>1098</v>
      </c>
    </row>
    <row r="23" spans="1:3" x14ac:dyDescent="0.25">
      <c r="A23" t="s">
        <v>122</v>
      </c>
      <c r="B23" t="s">
        <v>141</v>
      </c>
      <c r="C23" t="s">
        <v>1099</v>
      </c>
    </row>
    <row r="24" spans="1:3" x14ac:dyDescent="0.25">
      <c r="A24" t="s">
        <v>122</v>
      </c>
      <c r="B24" t="s">
        <v>142</v>
      </c>
      <c r="C24" t="s">
        <v>1100</v>
      </c>
    </row>
    <row r="25" spans="1:3" x14ac:dyDescent="0.25">
      <c r="A25" t="s">
        <v>122</v>
      </c>
      <c r="B25" t="s">
        <v>143</v>
      </c>
      <c r="C25" t="s">
        <v>1101</v>
      </c>
    </row>
    <row r="26" spans="1:3" x14ac:dyDescent="0.25">
      <c r="A26" t="s">
        <v>122</v>
      </c>
      <c r="B26" t="s">
        <v>144</v>
      </c>
      <c r="C26" t="s">
        <v>1102</v>
      </c>
    </row>
    <row r="27" spans="1:3" x14ac:dyDescent="0.25">
      <c r="A27" t="s">
        <v>122</v>
      </c>
      <c r="B27" t="s">
        <v>145</v>
      </c>
      <c r="C27" t="s">
        <v>1103</v>
      </c>
    </row>
    <row r="28" spans="1:3" x14ac:dyDescent="0.25">
      <c r="A28" t="s">
        <v>122</v>
      </c>
      <c r="B28" t="s">
        <v>146</v>
      </c>
      <c r="C28" t="s">
        <v>1104</v>
      </c>
    </row>
    <row r="29" spans="1:3" x14ac:dyDescent="0.25">
      <c r="A29" t="s">
        <v>122</v>
      </c>
      <c r="B29" t="s">
        <v>147</v>
      </c>
      <c r="C29" t="s">
        <v>1105</v>
      </c>
    </row>
    <row r="30" spans="1:3" x14ac:dyDescent="0.25">
      <c r="A30" t="s">
        <v>122</v>
      </c>
      <c r="B30" t="s">
        <v>860</v>
      </c>
      <c r="C30" t="s">
        <v>1106</v>
      </c>
    </row>
    <row r="31" spans="1:3" x14ac:dyDescent="0.25">
      <c r="A31" t="s">
        <v>122</v>
      </c>
      <c r="B31" t="s">
        <v>148</v>
      </c>
      <c r="C31" t="s">
        <v>1107</v>
      </c>
    </row>
    <row r="32" spans="1:3" x14ac:dyDescent="0.25">
      <c r="A32" t="s">
        <v>122</v>
      </c>
      <c r="B32" t="s">
        <v>861</v>
      </c>
      <c r="C32" t="s">
        <v>1108</v>
      </c>
    </row>
    <row r="33" spans="1:3" x14ac:dyDescent="0.25">
      <c r="A33" t="s">
        <v>122</v>
      </c>
      <c r="B33" t="s">
        <v>149</v>
      </c>
      <c r="C33" t="s">
        <v>1109</v>
      </c>
    </row>
    <row r="34" spans="1:3" x14ac:dyDescent="0.25">
      <c r="A34" t="s">
        <v>122</v>
      </c>
      <c r="B34" t="s">
        <v>150</v>
      </c>
      <c r="C34" t="s">
        <v>1110</v>
      </c>
    </row>
    <row r="35" spans="1:3" x14ac:dyDescent="0.25">
      <c r="A35" t="s">
        <v>122</v>
      </c>
      <c r="B35" t="s">
        <v>151</v>
      </c>
      <c r="C35" t="s">
        <v>1111</v>
      </c>
    </row>
    <row r="36" spans="1:3" x14ac:dyDescent="0.25">
      <c r="A36" t="s">
        <v>122</v>
      </c>
      <c r="B36" t="s">
        <v>152</v>
      </c>
      <c r="C36" t="s">
        <v>1112</v>
      </c>
    </row>
    <row r="37" spans="1:3" x14ac:dyDescent="0.25">
      <c r="A37" t="s">
        <v>122</v>
      </c>
      <c r="B37" t="s">
        <v>153</v>
      </c>
      <c r="C37" t="s">
        <v>1113</v>
      </c>
    </row>
    <row r="38" spans="1:3" x14ac:dyDescent="0.25">
      <c r="A38" t="s">
        <v>122</v>
      </c>
      <c r="B38" t="s">
        <v>154</v>
      </c>
      <c r="C38" t="s">
        <v>1114</v>
      </c>
    </row>
    <row r="39" spans="1:3" x14ac:dyDescent="0.25">
      <c r="A39" t="s">
        <v>122</v>
      </c>
      <c r="B39" t="s">
        <v>155</v>
      </c>
      <c r="C39" t="s">
        <v>1115</v>
      </c>
    </row>
    <row r="40" spans="1:3" x14ac:dyDescent="0.25">
      <c r="A40" t="s">
        <v>122</v>
      </c>
      <c r="B40" t="s">
        <v>156</v>
      </c>
      <c r="C40" t="s">
        <v>1116</v>
      </c>
    </row>
    <row r="41" spans="1:3" x14ac:dyDescent="0.25">
      <c r="A41" t="s">
        <v>122</v>
      </c>
      <c r="B41" t="s">
        <v>862</v>
      </c>
      <c r="C41" t="s">
        <v>1117</v>
      </c>
    </row>
    <row r="42" spans="1:3" x14ac:dyDescent="0.25">
      <c r="A42" t="s">
        <v>122</v>
      </c>
      <c r="B42" t="s">
        <v>157</v>
      </c>
      <c r="C42" t="s">
        <v>1118</v>
      </c>
    </row>
    <row r="43" spans="1:3" x14ac:dyDescent="0.25">
      <c r="A43" t="s">
        <v>122</v>
      </c>
      <c r="B43" t="s">
        <v>158</v>
      </c>
      <c r="C43" t="s">
        <v>1119</v>
      </c>
    </row>
    <row r="44" spans="1:3" x14ac:dyDescent="0.25">
      <c r="A44" t="s">
        <v>122</v>
      </c>
      <c r="B44" t="s">
        <v>159</v>
      </c>
      <c r="C44" t="s">
        <v>1120</v>
      </c>
    </row>
    <row r="45" spans="1:3" x14ac:dyDescent="0.25">
      <c r="A45" t="s">
        <v>122</v>
      </c>
      <c r="B45" t="s">
        <v>160</v>
      </c>
      <c r="C45" t="s">
        <v>1121</v>
      </c>
    </row>
    <row r="46" spans="1:3" x14ac:dyDescent="0.25">
      <c r="A46" t="s">
        <v>122</v>
      </c>
      <c r="B46" t="s">
        <v>161</v>
      </c>
      <c r="C46" t="s">
        <v>1122</v>
      </c>
    </row>
    <row r="47" spans="1:3" x14ac:dyDescent="0.25">
      <c r="A47" t="s">
        <v>122</v>
      </c>
      <c r="B47" t="s">
        <v>162</v>
      </c>
      <c r="C47" t="s">
        <v>1123</v>
      </c>
    </row>
    <row r="48" spans="1:3" x14ac:dyDescent="0.25">
      <c r="A48" t="s">
        <v>122</v>
      </c>
      <c r="B48" t="s">
        <v>863</v>
      </c>
      <c r="C48" t="s">
        <v>1124</v>
      </c>
    </row>
    <row r="49" spans="1:3" x14ac:dyDescent="0.25">
      <c r="A49" t="s">
        <v>122</v>
      </c>
      <c r="B49" t="s">
        <v>163</v>
      </c>
      <c r="C49" t="s">
        <v>1125</v>
      </c>
    </row>
    <row r="50" spans="1:3" x14ac:dyDescent="0.25">
      <c r="A50" t="s">
        <v>122</v>
      </c>
      <c r="B50" t="s">
        <v>164</v>
      </c>
      <c r="C50" t="s">
        <v>1126</v>
      </c>
    </row>
    <row r="51" spans="1:3" x14ac:dyDescent="0.25">
      <c r="A51" t="s">
        <v>122</v>
      </c>
      <c r="B51" t="s">
        <v>165</v>
      </c>
      <c r="C51" t="s">
        <v>1127</v>
      </c>
    </row>
    <row r="52" spans="1:3" x14ac:dyDescent="0.25">
      <c r="A52" t="s">
        <v>122</v>
      </c>
      <c r="B52" t="s">
        <v>166</v>
      </c>
      <c r="C52" t="s">
        <v>1128</v>
      </c>
    </row>
    <row r="53" spans="1:3" x14ac:dyDescent="0.25">
      <c r="A53" t="s">
        <v>122</v>
      </c>
      <c r="B53" t="s">
        <v>167</v>
      </c>
      <c r="C53" t="s">
        <v>1129</v>
      </c>
    </row>
    <row r="54" spans="1:3" x14ac:dyDescent="0.25">
      <c r="A54" t="s">
        <v>122</v>
      </c>
      <c r="B54" t="s">
        <v>168</v>
      </c>
      <c r="C54" t="s">
        <v>1130</v>
      </c>
    </row>
    <row r="55" spans="1:3" x14ac:dyDescent="0.25">
      <c r="A55" t="s">
        <v>122</v>
      </c>
      <c r="B55" t="s">
        <v>169</v>
      </c>
      <c r="C55" t="s">
        <v>1131</v>
      </c>
    </row>
    <row r="56" spans="1:3" x14ac:dyDescent="0.25">
      <c r="A56" t="s">
        <v>122</v>
      </c>
      <c r="B56" t="s">
        <v>170</v>
      </c>
      <c r="C56" t="s">
        <v>1132</v>
      </c>
    </row>
    <row r="57" spans="1:3" x14ac:dyDescent="0.25">
      <c r="A57" t="s">
        <v>122</v>
      </c>
      <c r="B57" t="s">
        <v>171</v>
      </c>
      <c r="C57" t="s">
        <v>1133</v>
      </c>
    </row>
    <row r="58" spans="1:3" x14ac:dyDescent="0.25">
      <c r="A58" t="s">
        <v>122</v>
      </c>
      <c r="B58" t="s">
        <v>172</v>
      </c>
      <c r="C58" t="s">
        <v>1134</v>
      </c>
    </row>
    <row r="59" spans="1:3" x14ac:dyDescent="0.25">
      <c r="A59" t="s">
        <v>122</v>
      </c>
      <c r="B59" t="s">
        <v>173</v>
      </c>
      <c r="C59" t="s">
        <v>1135</v>
      </c>
    </row>
    <row r="60" spans="1:3" x14ac:dyDescent="0.25">
      <c r="A60" t="s">
        <v>122</v>
      </c>
      <c r="B60" t="s">
        <v>864</v>
      </c>
      <c r="C60" t="s">
        <v>1136</v>
      </c>
    </row>
    <row r="61" spans="1:3" x14ac:dyDescent="0.25">
      <c r="A61" t="s">
        <v>122</v>
      </c>
      <c r="B61" t="s">
        <v>174</v>
      </c>
      <c r="C61" t="s">
        <v>1137</v>
      </c>
    </row>
    <row r="62" spans="1:3" x14ac:dyDescent="0.25">
      <c r="A62" t="s">
        <v>122</v>
      </c>
      <c r="B62" t="s">
        <v>175</v>
      </c>
      <c r="C62" t="s">
        <v>1138</v>
      </c>
    </row>
    <row r="63" spans="1:3" x14ac:dyDescent="0.25">
      <c r="A63" t="s">
        <v>122</v>
      </c>
      <c r="B63" t="s">
        <v>176</v>
      </c>
      <c r="C63" t="s">
        <v>1139</v>
      </c>
    </row>
    <row r="64" spans="1:3" x14ac:dyDescent="0.25">
      <c r="A64" t="s">
        <v>122</v>
      </c>
      <c r="B64" t="s">
        <v>177</v>
      </c>
      <c r="C64" t="s">
        <v>1140</v>
      </c>
    </row>
    <row r="65" spans="1:3" x14ac:dyDescent="0.25">
      <c r="A65" t="s">
        <v>122</v>
      </c>
      <c r="B65" t="s">
        <v>178</v>
      </c>
      <c r="C65" t="s">
        <v>1141</v>
      </c>
    </row>
    <row r="66" spans="1:3" x14ac:dyDescent="0.25">
      <c r="A66" t="s">
        <v>122</v>
      </c>
      <c r="B66" t="s">
        <v>179</v>
      </c>
      <c r="C66" t="s">
        <v>1142</v>
      </c>
    </row>
    <row r="67" spans="1:3" x14ac:dyDescent="0.25">
      <c r="A67" t="s">
        <v>122</v>
      </c>
      <c r="B67" t="s">
        <v>180</v>
      </c>
      <c r="C67" t="s">
        <v>1143</v>
      </c>
    </row>
    <row r="68" spans="1:3" x14ac:dyDescent="0.25">
      <c r="A68" t="s">
        <v>122</v>
      </c>
      <c r="B68" t="s">
        <v>181</v>
      </c>
      <c r="C68" t="s">
        <v>1144</v>
      </c>
    </row>
    <row r="69" spans="1:3" x14ac:dyDescent="0.25">
      <c r="A69" t="s">
        <v>122</v>
      </c>
      <c r="B69" t="s">
        <v>182</v>
      </c>
      <c r="C69" t="s">
        <v>1145</v>
      </c>
    </row>
    <row r="70" spans="1:3" x14ac:dyDescent="0.25">
      <c r="A70" t="s">
        <v>122</v>
      </c>
      <c r="B70" t="s">
        <v>183</v>
      </c>
      <c r="C70" t="s">
        <v>1146</v>
      </c>
    </row>
    <row r="71" spans="1:3" x14ac:dyDescent="0.25">
      <c r="A71" t="s">
        <v>122</v>
      </c>
      <c r="B71" t="s">
        <v>184</v>
      </c>
      <c r="C71" t="s">
        <v>1147</v>
      </c>
    </row>
    <row r="72" spans="1:3" x14ac:dyDescent="0.25">
      <c r="A72" t="s">
        <v>122</v>
      </c>
      <c r="B72" t="s">
        <v>865</v>
      </c>
      <c r="C72" t="s">
        <v>1148</v>
      </c>
    </row>
    <row r="73" spans="1:3" x14ac:dyDescent="0.25">
      <c r="A73" t="s">
        <v>122</v>
      </c>
      <c r="B73" t="s">
        <v>185</v>
      </c>
      <c r="C73" t="s">
        <v>1149</v>
      </c>
    </row>
    <row r="74" spans="1:3" x14ac:dyDescent="0.25">
      <c r="A74" t="s">
        <v>122</v>
      </c>
      <c r="B74" t="s">
        <v>186</v>
      </c>
      <c r="C74" t="s">
        <v>1150</v>
      </c>
    </row>
    <row r="75" spans="1:3" x14ac:dyDescent="0.25">
      <c r="A75" t="s">
        <v>122</v>
      </c>
      <c r="B75" t="s">
        <v>187</v>
      </c>
      <c r="C75" t="s">
        <v>1151</v>
      </c>
    </row>
    <row r="76" spans="1:3" x14ac:dyDescent="0.25">
      <c r="A76" t="s">
        <v>122</v>
      </c>
      <c r="B76" t="s">
        <v>188</v>
      </c>
      <c r="C76" t="s">
        <v>1152</v>
      </c>
    </row>
    <row r="77" spans="1:3" x14ac:dyDescent="0.25">
      <c r="A77" t="s">
        <v>122</v>
      </c>
      <c r="B77" t="s">
        <v>189</v>
      </c>
      <c r="C77" t="s">
        <v>1153</v>
      </c>
    </row>
    <row r="78" spans="1:3" x14ac:dyDescent="0.25">
      <c r="A78" t="s">
        <v>122</v>
      </c>
      <c r="B78" t="s">
        <v>190</v>
      </c>
      <c r="C78" t="s">
        <v>1154</v>
      </c>
    </row>
    <row r="79" spans="1:3" x14ac:dyDescent="0.25">
      <c r="A79" t="s">
        <v>122</v>
      </c>
      <c r="B79" t="s">
        <v>191</v>
      </c>
      <c r="C79" t="s">
        <v>1155</v>
      </c>
    </row>
    <row r="80" spans="1:3" x14ac:dyDescent="0.25">
      <c r="A80" t="s">
        <v>122</v>
      </c>
      <c r="B80" t="s">
        <v>192</v>
      </c>
      <c r="C80" t="s">
        <v>1156</v>
      </c>
    </row>
    <row r="81" spans="1:3" x14ac:dyDescent="0.25">
      <c r="A81" t="s">
        <v>122</v>
      </c>
      <c r="B81" t="s">
        <v>193</v>
      </c>
      <c r="C81" t="s">
        <v>1157</v>
      </c>
    </row>
    <row r="82" spans="1:3" x14ac:dyDescent="0.25">
      <c r="A82" t="s">
        <v>122</v>
      </c>
      <c r="B82" t="s">
        <v>194</v>
      </c>
      <c r="C82" t="s">
        <v>1158</v>
      </c>
    </row>
    <row r="83" spans="1:3" x14ac:dyDescent="0.25">
      <c r="A83" t="s">
        <v>122</v>
      </c>
      <c r="B83" t="s">
        <v>195</v>
      </c>
      <c r="C83" t="s">
        <v>1159</v>
      </c>
    </row>
    <row r="84" spans="1:3" x14ac:dyDescent="0.25">
      <c r="A84" t="s">
        <v>122</v>
      </c>
      <c r="B84" t="s">
        <v>196</v>
      </c>
      <c r="C84" t="s">
        <v>1160</v>
      </c>
    </row>
    <row r="85" spans="1:3" x14ac:dyDescent="0.25">
      <c r="A85" t="s">
        <v>122</v>
      </c>
      <c r="B85" t="s">
        <v>197</v>
      </c>
      <c r="C85" t="s">
        <v>1161</v>
      </c>
    </row>
    <row r="86" spans="1:3" x14ac:dyDescent="0.25">
      <c r="A86" t="s">
        <v>122</v>
      </c>
      <c r="B86" t="s">
        <v>198</v>
      </c>
      <c r="C86" t="s">
        <v>1162</v>
      </c>
    </row>
    <row r="87" spans="1:3" x14ac:dyDescent="0.25">
      <c r="A87" t="s">
        <v>122</v>
      </c>
      <c r="B87" t="s">
        <v>199</v>
      </c>
      <c r="C87" t="s">
        <v>1163</v>
      </c>
    </row>
    <row r="88" spans="1:3" x14ac:dyDescent="0.25">
      <c r="A88" t="s">
        <v>122</v>
      </c>
      <c r="B88" t="s">
        <v>866</v>
      </c>
      <c r="C88" t="s">
        <v>1164</v>
      </c>
    </row>
    <row r="89" spans="1:3" x14ac:dyDescent="0.25">
      <c r="A89" t="s">
        <v>122</v>
      </c>
      <c r="B89" t="s">
        <v>200</v>
      </c>
      <c r="C89" t="s">
        <v>1165</v>
      </c>
    </row>
    <row r="90" spans="1:3" x14ac:dyDescent="0.25">
      <c r="A90" t="s">
        <v>122</v>
      </c>
      <c r="B90" t="s">
        <v>201</v>
      </c>
      <c r="C90" t="s">
        <v>1166</v>
      </c>
    </row>
    <row r="91" spans="1:3" x14ac:dyDescent="0.25">
      <c r="A91" t="s">
        <v>122</v>
      </c>
      <c r="B91" t="s">
        <v>202</v>
      </c>
      <c r="C91" t="s">
        <v>1167</v>
      </c>
    </row>
    <row r="92" spans="1:3" x14ac:dyDescent="0.25">
      <c r="A92" t="s">
        <v>122</v>
      </c>
      <c r="B92" t="s">
        <v>203</v>
      </c>
      <c r="C92" t="s">
        <v>1168</v>
      </c>
    </row>
    <row r="93" spans="1:3" x14ac:dyDescent="0.25">
      <c r="A93" t="s">
        <v>122</v>
      </c>
      <c r="B93" t="s">
        <v>204</v>
      </c>
      <c r="C93" t="s">
        <v>1169</v>
      </c>
    </row>
    <row r="94" spans="1:3" x14ac:dyDescent="0.25">
      <c r="A94" t="s">
        <v>122</v>
      </c>
      <c r="B94" t="s">
        <v>867</v>
      </c>
      <c r="C94" t="s">
        <v>1170</v>
      </c>
    </row>
    <row r="95" spans="1:3" x14ac:dyDescent="0.25">
      <c r="A95" t="s">
        <v>122</v>
      </c>
      <c r="B95" t="s">
        <v>205</v>
      </c>
      <c r="C95" t="s">
        <v>1171</v>
      </c>
    </row>
    <row r="96" spans="1:3" x14ac:dyDescent="0.25">
      <c r="A96" t="s">
        <v>122</v>
      </c>
      <c r="B96" t="s">
        <v>206</v>
      </c>
      <c r="C96" t="s">
        <v>1172</v>
      </c>
    </row>
    <row r="97" spans="1:3" x14ac:dyDescent="0.25">
      <c r="A97" t="s">
        <v>122</v>
      </c>
      <c r="B97" t="s">
        <v>207</v>
      </c>
      <c r="C97" t="s">
        <v>1173</v>
      </c>
    </row>
    <row r="98" spans="1:3" x14ac:dyDescent="0.25">
      <c r="A98" t="s">
        <v>122</v>
      </c>
      <c r="B98" t="s">
        <v>208</v>
      </c>
      <c r="C98" t="s">
        <v>1174</v>
      </c>
    </row>
    <row r="99" spans="1:3" x14ac:dyDescent="0.25">
      <c r="A99" t="s">
        <v>122</v>
      </c>
      <c r="B99" t="s">
        <v>209</v>
      </c>
      <c r="C99" t="s">
        <v>1175</v>
      </c>
    </row>
    <row r="100" spans="1:3" x14ac:dyDescent="0.25">
      <c r="A100" t="s">
        <v>122</v>
      </c>
      <c r="B100" t="s">
        <v>210</v>
      </c>
      <c r="C100" t="s">
        <v>1176</v>
      </c>
    </row>
    <row r="101" spans="1:3" x14ac:dyDescent="0.25">
      <c r="A101" t="s">
        <v>122</v>
      </c>
      <c r="B101" t="s">
        <v>868</v>
      </c>
      <c r="C101" t="s">
        <v>1177</v>
      </c>
    </row>
    <row r="102" spans="1:3" x14ac:dyDescent="0.25">
      <c r="A102" t="s">
        <v>122</v>
      </c>
      <c r="B102" t="s">
        <v>211</v>
      </c>
      <c r="C102" t="s">
        <v>1178</v>
      </c>
    </row>
    <row r="103" spans="1:3" x14ac:dyDescent="0.25">
      <c r="A103" t="s">
        <v>122</v>
      </c>
      <c r="B103" t="s">
        <v>212</v>
      </c>
      <c r="C103" t="s">
        <v>1179</v>
      </c>
    </row>
    <row r="104" spans="1:3" x14ac:dyDescent="0.25">
      <c r="A104" t="s">
        <v>122</v>
      </c>
      <c r="B104" t="s">
        <v>213</v>
      </c>
      <c r="C104" t="s">
        <v>1180</v>
      </c>
    </row>
    <row r="105" spans="1:3" x14ac:dyDescent="0.25">
      <c r="A105" t="s">
        <v>122</v>
      </c>
      <c r="B105" t="s">
        <v>214</v>
      </c>
      <c r="C105" t="s">
        <v>1181</v>
      </c>
    </row>
    <row r="106" spans="1:3" x14ac:dyDescent="0.25">
      <c r="A106" t="s">
        <v>122</v>
      </c>
      <c r="B106" t="s">
        <v>215</v>
      </c>
      <c r="C106" t="s">
        <v>1182</v>
      </c>
    </row>
    <row r="107" spans="1:3" x14ac:dyDescent="0.25">
      <c r="A107" t="s">
        <v>122</v>
      </c>
      <c r="B107" t="s">
        <v>216</v>
      </c>
      <c r="C107" t="s">
        <v>1183</v>
      </c>
    </row>
    <row r="108" spans="1:3" x14ac:dyDescent="0.25">
      <c r="A108" t="s">
        <v>122</v>
      </c>
      <c r="B108" t="s">
        <v>217</v>
      </c>
      <c r="C108" t="s">
        <v>1184</v>
      </c>
    </row>
    <row r="109" spans="1:3" x14ac:dyDescent="0.25">
      <c r="A109" t="s">
        <v>122</v>
      </c>
      <c r="B109" t="s">
        <v>218</v>
      </c>
      <c r="C109" t="s">
        <v>1185</v>
      </c>
    </row>
    <row r="110" spans="1:3" x14ac:dyDescent="0.25">
      <c r="A110" t="s">
        <v>122</v>
      </c>
      <c r="B110" t="s">
        <v>219</v>
      </c>
      <c r="C110" t="s">
        <v>1186</v>
      </c>
    </row>
    <row r="111" spans="1:3" x14ac:dyDescent="0.25">
      <c r="A111" t="s">
        <v>122</v>
      </c>
      <c r="B111" t="s">
        <v>220</v>
      </c>
      <c r="C111" t="s">
        <v>1187</v>
      </c>
    </row>
    <row r="112" spans="1:3" x14ac:dyDescent="0.25">
      <c r="A112" t="s">
        <v>122</v>
      </c>
      <c r="B112" t="s">
        <v>221</v>
      </c>
      <c r="C112" t="s">
        <v>1188</v>
      </c>
    </row>
    <row r="113" spans="1:3" x14ac:dyDescent="0.25">
      <c r="A113" t="s">
        <v>122</v>
      </c>
      <c r="B113" t="s">
        <v>222</v>
      </c>
      <c r="C113" t="s">
        <v>1189</v>
      </c>
    </row>
    <row r="114" spans="1:3" x14ac:dyDescent="0.25">
      <c r="A114" t="s">
        <v>122</v>
      </c>
      <c r="B114" t="s">
        <v>223</v>
      </c>
      <c r="C114" t="s">
        <v>1190</v>
      </c>
    </row>
    <row r="115" spans="1:3" x14ac:dyDescent="0.25">
      <c r="A115" t="s">
        <v>122</v>
      </c>
      <c r="B115" t="s">
        <v>869</v>
      </c>
      <c r="C115" t="s">
        <v>1191</v>
      </c>
    </row>
    <row r="116" spans="1:3" x14ac:dyDescent="0.25">
      <c r="A116" t="s">
        <v>122</v>
      </c>
      <c r="B116" t="s">
        <v>224</v>
      </c>
      <c r="C116" t="s">
        <v>1192</v>
      </c>
    </row>
    <row r="117" spans="1:3" x14ac:dyDescent="0.25">
      <c r="A117" t="s">
        <v>122</v>
      </c>
      <c r="B117" t="s">
        <v>225</v>
      </c>
      <c r="C117" t="s">
        <v>1193</v>
      </c>
    </row>
    <row r="118" spans="1:3" x14ac:dyDescent="0.25">
      <c r="A118" t="s">
        <v>122</v>
      </c>
      <c r="B118" t="s">
        <v>226</v>
      </c>
      <c r="C118" t="s">
        <v>1194</v>
      </c>
    </row>
    <row r="119" spans="1:3" x14ac:dyDescent="0.25">
      <c r="A119" t="s">
        <v>122</v>
      </c>
      <c r="B119" t="s">
        <v>227</v>
      </c>
      <c r="C119" t="s">
        <v>1195</v>
      </c>
    </row>
    <row r="120" spans="1:3" x14ac:dyDescent="0.25">
      <c r="A120" t="s">
        <v>122</v>
      </c>
      <c r="B120" t="s">
        <v>228</v>
      </c>
      <c r="C120" t="s">
        <v>1196</v>
      </c>
    </row>
    <row r="121" spans="1:3" x14ac:dyDescent="0.25">
      <c r="A121" t="s">
        <v>122</v>
      </c>
      <c r="B121" t="s">
        <v>870</v>
      </c>
      <c r="C121" t="s">
        <v>1197</v>
      </c>
    </row>
    <row r="122" spans="1:3" x14ac:dyDescent="0.25">
      <c r="A122" t="s">
        <v>122</v>
      </c>
      <c r="B122" t="s">
        <v>229</v>
      </c>
      <c r="C122" t="s">
        <v>1198</v>
      </c>
    </row>
    <row r="123" spans="1:3" x14ac:dyDescent="0.25">
      <c r="A123" t="s">
        <v>122</v>
      </c>
      <c r="B123" t="s">
        <v>230</v>
      </c>
      <c r="C123" t="s">
        <v>1199</v>
      </c>
    </row>
    <row r="124" spans="1:3" x14ac:dyDescent="0.25">
      <c r="A124" t="s">
        <v>122</v>
      </c>
      <c r="B124" t="s">
        <v>231</v>
      </c>
      <c r="C124" t="s">
        <v>1200</v>
      </c>
    </row>
    <row r="125" spans="1:3" x14ac:dyDescent="0.25">
      <c r="A125" t="s">
        <v>122</v>
      </c>
      <c r="B125" t="s">
        <v>232</v>
      </c>
      <c r="C125" t="s">
        <v>1201</v>
      </c>
    </row>
    <row r="126" spans="1:3" x14ac:dyDescent="0.25">
      <c r="A126" t="s">
        <v>122</v>
      </c>
      <c r="B126" t="s">
        <v>233</v>
      </c>
      <c r="C126" t="s">
        <v>1202</v>
      </c>
    </row>
    <row r="127" spans="1:3" x14ac:dyDescent="0.25">
      <c r="A127" t="s">
        <v>122</v>
      </c>
      <c r="B127" t="s">
        <v>234</v>
      </c>
      <c r="C127" t="s">
        <v>1203</v>
      </c>
    </row>
    <row r="128" spans="1:3" x14ac:dyDescent="0.25">
      <c r="A128" t="s">
        <v>122</v>
      </c>
      <c r="B128" t="s">
        <v>235</v>
      </c>
      <c r="C128" t="s">
        <v>1204</v>
      </c>
    </row>
    <row r="129" spans="1:3" x14ac:dyDescent="0.25">
      <c r="A129" t="s">
        <v>122</v>
      </c>
      <c r="B129" t="s">
        <v>236</v>
      </c>
      <c r="C129" t="s">
        <v>1205</v>
      </c>
    </row>
    <row r="130" spans="1:3" x14ac:dyDescent="0.25">
      <c r="A130" t="s">
        <v>122</v>
      </c>
      <c r="B130" t="s">
        <v>237</v>
      </c>
      <c r="C130" t="s">
        <v>1206</v>
      </c>
    </row>
    <row r="131" spans="1:3" x14ac:dyDescent="0.25">
      <c r="A131" t="s">
        <v>122</v>
      </c>
      <c r="B131" t="s">
        <v>238</v>
      </c>
      <c r="C131" t="s">
        <v>1207</v>
      </c>
    </row>
    <row r="132" spans="1:3" x14ac:dyDescent="0.25">
      <c r="A132" t="s">
        <v>122</v>
      </c>
      <c r="B132" t="s">
        <v>239</v>
      </c>
      <c r="C132" t="s">
        <v>1208</v>
      </c>
    </row>
    <row r="133" spans="1:3" x14ac:dyDescent="0.25">
      <c r="A133" t="s">
        <v>122</v>
      </c>
      <c r="B133" t="s">
        <v>240</v>
      </c>
      <c r="C133" t="s">
        <v>1209</v>
      </c>
    </row>
    <row r="134" spans="1:3" x14ac:dyDescent="0.25">
      <c r="A134" t="s">
        <v>122</v>
      </c>
      <c r="B134" t="s">
        <v>241</v>
      </c>
      <c r="C134" t="s">
        <v>1210</v>
      </c>
    </row>
    <row r="135" spans="1:3" x14ac:dyDescent="0.25">
      <c r="A135" t="s">
        <v>122</v>
      </c>
      <c r="B135" t="s">
        <v>242</v>
      </c>
      <c r="C135" t="s">
        <v>1211</v>
      </c>
    </row>
    <row r="136" spans="1:3" x14ac:dyDescent="0.25">
      <c r="A136" t="s">
        <v>122</v>
      </c>
      <c r="B136" t="s">
        <v>243</v>
      </c>
      <c r="C136" t="s">
        <v>1212</v>
      </c>
    </row>
    <row r="137" spans="1:3" x14ac:dyDescent="0.25">
      <c r="A137" t="s">
        <v>122</v>
      </c>
      <c r="B137" t="s">
        <v>244</v>
      </c>
      <c r="C137" t="s">
        <v>1213</v>
      </c>
    </row>
    <row r="138" spans="1:3" x14ac:dyDescent="0.25">
      <c r="A138" t="s">
        <v>122</v>
      </c>
      <c r="B138" t="s">
        <v>245</v>
      </c>
      <c r="C138" t="s">
        <v>1214</v>
      </c>
    </row>
    <row r="139" spans="1:3" x14ac:dyDescent="0.25">
      <c r="A139" t="s">
        <v>122</v>
      </c>
      <c r="B139" t="s">
        <v>246</v>
      </c>
      <c r="C139" t="s">
        <v>1215</v>
      </c>
    </row>
    <row r="140" spans="1:3" x14ac:dyDescent="0.25">
      <c r="A140" t="s">
        <v>122</v>
      </c>
      <c r="B140" t="s">
        <v>247</v>
      </c>
      <c r="C140" t="s">
        <v>1216</v>
      </c>
    </row>
    <row r="141" spans="1:3" x14ac:dyDescent="0.25">
      <c r="A141" t="s">
        <v>122</v>
      </c>
      <c r="B141" t="s">
        <v>248</v>
      </c>
      <c r="C141" t="s">
        <v>1217</v>
      </c>
    </row>
    <row r="142" spans="1:3" x14ac:dyDescent="0.25">
      <c r="A142" t="s">
        <v>122</v>
      </c>
      <c r="B142" t="s">
        <v>249</v>
      </c>
      <c r="C142" t="s">
        <v>1218</v>
      </c>
    </row>
    <row r="143" spans="1:3" x14ac:dyDescent="0.25">
      <c r="A143" t="s">
        <v>122</v>
      </c>
      <c r="B143" t="s">
        <v>250</v>
      </c>
      <c r="C143" t="s">
        <v>1219</v>
      </c>
    </row>
    <row r="144" spans="1:3" x14ac:dyDescent="0.25">
      <c r="A144" t="s">
        <v>122</v>
      </c>
      <c r="B144" t="s">
        <v>251</v>
      </c>
      <c r="C144" t="s">
        <v>1220</v>
      </c>
    </row>
    <row r="145" spans="1:3" x14ac:dyDescent="0.25">
      <c r="A145" t="s">
        <v>122</v>
      </c>
      <c r="B145" t="s">
        <v>252</v>
      </c>
      <c r="C145" t="s">
        <v>1221</v>
      </c>
    </row>
    <row r="146" spans="1:3" x14ac:dyDescent="0.25">
      <c r="A146" t="s">
        <v>122</v>
      </c>
      <c r="B146" t="s">
        <v>253</v>
      </c>
      <c r="C146" t="s">
        <v>1222</v>
      </c>
    </row>
    <row r="147" spans="1:3" x14ac:dyDescent="0.25">
      <c r="A147" t="s">
        <v>122</v>
      </c>
      <c r="B147" t="s">
        <v>254</v>
      </c>
      <c r="C147" t="s">
        <v>1223</v>
      </c>
    </row>
    <row r="148" spans="1:3" x14ac:dyDescent="0.25">
      <c r="A148" t="s">
        <v>122</v>
      </c>
      <c r="B148" t="s">
        <v>255</v>
      </c>
      <c r="C148" t="s">
        <v>1224</v>
      </c>
    </row>
    <row r="149" spans="1:3" x14ac:dyDescent="0.25">
      <c r="A149" t="s">
        <v>122</v>
      </c>
      <c r="B149" t="s">
        <v>256</v>
      </c>
      <c r="C149" t="s">
        <v>1225</v>
      </c>
    </row>
    <row r="150" spans="1:3" x14ac:dyDescent="0.25">
      <c r="A150" t="s">
        <v>122</v>
      </c>
      <c r="B150" t="s">
        <v>257</v>
      </c>
      <c r="C150" t="s">
        <v>1226</v>
      </c>
    </row>
    <row r="151" spans="1:3" x14ac:dyDescent="0.25">
      <c r="A151" t="s">
        <v>122</v>
      </c>
      <c r="B151" t="s">
        <v>258</v>
      </c>
      <c r="C151" t="s">
        <v>1227</v>
      </c>
    </row>
    <row r="152" spans="1:3" x14ac:dyDescent="0.25">
      <c r="A152" t="s">
        <v>122</v>
      </c>
      <c r="B152" t="s">
        <v>259</v>
      </c>
      <c r="C152" t="s">
        <v>1228</v>
      </c>
    </row>
    <row r="153" spans="1:3" x14ac:dyDescent="0.25">
      <c r="A153" t="s">
        <v>122</v>
      </c>
      <c r="B153" t="s">
        <v>260</v>
      </c>
      <c r="C153" t="s">
        <v>1229</v>
      </c>
    </row>
    <row r="154" spans="1:3" x14ac:dyDescent="0.25">
      <c r="A154" t="s">
        <v>122</v>
      </c>
      <c r="B154" t="s">
        <v>261</v>
      </c>
      <c r="C154" t="s">
        <v>1230</v>
      </c>
    </row>
    <row r="155" spans="1:3" x14ac:dyDescent="0.25">
      <c r="A155" t="s">
        <v>122</v>
      </c>
      <c r="B155" t="s">
        <v>262</v>
      </c>
      <c r="C155" t="s">
        <v>1231</v>
      </c>
    </row>
    <row r="156" spans="1:3" x14ac:dyDescent="0.25">
      <c r="A156" t="s">
        <v>122</v>
      </c>
      <c r="B156" t="s">
        <v>871</v>
      </c>
      <c r="C156" t="s">
        <v>1232</v>
      </c>
    </row>
    <row r="157" spans="1:3" x14ac:dyDescent="0.25">
      <c r="A157" t="s">
        <v>122</v>
      </c>
      <c r="B157" t="s">
        <v>872</v>
      </c>
      <c r="C157" t="s">
        <v>1233</v>
      </c>
    </row>
    <row r="158" spans="1:3" x14ac:dyDescent="0.25">
      <c r="A158" t="s">
        <v>122</v>
      </c>
      <c r="B158" t="s">
        <v>263</v>
      </c>
      <c r="C158" t="s">
        <v>1234</v>
      </c>
    </row>
    <row r="159" spans="1:3" x14ac:dyDescent="0.25">
      <c r="A159" t="s">
        <v>122</v>
      </c>
      <c r="B159" t="s">
        <v>264</v>
      </c>
      <c r="C159" t="s">
        <v>1235</v>
      </c>
    </row>
    <row r="160" spans="1:3" x14ac:dyDescent="0.25">
      <c r="A160" t="s">
        <v>122</v>
      </c>
      <c r="B160" t="s">
        <v>265</v>
      </c>
      <c r="C160" t="s">
        <v>1236</v>
      </c>
    </row>
    <row r="161" spans="1:3" x14ac:dyDescent="0.25">
      <c r="A161" t="s">
        <v>122</v>
      </c>
      <c r="B161" t="s">
        <v>266</v>
      </c>
      <c r="C161" t="s">
        <v>1237</v>
      </c>
    </row>
    <row r="162" spans="1:3" x14ac:dyDescent="0.25">
      <c r="A162" t="s">
        <v>122</v>
      </c>
      <c r="B162" t="s">
        <v>267</v>
      </c>
      <c r="C162" t="s">
        <v>1238</v>
      </c>
    </row>
    <row r="163" spans="1:3" x14ac:dyDescent="0.25">
      <c r="A163" t="s">
        <v>122</v>
      </c>
      <c r="B163" t="s">
        <v>268</v>
      </c>
      <c r="C163" t="s">
        <v>1239</v>
      </c>
    </row>
    <row r="164" spans="1:3" x14ac:dyDescent="0.25">
      <c r="A164" t="s">
        <v>122</v>
      </c>
      <c r="B164" t="s">
        <v>269</v>
      </c>
      <c r="C164" t="s">
        <v>1240</v>
      </c>
    </row>
    <row r="165" spans="1:3" x14ac:dyDescent="0.25">
      <c r="A165" t="s">
        <v>122</v>
      </c>
      <c r="B165" t="s">
        <v>270</v>
      </c>
      <c r="C165" t="s">
        <v>1241</v>
      </c>
    </row>
    <row r="166" spans="1:3" x14ac:dyDescent="0.25">
      <c r="A166" t="s">
        <v>122</v>
      </c>
      <c r="B166" t="s">
        <v>271</v>
      </c>
      <c r="C166" t="s">
        <v>1242</v>
      </c>
    </row>
    <row r="167" spans="1:3" x14ac:dyDescent="0.25">
      <c r="A167" t="s">
        <v>122</v>
      </c>
      <c r="B167" t="s">
        <v>272</v>
      </c>
      <c r="C167" t="s">
        <v>1243</v>
      </c>
    </row>
    <row r="168" spans="1:3" x14ac:dyDescent="0.25">
      <c r="A168" t="s">
        <v>122</v>
      </c>
      <c r="B168" t="s">
        <v>273</v>
      </c>
      <c r="C168" t="s">
        <v>1244</v>
      </c>
    </row>
    <row r="169" spans="1:3" x14ac:dyDescent="0.25">
      <c r="A169" t="s">
        <v>122</v>
      </c>
      <c r="B169" t="s">
        <v>274</v>
      </c>
      <c r="C169" t="s">
        <v>1245</v>
      </c>
    </row>
    <row r="170" spans="1:3" x14ac:dyDescent="0.25">
      <c r="A170" t="s">
        <v>122</v>
      </c>
      <c r="B170" t="s">
        <v>275</v>
      </c>
      <c r="C170" t="s">
        <v>1246</v>
      </c>
    </row>
    <row r="171" spans="1:3" x14ac:dyDescent="0.25">
      <c r="A171" t="s">
        <v>122</v>
      </c>
      <c r="B171" t="s">
        <v>276</v>
      </c>
      <c r="C171" t="s">
        <v>1247</v>
      </c>
    </row>
    <row r="172" spans="1:3" x14ac:dyDescent="0.25">
      <c r="A172" t="s">
        <v>122</v>
      </c>
      <c r="B172" t="s">
        <v>277</v>
      </c>
      <c r="C172" t="s">
        <v>1248</v>
      </c>
    </row>
    <row r="173" spans="1:3" x14ac:dyDescent="0.25">
      <c r="A173" t="s">
        <v>122</v>
      </c>
      <c r="B173" t="s">
        <v>278</v>
      </c>
      <c r="C173" t="s">
        <v>1249</v>
      </c>
    </row>
    <row r="174" spans="1:3" x14ac:dyDescent="0.25">
      <c r="A174" t="s">
        <v>122</v>
      </c>
      <c r="B174" t="s">
        <v>279</v>
      </c>
      <c r="C174" t="s">
        <v>1250</v>
      </c>
    </row>
    <row r="175" spans="1:3" x14ac:dyDescent="0.25">
      <c r="A175" t="s">
        <v>122</v>
      </c>
      <c r="B175" t="s">
        <v>280</v>
      </c>
      <c r="C175" t="s">
        <v>1251</v>
      </c>
    </row>
    <row r="176" spans="1:3" x14ac:dyDescent="0.25">
      <c r="A176" t="s">
        <v>122</v>
      </c>
      <c r="B176" t="s">
        <v>281</v>
      </c>
      <c r="C176" t="s">
        <v>1252</v>
      </c>
    </row>
    <row r="177" spans="1:3" x14ac:dyDescent="0.25">
      <c r="A177" t="s">
        <v>122</v>
      </c>
      <c r="B177" t="s">
        <v>282</v>
      </c>
      <c r="C177" t="s">
        <v>1253</v>
      </c>
    </row>
    <row r="178" spans="1:3" x14ac:dyDescent="0.25">
      <c r="A178" t="s">
        <v>122</v>
      </c>
      <c r="B178" t="s">
        <v>283</v>
      </c>
      <c r="C178" t="s">
        <v>1254</v>
      </c>
    </row>
    <row r="179" spans="1:3" x14ac:dyDescent="0.25">
      <c r="A179" t="s">
        <v>122</v>
      </c>
      <c r="B179" t="s">
        <v>284</v>
      </c>
      <c r="C179" t="s">
        <v>1255</v>
      </c>
    </row>
    <row r="180" spans="1:3" x14ac:dyDescent="0.25">
      <c r="A180" t="s">
        <v>122</v>
      </c>
      <c r="B180" t="s">
        <v>285</v>
      </c>
      <c r="C180" t="s">
        <v>1256</v>
      </c>
    </row>
    <row r="181" spans="1:3" x14ac:dyDescent="0.25">
      <c r="A181" t="s">
        <v>122</v>
      </c>
      <c r="B181" t="s">
        <v>286</v>
      </c>
      <c r="C181" t="s">
        <v>1257</v>
      </c>
    </row>
    <row r="182" spans="1:3" x14ac:dyDescent="0.25">
      <c r="A182" t="s">
        <v>122</v>
      </c>
      <c r="B182" t="s">
        <v>287</v>
      </c>
      <c r="C182" t="s">
        <v>1258</v>
      </c>
    </row>
    <row r="183" spans="1:3" x14ac:dyDescent="0.25">
      <c r="A183" t="s">
        <v>122</v>
      </c>
      <c r="B183" t="s">
        <v>288</v>
      </c>
      <c r="C183" t="s">
        <v>1259</v>
      </c>
    </row>
    <row r="184" spans="1:3" x14ac:dyDescent="0.25">
      <c r="A184" t="s">
        <v>122</v>
      </c>
      <c r="B184" t="s">
        <v>289</v>
      </c>
      <c r="C184" t="s">
        <v>1260</v>
      </c>
    </row>
    <row r="185" spans="1:3" x14ac:dyDescent="0.25">
      <c r="A185" t="s">
        <v>122</v>
      </c>
      <c r="B185" t="s">
        <v>290</v>
      </c>
      <c r="C185" t="s">
        <v>1261</v>
      </c>
    </row>
    <row r="186" spans="1:3" x14ac:dyDescent="0.25">
      <c r="A186" t="s">
        <v>122</v>
      </c>
      <c r="B186" t="s">
        <v>291</v>
      </c>
      <c r="C186" t="s">
        <v>1262</v>
      </c>
    </row>
    <row r="187" spans="1:3" x14ac:dyDescent="0.25">
      <c r="A187" t="s">
        <v>122</v>
      </c>
      <c r="B187" t="s">
        <v>292</v>
      </c>
      <c r="C187" t="s">
        <v>1263</v>
      </c>
    </row>
    <row r="188" spans="1:3" x14ac:dyDescent="0.25">
      <c r="A188" t="s">
        <v>122</v>
      </c>
      <c r="B188" t="s">
        <v>873</v>
      </c>
      <c r="C188" t="s">
        <v>1264</v>
      </c>
    </row>
    <row r="189" spans="1:3" x14ac:dyDescent="0.25">
      <c r="A189" t="s">
        <v>122</v>
      </c>
      <c r="B189" t="s">
        <v>293</v>
      </c>
      <c r="C189" t="s">
        <v>1265</v>
      </c>
    </row>
    <row r="190" spans="1:3" x14ac:dyDescent="0.25">
      <c r="A190" t="s">
        <v>122</v>
      </c>
      <c r="B190" t="s">
        <v>294</v>
      </c>
      <c r="C190" t="s">
        <v>1266</v>
      </c>
    </row>
    <row r="191" spans="1:3" x14ac:dyDescent="0.25">
      <c r="A191" t="s">
        <v>122</v>
      </c>
      <c r="B191" t="s">
        <v>295</v>
      </c>
      <c r="C191" t="s">
        <v>1267</v>
      </c>
    </row>
    <row r="192" spans="1:3" x14ac:dyDescent="0.25">
      <c r="A192" t="s">
        <v>122</v>
      </c>
      <c r="B192" t="s">
        <v>296</v>
      </c>
      <c r="C192" t="s">
        <v>1268</v>
      </c>
    </row>
    <row r="193" spans="1:3" x14ac:dyDescent="0.25">
      <c r="A193" t="s">
        <v>122</v>
      </c>
      <c r="B193" t="s">
        <v>297</v>
      </c>
      <c r="C193" t="s">
        <v>1269</v>
      </c>
    </row>
    <row r="194" spans="1:3" x14ac:dyDescent="0.25">
      <c r="A194" t="s">
        <v>122</v>
      </c>
      <c r="B194" t="s">
        <v>298</v>
      </c>
      <c r="C194" t="s">
        <v>1270</v>
      </c>
    </row>
    <row r="195" spans="1:3" x14ac:dyDescent="0.25">
      <c r="A195" t="s">
        <v>122</v>
      </c>
      <c r="B195" t="s">
        <v>299</v>
      </c>
      <c r="C195" t="s">
        <v>1271</v>
      </c>
    </row>
    <row r="196" spans="1:3" x14ac:dyDescent="0.25">
      <c r="A196" t="s">
        <v>122</v>
      </c>
      <c r="B196" t="s">
        <v>300</v>
      </c>
      <c r="C196" t="s">
        <v>1272</v>
      </c>
    </row>
    <row r="197" spans="1:3" x14ac:dyDescent="0.25">
      <c r="A197" t="s">
        <v>122</v>
      </c>
      <c r="B197" t="s">
        <v>301</v>
      </c>
      <c r="C197" t="s">
        <v>1273</v>
      </c>
    </row>
    <row r="198" spans="1:3" x14ac:dyDescent="0.25">
      <c r="A198" t="s">
        <v>122</v>
      </c>
      <c r="B198" t="s">
        <v>302</v>
      </c>
      <c r="C198" t="s">
        <v>1274</v>
      </c>
    </row>
    <row r="199" spans="1:3" x14ac:dyDescent="0.25">
      <c r="A199" t="s">
        <v>122</v>
      </c>
      <c r="B199" t="s">
        <v>303</v>
      </c>
      <c r="C199" t="s">
        <v>1275</v>
      </c>
    </row>
    <row r="200" spans="1:3" x14ac:dyDescent="0.25">
      <c r="A200" t="s">
        <v>122</v>
      </c>
      <c r="B200" t="s">
        <v>304</v>
      </c>
      <c r="C200" t="s">
        <v>1276</v>
      </c>
    </row>
    <row r="201" spans="1:3" x14ac:dyDescent="0.25">
      <c r="A201" t="s">
        <v>122</v>
      </c>
      <c r="B201" t="s">
        <v>305</v>
      </c>
      <c r="C201" t="s">
        <v>1277</v>
      </c>
    </row>
    <row r="202" spans="1:3" x14ac:dyDescent="0.25">
      <c r="A202" t="s">
        <v>122</v>
      </c>
      <c r="B202" t="s">
        <v>306</v>
      </c>
      <c r="C202" t="s">
        <v>1278</v>
      </c>
    </row>
    <row r="203" spans="1:3" x14ac:dyDescent="0.25">
      <c r="A203" t="s">
        <v>122</v>
      </c>
      <c r="B203" t="s">
        <v>307</v>
      </c>
      <c r="C203" t="s">
        <v>1279</v>
      </c>
    </row>
    <row r="204" spans="1:3" x14ac:dyDescent="0.25">
      <c r="A204" t="s">
        <v>122</v>
      </c>
      <c r="B204" t="s">
        <v>308</v>
      </c>
      <c r="C204" t="s">
        <v>1280</v>
      </c>
    </row>
    <row r="205" spans="1:3" x14ac:dyDescent="0.25">
      <c r="A205" t="s">
        <v>122</v>
      </c>
      <c r="B205" t="s">
        <v>309</v>
      </c>
      <c r="C205" t="s">
        <v>1281</v>
      </c>
    </row>
    <row r="206" spans="1:3" x14ac:dyDescent="0.25">
      <c r="A206" t="s">
        <v>122</v>
      </c>
      <c r="B206" t="s">
        <v>310</v>
      </c>
      <c r="C206" t="s">
        <v>1282</v>
      </c>
    </row>
    <row r="207" spans="1:3" x14ac:dyDescent="0.25">
      <c r="A207" t="s">
        <v>122</v>
      </c>
      <c r="B207" t="s">
        <v>311</v>
      </c>
      <c r="C207" t="s">
        <v>1283</v>
      </c>
    </row>
    <row r="208" spans="1:3" x14ac:dyDescent="0.25">
      <c r="A208" t="s">
        <v>122</v>
      </c>
      <c r="B208" t="s">
        <v>312</v>
      </c>
      <c r="C208" t="s">
        <v>1284</v>
      </c>
    </row>
    <row r="209" spans="1:3" x14ac:dyDescent="0.25">
      <c r="A209" t="s">
        <v>122</v>
      </c>
      <c r="B209" t="s">
        <v>967</v>
      </c>
      <c r="C209" t="s">
        <v>1285</v>
      </c>
    </row>
    <row r="210" spans="1:3" x14ac:dyDescent="0.25">
      <c r="A210" t="s">
        <v>122</v>
      </c>
      <c r="B210" t="s">
        <v>313</v>
      </c>
      <c r="C210" t="s">
        <v>1286</v>
      </c>
    </row>
    <row r="211" spans="1:3" x14ac:dyDescent="0.25">
      <c r="A211" t="s">
        <v>122</v>
      </c>
      <c r="B211" t="s">
        <v>874</v>
      </c>
      <c r="C211" t="s">
        <v>1287</v>
      </c>
    </row>
    <row r="212" spans="1:3" x14ac:dyDescent="0.25">
      <c r="A212" t="s">
        <v>122</v>
      </c>
      <c r="B212" t="s">
        <v>314</v>
      </c>
      <c r="C212" t="s">
        <v>1288</v>
      </c>
    </row>
    <row r="213" spans="1:3" x14ac:dyDescent="0.25">
      <c r="A213" t="s">
        <v>122</v>
      </c>
      <c r="B213" t="s">
        <v>315</v>
      </c>
      <c r="C213" t="s">
        <v>1289</v>
      </c>
    </row>
    <row r="214" spans="1:3" x14ac:dyDescent="0.25">
      <c r="A214" t="s">
        <v>122</v>
      </c>
      <c r="B214" t="s">
        <v>316</v>
      </c>
      <c r="C214" t="s">
        <v>1290</v>
      </c>
    </row>
    <row r="215" spans="1:3" x14ac:dyDescent="0.25">
      <c r="A215" t="s">
        <v>122</v>
      </c>
      <c r="B215" t="s">
        <v>317</v>
      </c>
      <c r="C215" t="s">
        <v>1291</v>
      </c>
    </row>
    <row r="216" spans="1:3" x14ac:dyDescent="0.25">
      <c r="A216" t="s">
        <v>122</v>
      </c>
      <c r="B216" t="s">
        <v>318</v>
      </c>
      <c r="C216" t="s">
        <v>1292</v>
      </c>
    </row>
    <row r="217" spans="1:3" x14ac:dyDescent="0.25">
      <c r="A217" t="s">
        <v>122</v>
      </c>
      <c r="B217" t="s">
        <v>319</v>
      </c>
      <c r="C217" t="s">
        <v>1293</v>
      </c>
    </row>
    <row r="218" spans="1:3" x14ac:dyDescent="0.25">
      <c r="A218" t="s">
        <v>122</v>
      </c>
      <c r="B218" t="s">
        <v>320</v>
      </c>
      <c r="C218" t="s">
        <v>1294</v>
      </c>
    </row>
    <row r="219" spans="1:3" x14ac:dyDescent="0.25">
      <c r="A219" t="s">
        <v>122</v>
      </c>
      <c r="B219" t="s">
        <v>321</v>
      </c>
      <c r="C219" t="s">
        <v>1295</v>
      </c>
    </row>
    <row r="220" spans="1:3" x14ac:dyDescent="0.25">
      <c r="A220" t="s">
        <v>122</v>
      </c>
      <c r="B220" t="s">
        <v>322</v>
      </c>
      <c r="C220" t="s">
        <v>1296</v>
      </c>
    </row>
    <row r="221" spans="1:3" x14ac:dyDescent="0.25">
      <c r="A221" t="s">
        <v>122</v>
      </c>
      <c r="B221" t="s">
        <v>323</v>
      </c>
      <c r="C221" t="s">
        <v>1297</v>
      </c>
    </row>
    <row r="222" spans="1:3" x14ac:dyDescent="0.25">
      <c r="A222" t="s">
        <v>122</v>
      </c>
      <c r="B222" t="s">
        <v>324</v>
      </c>
      <c r="C222" t="s">
        <v>1298</v>
      </c>
    </row>
    <row r="223" spans="1:3" x14ac:dyDescent="0.25">
      <c r="A223" t="s">
        <v>122</v>
      </c>
      <c r="B223" t="s">
        <v>325</v>
      </c>
      <c r="C223" t="s">
        <v>1299</v>
      </c>
    </row>
    <row r="224" spans="1:3" x14ac:dyDescent="0.25">
      <c r="A224" t="s">
        <v>122</v>
      </c>
      <c r="B224" t="s">
        <v>326</v>
      </c>
      <c r="C224" t="s">
        <v>1300</v>
      </c>
    </row>
    <row r="225" spans="1:3" x14ac:dyDescent="0.25">
      <c r="A225" t="s">
        <v>122</v>
      </c>
      <c r="B225" t="s">
        <v>327</v>
      </c>
      <c r="C225" t="s">
        <v>1301</v>
      </c>
    </row>
    <row r="226" spans="1:3" x14ac:dyDescent="0.25">
      <c r="A226" t="s">
        <v>122</v>
      </c>
      <c r="B226" t="s">
        <v>328</v>
      </c>
      <c r="C226" t="s">
        <v>1302</v>
      </c>
    </row>
    <row r="227" spans="1:3" x14ac:dyDescent="0.25">
      <c r="A227" t="s">
        <v>122</v>
      </c>
      <c r="B227" t="s">
        <v>329</v>
      </c>
      <c r="C227" t="s">
        <v>1303</v>
      </c>
    </row>
    <row r="228" spans="1:3" x14ac:dyDescent="0.25">
      <c r="A228" t="s">
        <v>122</v>
      </c>
      <c r="B228" t="s">
        <v>330</v>
      </c>
      <c r="C228" t="s">
        <v>1304</v>
      </c>
    </row>
    <row r="229" spans="1:3" x14ac:dyDescent="0.25">
      <c r="A229" t="s">
        <v>122</v>
      </c>
      <c r="B229" t="s">
        <v>331</v>
      </c>
      <c r="C229" t="s">
        <v>1305</v>
      </c>
    </row>
    <row r="230" spans="1:3" x14ac:dyDescent="0.25">
      <c r="A230" t="s">
        <v>122</v>
      </c>
      <c r="B230" t="s">
        <v>332</v>
      </c>
      <c r="C230" t="s">
        <v>1306</v>
      </c>
    </row>
    <row r="231" spans="1:3" x14ac:dyDescent="0.25">
      <c r="A231" t="s">
        <v>122</v>
      </c>
      <c r="B231" t="s">
        <v>333</v>
      </c>
      <c r="C231" t="s">
        <v>1307</v>
      </c>
    </row>
    <row r="232" spans="1:3" x14ac:dyDescent="0.25">
      <c r="A232" t="s">
        <v>122</v>
      </c>
      <c r="B232" t="s">
        <v>334</v>
      </c>
      <c r="C232" t="s">
        <v>1308</v>
      </c>
    </row>
    <row r="233" spans="1:3" x14ac:dyDescent="0.25">
      <c r="A233" t="s">
        <v>122</v>
      </c>
      <c r="B233" t="s">
        <v>335</v>
      </c>
      <c r="C233" t="s">
        <v>1309</v>
      </c>
    </row>
    <row r="234" spans="1:3" x14ac:dyDescent="0.25">
      <c r="A234" t="s">
        <v>122</v>
      </c>
      <c r="B234" t="s">
        <v>336</v>
      </c>
      <c r="C234" t="s">
        <v>1310</v>
      </c>
    </row>
    <row r="235" spans="1:3" x14ac:dyDescent="0.25">
      <c r="A235" t="s">
        <v>122</v>
      </c>
      <c r="B235" t="s">
        <v>337</v>
      </c>
      <c r="C235" t="s">
        <v>1311</v>
      </c>
    </row>
    <row r="236" spans="1:3" x14ac:dyDescent="0.25">
      <c r="A236" t="s">
        <v>122</v>
      </c>
      <c r="B236" t="s">
        <v>338</v>
      </c>
      <c r="C236" t="s">
        <v>1312</v>
      </c>
    </row>
    <row r="237" spans="1:3" x14ac:dyDescent="0.25">
      <c r="A237" t="s">
        <v>122</v>
      </c>
      <c r="B237" t="s">
        <v>339</v>
      </c>
      <c r="C237" t="s">
        <v>1313</v>
      </c>
    </row>
    <row r="238" spans="1:3" x14ac:dyDescent="0.25">
      <c r="A238" t="s">
        <v>122</v>
      </c>
      <c r="B238" t="s">
        <v>340</v>
      </c>
      <c r="C238" t="s">
        <v>1314</v>
      </c>
    </row>
    <row r="239" spans="1:3" x14ac:dyDescent="0.25">
      <c r="A239" t="s">
        <v>122</v>
      </c>
      <c r="B239" t="s">
        <v>341</v>
      </c>
      <c r="C239" t="s">
        <v>1315</v>
      </c>
    </row>
    <row r="240" spans="1:3" x14ac:dyDescent="0.25">
      <c r="A240" t="s">
        <v>122</v>
      </c>
      <c r="B240" t="s">
        <v>342</v>
      </c>
      <c r="C240" t="s">
        <v>1316</v>
      </c>
    </row>
    <row r="241" spans="1:3" x14ac:dyDescent="0.25">
      <c r="A241" t="s">
        <v>122</v>
      </c>
      <c r="B241" t="s">
        <v>343</v>
      </c>
      <c r="C241" t="s">
        <v>1317</v>
      </c>
    </row>
    <row r="242" spans="1:3" x14ac:dyDescent="0.25">
      <c r="A242" t="s">
        <v>122</v>
      </c>
      <c r="B242" t="s">
        <v>344</v>
      </c>
      <c r="C242" t="s">
        <v>1318</v>
      </c>
    </row>
    <row r="243" spans="1:3" x14ac:dyDescent="0.25">
      <c r="A243" t="s">
        <v>122</v>
      </c>
      <c r="B243" t="s">
        <v>345</v>
      </c>
      <c r="C243" t="s">
        <v>1319</v>
      </c>
    </row>
    <row r="244" spans="1:3" x14ac:dyDescent="0.25">
      <c r="A244" t="s">
        <v>122</v>
      </c>
      <c r="B244" t="s">
        <v>346</v>
      </c>
      <c r="C244" t="s">
        <v>1320</v>
      </c>
    </row>
    <row r="245" spans="1:3" x14ac:dyDescent="0.25">
      <c r="A245" t="s">
        <v>122</v>
      </c>
      <c r="B245" t="s">
        <v>347</v>
      </c>
      <c r="C245" t="s">
        <v>1321</v>
      </c>
    </row>
    <row r="246" spans="1:3" x14ac:dyDescent="0.25">
      <c r="A246" t="s">
        <v>122</v>
      </c>
      <c r="B246" t="s">
        <v>348</v>
      </c>
      <c r="C246" t="s">
        <v>1322</v>
      </c>
    </row>
    <row r="247" spans="1:3" x14ac:dyDescent="0.25">
      <c r="A247" t="s">
        <v>122</v>
      </c>
      <c r="B247" t="s">
        <v>349</v>
      </c>
      <c r="C247" t="s">
        <v>1323</v>
      </c>
    </row>
    <row r="248" spans="1:3" x14ac:dyDescent="0.25">
      <c r="A248" t="s">
        <v>122</v>
      </c>
      <c r="B248" t="s">
        <v>350</v>
      </c>
      <c r="C248" t="s">
        <v>1324</v>
      </c>
    </row>
    <row r="249" spans="1:3" x14ac:dyDescent="0.25">
      <c r="A249" t="s">
        <v>122</v>
      </c>
      <c r="B249" t="s">
        <v>351</v>
      </c>
      <c r="C249" t="s">
        <v>1325</v>
      </c>
    </row>
    <row r="250" spans="1:3" x14ac:dyDescent="0.25">
      <c r="A250" t="s">
        <v>122</v>
      </c>
      <c r="B250" t="s">
        <v>352</v>
      </c>
      <c r="C250" t="s">
        <v>1326</v>
      </c>
    </row>
    <row r="251" spans="1:3" x14ac:dyDescent="0.25">
      <c r="A251" t="s">
        <v>122</v>
      </c>
      <c r="B251" t="s">
        <v>353</v>
      </c>
      <c r="C251" t="s">
        <v>1327</v>
      </c>
    </row>
    <row r="252" spans="1:3" x14ac:dyDescent="0.25">
      <c r="A252" t="s">
        <v>122</v>
      </c>
      <c r="B252" t="s">
        <v>875</v>
      </c>
      <c r="C252" t="s">
        <v>1328</v>
      </c>
    </row>
    <row r="253" spans="1:3" x14ac:dyDescent="0.25">
      <c r="A253" t="s">
        <v>122</v>
      </c>
      <c r="B253" t="s">
        <v>354</v>
      </c>
      <c r="C253" t="s">
        <v>1329</v>
      </c>
    </row>
    <row r="254" spans="1:3" x14ac:dyDescent="0.25">
      <c r="A254" t="s">
        <v>122</v>
      </c>
      <c r="B254" t="s">
        <v>355</v>
      </c>
      <c r="C254" t="s">
        <v>1330</v>
      </c>
    </row>
    <row r="255" spans="1:3" x14ac:dyDescent="0.25">
      <c r="A255" t="s">
        <v>122</v>
      </c>
      <c r="B255" t="s">
        <v>356</v>
      </c>
      <c r="C255" t="s">
        <v>1331</v>
      </c>
    </row>
    <row r="256" spans="1:3" x14ac:dyDescent="0.25">
      <c r="A256" t="s">
        <v>122</v>
      </c>
      <c r="B256" t="s">
        <v>357</v>
      </c>
      <c r="C256" t="s">
        <v>1332</v>
      </c>
    </row>
    <row r="257" spans="1:3" x14ac:dyDescent="0.25">
      <c r="A257" t="s">
        <v>122</v>
      </c>
      <c r="B257" t="s">
        <v>358</v>
      </c>
      <c r="C257" t="s">
        <v>1333</v>
      </c>
    </row>
    <row r="258" spans="1:3" x14ac:dyDescent="0.25">
      <c r="A258" t="s">
        <v>122</v>
      </c>
      <c r="B258" t="s">
        <v>359</v>
      </c>
      <c r="C258" t="s">
        <v>1334</v>
      </c>
    </row>
    <row r="259" spans="1:3" x14ac:dyDescent="0.25">
      <c r="A259" t="s">
        <v>122</v>
      </c>
      <c r="B259" t="s">
        <v>360</v>
      </c>
      <c r="C259" t="s">
        <v>1335</v>
      </c>
    </row>
    <row r="260" spans="1:3" x14ac:dyDescent="0.25">
      <c r="A260" t="s">
        <v>122</v>
      </c>
      <c r="B260" t="s">
        <v>361</v>
      </c>
      <c r="C260" t="s">
        <v>1336</v>
      </c>
    </row>
    <row r="261" spans="1:3" x14ac:dyDescent="0.25">
      <c r="A261" t="s">
        <v>122</v>
      </c>
      <c r="B261" t="s">
        <v>362</v>
      </c>
      <c r="C261" t="s">
        <v>1337</v>
      </c>
    </row>
    <row r="262" spans="1:3" x14ac:dyDescent="0.25">
      <c r="A262" t="s">
        <v>122</v>
      </c>
      <c r="B262" t="s">
        <v>876</v>
      </c>
      <c r="C262" t="s">
        <v>1338</v>
      </c>
    </row>
    <row r="263" spans="1:3" x14ac:dyDescent="0.25">
      <c r="A263" t="s">
        <v>122</v>
      </c>
      <c r="B263" t="s">
        <v>363</v>
      </c>
      <c r="C263" t="s">
        <v>1339</v>
      </c>
    </row>
    <row r="264" spans="1:3" x14ac:dyDescent="0.25">
      <c r="A264" t="s">
        <v>122</v>
      </c>
      <c r="B264" t="s">
        <v>364</v>
      </c>
      <c r="C264" t="s">
        <v>1340</v>
      </c>
    </row>
    <row r="265" spans="1:3" x14ac:dyDescent="0.25">
      <c r="A265" t="s">
        <v>122</v>
      </c>
      <c r="B265" t="s">
        <v>365</v>
      </c>
      <c r="C265" t="s">
        <v>1341</v>
      </c>
    </row>
    <row r="266" spans="1:3" x14ac:dyDescent="0.25">
      <c r="A266" t="s">
        <v>122</v>
      </c>
      <c r="B266" t="s">
        <v>366</v>
      </c>
      <c r="C266" t="s">
        <v>1342</v>
      </c>
    </row>
    <row r="267" spans="1:3" x14ac:dyDescent="0.25">
      <c r="A267" t="s">
        <v>122</v>
      </c>
      <c r="B267" t="s">
        <v>367</v>
      </c>
      <c r="C267" t="s">
        <v>1343</v>
      </c>
    </row>
    <row r="268" spans="1:3" x14ac:dyDescent="0.25">
      <c r="A268" t="s">
        <v>122</v>
      </c>
      <c r="B268" t="s">
        <v>368</v>
      </c>
      <c r="C268" t="s">
        <v>1344</v>
      </c>
    </row>
    <row r="269" spans="1:3" x14ac:dyDescent="0.25">
      <c r="A269" t="s">
        <v>122</v>
      </c>
      <c r="B269" t="s">
        <v>369</v>
      </c>
      <c r="C269" t="s">
        <v>1345</v>
      </c>
    </row>
    <row r="270" spans="1:3" x14ac:dyDescent="0.25">
      <c r="A270" t="s">
        <v>122</v>
      </c>
      <c r="B270" t="s">
        <v>370</v>
      </c>
      <c r="C270" t="s">
        <v>1346</v>
      </c>
    </row>
    <row r="271" spans="1:3" x14ac:dyDescent="0.25">
      <c r="A271" t="s">
        <v>122</v>
      </c>
      <c r="B271" t="s">
        <v>371</v>
      </c>
      <c r="C271" t="s">
        <v>1347</v>
      </c>
    </row>
    <row r="272" spans="1:3" x14ac:dyDescent="0.25">
      <c r="A272" t="s">
        <v>122</v>
      </c>
      <c r="B272" t="s">
        <v>372</v>
      </c>
      <c r="C272" t="s">
        <v>1348</v>
      </c>
    </row>
    <row r="273" spans="1:3" x14ac:dyDescent="0.25">
      <c r="A273" t="s">
        <v>122</v>
      </c>
      <c r="B273" t="s">
        <v>373</v>
      </c>
      <c r="C273" t="s">
        <v>1349</v>
      </c>
    </row>
    <row r="274" spans="1:3" x14ac:dyDescent="0.25">
      <c r="A274" t="s">
        <v>122</v>
      </c>
      <c r="B274" t="s">
        <v>374</v>
      </c>
      <c r="C274" t="s">
        <v>1350</v>
      </c>
    </row>
    <row r="275" spans="1:3" x14ac:dyDescent="0.25">
      <c r="A275" t="s">
        <v>122</v>
      </c>
      <c r="B275" t="s">
        <v>375</v>
      </c>
      <c r="C275" t="s">
        <v>1351</v>
      </c>
    </row>
    <row r="276" spans="1:3" x14ac:dyDescent="0.25">
      <c r="A276" t="s">
        <v>122</v>
      </c>
      <c r="B276" t="s">
        <v>376</v>
      </c>
      <c r="C276" t="s">
        <v>1352</v>
      </c>
    </row>
    <row r="277" spans="1:3" x14ac:dyDescent="0.25">
      <c r="A277" t="s">
        <v>122</v>
      </c>
      <c r="B277" t="s">
        <v>377</v>
      </c>
      <c r="C277" t="s">
        <v>1353</v>
      </c>
    </row>
    <row r="278" spans="1:3" x14ac:dyDescent="0.25">
      <c r="A278" t="s">
        <v>122</v>
      </c>
      <c r="B278" t="s">
        <v>378</v>
      </c>
      <c r="C278" t="s">
        <v>1354</v>
      </c>
    </row>
    <row r="279" spans="1:3" x14ac:dyDescent="0.25">
      <c r="A279" t="s">
        <v>122</v>
      </c>
      <c r="B279" t="s">
        <v>379</v>
      </c>
      <c r="C279" t="s">
        <v>1355</v>
      </c>
    </row>
    <row r="280" spans="1:3" x14ac:dyDescent="0.25">
      <c r="A280" t="s">
        <v>122</v>
      </c>
      <c r="B280" t="s">
        <v>380</v>
      </c>
      <c r="C280" t="s">
        <v>1356</v>
      </c>
    </row>
    <row r="281" spans="1:3" x14ac:dyDescent="0.25">
      <c r="A281" t="s">
        <v>122</v>
      </c>
      <c r="B281" t="s">
        <v>381</v>
      </c>
      <c r="C281" t="s">
        <v>1357</v>
      </c>
    </row>
    <row r="282" spans="1:3" x14ac:dyDescent="0.25">
      <c r="A282" t="s">
        <v>122</v>
      </c>
      <c r="B282" t="s">
        <v>877</v>
      </c>
      <c r="C282" t="s">
        <v>1358</v>
      </c>
    </row>
    <row r="283" spans="1:3" x14ac:dyDescent="0.25">
      <c r="A283" t="s">
        <v>122</v>
      </c>
      <c r="B283" t="s">
        <v>382</v>
      </c>
      <c r="C283" t="s">
        <v>1359</v>
      </c>
    </row>
    <row r="284" spans="1:3" x14ac:dyDescent="0.25">
      <c r="A284" t="s">
        <v>122</v>
      </c>
      <c r="B284" t="s">
        <v>383</v>
      </c>
      <c r="C284" t="s">
        <v>1360</v>
      </c>
    </row>
    <row r="285" spans="1:3" x14ac:dyDescent="0.25">
      <c r="A285" t="s">
        <v>122</v>
      </c>
      <c r="B285" t="s">
        <v>878</v>
      </c>
      <c r="C285" t="s">
        <v>1361</v>
      </c>
    </row>
    <row r="286" spans="1:3" x14ac:dyDescent="0.25">
      <c r="A286" t="s">
        <v>122</v>
      </c>
      <c r="B286" t="s">
        <v>384</v>
      </c>
      <c r="C286" t="s">
        <v>1362</v>
      </c>
    </row>
    <row r="287" spans="1:3" x14ac:dyDescent="0.25">
      <c r="A287" t="s">
        <v>122</v>
      </c>
      <c r="B287" t="s">
        <v>385</v>
      </c>
      <c r="C287" t="s">
        <v>1363</v>
      </c>
    </row>
    <row r="288" spans="1:3" x14ac:dyDescent="0.25">
      <c r="A288" t="s">
        <v>122</v>
      </c>
      <c r="B288" t="s">
        <v>386</v>
      </c>
      <c r="C288" t="s">
        <v>1364</v>
      </c>
    </row>
    <row r="289" spans="1:3" x14ac:dyDescent="0.25">
      <c r="A289" t="s">
        <v>122</v>
      </c>
      <c r="B289" t="s">
        <v>879</v>
      </c>
      <c r="C289" t="s">
        <v>1365</v>
      </c>
    </row>
    <row r="290" spans="1:3" x14ac:dyDescent="0.25">
      <c r="A290" t="s">
        <v>122</v>
      </c>
      <c r="B290" t="s">
        <v>387</v>
      </c>
      <c r="C290" t="s">
        <v>1366</v>
      </c>
    </row>
    <row r="291" spans="1:3" x14ac:dyDescent="0.25">
      <c r="A291" t="s">
        <v>122</v>
      </c>
      <c r="B291" t="s">
        <v>388</v>
      </c>
      <c r="C291" t="s">
        <v>1367</v>
      </c>
    </row>
    <row r="292" spans="1:3" x14ac:dyDescent="0.25">
      <c r="A292" t="s">
        <v>122</v>
      </c>
      <c r="B292" t="s">
        <v>389</v>
      </c>
      <c r="C292" t="s">
        <v>1368</v>
      </c>
    </row>
    <row r="293" spans="1:3" x14ac:dyDescent="0.25">
      <c r="A293" t="s">
        <v>122</v>
      </c>
      <c r="B293" t="s">
        <v>390</v>
      </c>
      <c r="C293" t="s">
        <v>1369</v>
      </c>
    </row>
    <row r="294" spans="1:3" x14ac:dyDescent="0.25">
      <c r="A294" t="s">
        <v>122</v>
      </c>
      <c r="B294" t="s">
        <v>391</v>
      </c>
      <c r="C294" t="s">
        <v>1370</v>
      </c>
    </row>
    <row r="295" spans="1:3" x14ac:dyDescent="0.25">
      <c r="A295" t="s">
        <v>122</v>
      </c>
      <c r="B295" t="s">
        <v>392</v>
      </c>
      <c r="C295" t="s">
        <v>1371</v>
      </c>
    </row>
    <row r="296" spans="1:3" x14ac:dyDescent="0.25">
      <c r="A296" t="s">
        <v>122</v>
      </c>
      <c r="B296" t="s">
        <v>393</v>
      </c>
      <c r="C296" t="s">
        <v>1372</v>
      </c>
    </row>
    <row r="297" spans="1:3" x14ac:dyDescent="0.25">
      <c r="A297" t="s">
        <v>122</v>
      </c>
      <c r="B297" t="s">
        <v>394</v>
      </c>
      <c r="C297" t="s">
        <v>1373</v>
      </c>
    </row>
    <row r="298" spans="1:3" x14ac:dyDescent="0.25">
      <c r="A298" t="s">
        <v>122</v>
      </c>
      <c r="B298" t="s">
        <v>395</v>
      </c>
      <c r="C298" t="s">
        <v>1374</v>
      </c>
    </row>
    <row r="299" spans="1:3" x14ac:dyDescent="0.25">
      <c r="A299" t="s">
        <v>122</v>
      </c>
      <c r="B299" t="s">
        <v>396</v>
      </c>
      <c r="C299" t="s">
        <v>1375</v>
      </c>
    </row>
    <row r="300" spans="1:3" x14ac:dyDescent="0.25">
      <c r="A300" t="s">
        <v>122</v>
      </c>
      <c r="B300" t="s">
        <v>397</v>
      </c>
      <c r="C300" t="s">
        <v>1376</v>
      </c>
    </row>
    <row r="301" spans="1:3" x14ac:dyDescent="0.25">
      <c r="A301" t="s">
        <v>122</v>
      </c>
      <c r="B301" t="s">
        <v>398</v>
      </c>
      <c r="C301" t="s">
        <v>1377</v>
      </c>
    </row>
    <row r="302" spans="1:3" x14ac:dyDescent="0.25">
      <c r="A302" t="s">
        <v>122</v>
      </c>
      <c r="B302" t="s">
        <v>399</v>
      </c>
      <c r="C302" t="s">
        <v>1378</v>
      </c>
    </row>
    <row r="303" spans="1:3" x14ac:dyDescent="0.25">
      <c r="A303" t="s">
        <v>122</v>
      </c>
      <c r="B303" t="s">
        <v>400</v>
      </c>
      <c r="C303" t="s">
        <v>1379</v>
      </c>
    </row>
    <row r="304" spans="1:3" x14ac:dyDescent="0.25">
      <c r="A304" t="s">
        <v>122</v>
      </c>
      <c r="B304" t="s">
        <v>968</v>
      </c>
      <c r="C304" t="s">
        <v>1380</v>
      </c>
    </row>
    <row r="305" spans="1:3" x14ac:dyDescent="0.25">
      <c r="A305" t="s">
        <v>122</v>
      </c>
      <c r="B305" t="s">
        <v>401</v>
      </c>
      <c r="C305" t="s">
        <v>1381</v>
      </c>
    </row>
    <row r="306" spans="1:3" x14ac:dyDescent="0.25">
      <c r="A306" t="s">
        <v>122</v>
      </c>
      <c r="B306" t="s">
        <v>402</v>
      </c>
      <c r="C306" t="s">
        <v>1382</v>
      </c>
    </row>
    <row r="307" spans="1:3" x14ac:dyDescent="0.25">
      <c r="A307" t="s">
        <v>122</v>
      </c>
      <c r="B307" t="s">
        <v>403</v>
      </c>
      <c r="C307" t="s">
        <v>1383</v>
      </c>
    </row>
    <row r="308" spans="1:3" x14ac:dyDescent="0.25">
      <c r="A308" t="s">
        <v>122</v>
      </c>
      <c r="B308" t="s">
        <v>404</v>
      </c>
      <c r="C308" t="s">
        <v>1384</v>
      </c>
    </row>
    <row r="309" spans="1:3" x14ac:dyDescent="0.25">
      <c r="A309" t="s">
        <v>122</v>
      </c>
      <c r="B309" t="s">
        <v>405</v>
      </c>
      <c r="C309" t="s">
        <v>1385</v>
      </c>
    </row>
    <row r="310" spans="1:3" x14ac:dyDescent="0.25">
      <c r="A310" t="s">
        <v>122</v>
      </c>
      <c r="B310" t="s">
        <v>406</v>
      </c>
      <c r="C310" t="s">
        <v>1386</v>
      </c>
    </row>
    <row r="311" spans="1:3" x14ac:dyDescent="0.25">
      <c r="A311" t="s">
        <v>122</v>
      </c>
      <c r="B311" t="s">
        <v>407</v>
      </c>
      <c r="C311" t="s">
        <v>1387</v>
      </c>
    </row>
    <row r="312" spans="1:3" x14ac:dyDescent="0.25">
      <c r="A312" t="s">
        <v>122</v>
      </c>
      <c r="B312" t="s">
        <v>408</v>
      </c>
      <c r="C312" t="s">
        <v>1388</v>
      </c>
    </row>
    <row r="313" spans="1:3" x14ac:dyDescent="0.25">
      <c r="A313" t="s">
        <v>122</v>
      </c>
      <c r="B313" t="s">
        <v>409</v>
      </c>
      <c r="C313" t="s">
        <v>1389</v>
      </c>
    </row>
    <row r="314" spans="1:3" x14ac:dyDescent="0.25">
      <c r="A314" t="s">
        <v>122</v>
      </c>
      <c r="B314" t="s">
        <v>410</v>
      </c>
      <c r="C314" t="s">
        <v>1390</v>
      </c>
    </row>
    <row r="315" spans="1:3" x14ac:dyDescent="0.25">
      <c r="A315" t="s">
        <v>122</v>
      </c>
      <c r="B315" t="s">
        <v>411</v>
      </c>
      <c r="C315" t="s">
        <v>1391</v>
      </c>
    </row>
    <row r="316" spans="1:3" x14ac:dyDescent="0.25">
      <c r="A316" t="s">
        <v>122</v>
      </c>
      <c r="B316" t="s">
        <v>880</v>
      </c>
      <c r="C316" t="s">
        <v>1392</v>
      </c>
    </row>
    <row r="317" spans="1:3" x14ac:dyDescent="0.25">
      <c r="A317" t="s">
        <v>122</v>
      </c>
      <c r="B317" t="s">
        <v>412</v>
      </c>
      <c r="C317" t="s">
        <v>1393</v>
      </c>
    </row>
    <row r="318" spans="1:3" x14ac:dyDescent="0.25">
      <c r="A318" t="s">
        <v>122</v>
      </c>
      <c r="B318" t="s">
        <v>413</v>
      </c>
      <c r="C318" t="s">
        <v>1394</v>
      </c>
    </row>
    <row r="319" spans="1:3" x14ac:dyDescent="0.25">
      <c r="A319" t="s">
        <v>122</v>
      </c>
      <c r="B319" t="s">
        <v>414</v>
      </c>
      <c r="C319" t="s">
        <v>1395</v>
      </c>
    </row>
    <row r="320" spans="1:3" x14ac:dyDescent="0.25">
      <c r="A320" t="s">
        <v>122</v>
      </c>
      <c r="B320" t="s">
        <v>415</v>
      </c>
      <c r="C320" t="s">
        <v>1396</v>
      </c>
    </row>
    <row r="321" spans="1:3" x14ac:dyDescent="0.25">
      <c r="A321" t="s">
        <v>122</v>
      </c>
      <c r="B321" t="s">
        <v>416</v>
      </c>
      <c r="C321" t="s">
        <v>1397</v>
      </c>
    </row>
    <row r="322" spans="1:3" x14ac:dyDescent="0.25">
      <c r="A322" t="s">
        <v>122</v>
      </c>
      <c r="B322" t="s">
        <v>881</v>
      </c>
      <c r="C322" t="s">
        <v>1398</v>
      </c>
    </row>
    <row r="323" spans="1:3" x14ac:dyDescent="0.25">
      <c r="A323" t="s">
        <v>122</v>
      </c>
      <c r="B323" t="s">
        <v>417</v>
      </c>
      <c r="C323" t="s">
        <v>1399</v>
      </c>
    </row>
    <row r="324" spans="1:3" x14ac:dyDescent="0.25">
      <c r="A324" t="s">
        <v>122</v>
      </c>
      <c r="B324" t="s">
        <v>418</v>
      </c>
      <c r="C324" t="s">
        <v>1400</v>
      </c>
    </row>
    <row r="325" spans="1:3" x14ac:dyDescent="0.25">
      <c r="A325" t="s">
        <v>122</v>
      </c>
      <c r="B325" t="s">
        <v>882</v>
      </c>
      <c r="C325" t="s">
        <v>1401</v>
      </c>
    </row>
    <row r="326" spans="1:3" x14ac:dyDescent="0.25">
      <c r="A326" t="s">
        <v>122</v>
      </c>
      <c r="B326" t="s">
        <v>419</v>
      </c>
      <c r="C326" t="s">
        <v>1402</v>
      </c>
    </row>
    <row r="327" spans="1:3" x14ac:dyDescent="0.25">
      <c r="A327" t="s">
        <v>122</v>
      </c>
      <c r="B327" t="s">
        <v>420</v>
      </c>
      <c r="C327" t="s">
        <v>1403</v>
      </c>
    </row>
    <row r="328" spans="1:3" x14ac:dyDescent="0.25">
      <c r="A328" t="s">
        <v>122</v>
      </c>
      <c r="B328" t="s">
        <v>883</v>
      </c>
      <c r="C328" t="s">
        <v>1404</v>
      </c>
    </row>
    <row r="329" spans="1:3" x14ac:dyDescent="0.25">
      <c r="A329" t="s">
        <v>122</v>
      </c>
      <c r="B329" t="s">
        <v>969</v>
      </c>
      <c r="C329" t="s">
        <v>1405</v>
      </c>
    </row>
    <row r="330" spans="1:3" x14ac:dyDescent="0.25">
      <c r="A330" t="s">
        <v>122</v>
      </c>
      <c r="B330" t="s">
        <v>421</v>
      </c>
      <c r="C330" t="s">
        <v>1406</v>
      </c>
    </row>
    <row r="331" spans="1:3" x14ac:dyDescent="0.25">
      <c r="A331" t="s">
        <v>122</v>
      </c>
      <c r="B331" t="s">
        <v>422</v>
      </c>
      <c r="C331" t="s">
        <v>1407</v>
      </c>
    </row>
    <row r="332" spans="1:3" x14ac:dyDescent="0.25">
      <c r="A332" t="s">
        <v>122</v>
      </c>
      <c r="B332" t="s">
        <v>423</v>
      </c>
      <c r="C332" t="s">
        <v>1408</v>
      </c>
    </row>
    <row r="333" spans="1:3" x14ac:dyDescent="0.25">
      <c r="A333" t="s">
        <v>122</v>
      </c>
      <c r="B333" t="s">
        <v>424</v>
      </c>
      <c r="C333" t="s">
        <v>1409</v>
      </c>
    </row>
    <row r="334" spans="1:3" x14ac:dyDescent="0.25">
      <c r="A334" t="s">
        <v>122</v>
      </c>
      <c r="B334" t="s">
        <v>425</v>
      </c>
      <c r="C334" t="s">
        <v>1410</v>
      </c>
    </row>
    <row r="335" spans="1:3" x14ac:dyDescent="0.25">
      <c r="A335" t="s">
        <v>122</v>
      </c>
      <c r="B335" t="s">
        <v>426</v>
      </c>
      <c r="C335" t="s">
        <v>1411</v>
      </c>
    </row>
    <row r="336" spans="1:3" x14ac:dyDescent="0.25">
      <c r="A336" t="s">
        <v>122</v>
      </c>
      <c r="B336" t="s">
        <v>427</v>
      </c>
      <c r="C336" t="s">
        <v>1412</v>
      </c>
    </row>
    <row r="337" spans="1:3" x14ac:dyDescent="0.25">
      <c r="A337" t="s">
        <v>122</v>
      </c>
      <c r="B337" t="s">
        <v>428</v>
      </c>
      <c r="C337" t="s">
        <v>1413</v>
      </c>
    </row>
    <row r="338" spans="1:3" x14ac:dyDescent="0.25">
      <c r="A338" t="s">
        <v>122</v>
      </c>
      <c r="B338" t="s">
        <v>429</v>
      </c>
      <c r="C338" t="s">
        <v>1414</v>
      </c>
    </row>
    <row r="339" spans="1:3" x14ac:dyDescent="0.25">
      <c r="A339" t="s">
        <v>122</v>
      </c>
      <c r="B339" t="s">
        <v>430</v>
      </c>
      <c r="C339" t="s">
        <v>1415</v>
      </c>
    </row>
    <row r="340" spans="1:3" x14ac:dyDescent="0.25">
      <c r="A340" t="s">
        <v>122</v>
      </c>
      <c r="B340" t="s">
        <v>431</v>
      </c>
      <c r="C340" t="s">
        <v>1416</v>
      </c>
    </row>
    <row r="341" spans="1:3" x14ac:dyDescent="0.25">
      <c r="A341" t="s">
        <v>122</v>
      </c>
      <c r="B341" t="s">
        <v>432</v>
      </c>
      <c r="C341" t="s">
        <v>1417</v>
      </c>
    </row>
    <row r="342" spans="1:3" x14ac:dyDescent="0.25">
      <c r="A342" t="s">
        <v>122</v>
      </c>
      <c r="B342" t="s">
        <v>433</v>
      </c>
      <c r="C342" t="s">
        <v>1418</v>
      </c>
    </row>
    <row r="343" spans="1:3" x14ac:dyDescent="0.25">
      <c r="A343" t="s">
        <v>122</v>
      </c>
      <c r="B343" t="s">
        <v>434</v>
      </c>
      <c r="C343" t="s">
        <v>1419</v>
      </c>
    </row>
    <row r="344" spans="1:3" x14ac:dyDescent="0.25">
      <c r="A344" t="s">
        <v>122</v>
      </c>
      <c r="B344" t="s">
        <v>884</v>
      </c>
      <c r="C344" t="s">
        <v>1420</v>
      </c>
    </row>
    <row r="345" spans="1:3" x14ac:dyDescent="0.25">
      <c r="A345" t="s">
        <v>122</v>
      </c>
      <c r="B345" t="s">
        <v>435</v>
      </c>
      <c r="C345" t="s">
        <v>1421</v>
      </c>
    </row>
    <row r="346" spans="1:3" x14ac:dyDescent="0.25">
      <c r="A346" t="s">
        <v>122</v>
      </c>
      <c r="B346" t="s">
        <v>436</v>
      </c>
      <c r="C346" t="s">
        <v>1422</v>
      </c>
    </row>
    <row r="347" spans="1:3" x14ac:dyDescent="0.25">
      <c r="A347" t="s">
        <v>122</v>
      </c>
      <c r="B347" t="s">
        <v>437</v>
      </c>
      <c r="C347" t="s">
        <v>1423</v>
      </c>
    </row>
    <row r="348" spans="1:3" x14ac:dyDescent="0.25">
      <c r="A348" t="s">
        <v>122</v>
      </c>
      <c r="B348" t="s">
        <v>438</v>
      </c>
      <c r="C348" t="s">
        <v>1424</v>
      </c>
    </row>
    <row r="349" spans="1:3" x14ac:dyDescent="0.25">
      <c r="A349" t="s">
        <v>122</v>
      </c>
      <c r="B349" t="s">
        <v>439</v>
      </c>
      <c r="C349" t="s">
        <v>1425</v>
      </c>
    </row>
    <row r="350" spans="1:3" x14ac:dyDescent="0.25">
      <c r="A350" t="s">
        <v>122</v>
      </c>
      <c r="B350" t="s">
        <v>440</v>
      </c>
      <c r="C350" t="s">
        <v>1426</v>
      </c>
    </row>
    <row r="351" spans="1:3" x14ac:dyDescent="0.25">
      <c r="A351" t="s">
        <v>122</v>
      </c>
      <c r="B351" t="s">
        <v>1019</v>
      </c>
      <c r="C351" t="s">
        <v>1427</v>
      </c>
    </row>
    <row r="352" spans="1:3" x14ac:dyDescent="0.25">
      <c r="A352" t="s">
        <v>122</v>
      </c>
      <c r="B352" t="s">
        <v>441</v>
      </c>
      <c r="C352" t="s">
        <v>1428</v>
      </c>
    </row>
    <row r="353" spans="1:3" x14ac:dyDescent="0.25">
      <c r="A353" t="s">
        <v>122</v>
      </c>
      <c r="B353" t="s">
        <v>442</v>
      </c>
      <c r="C353" t="s">
        <v>1429</v>
      </c>
    </row>
    <row r="354" spans="1:3" x14ac:dyDescent="0.25">
      <c r="A354" t="s">
        <v>122</v>
      </c>
      <c r="B354" t="s">
        <v>443</v>
      </c>
      <c r="C354" t="s">
        <v>1430</v>
      </c>
    </row>
    <row r="355" spans="1:3" x14ac:dyDescent="0.25">
      <c r="A355" t="s">
        <v>122</v>
      </c>
      <c r="B355" t="s">
        <v>444</v>
      </c>
      <c r="C355" t="s">
        <v>1431</v>
      </c>
    </row>
    <row r="356" spans="1:3" x14ac:dyDescent="0.25">
      <c r="A356" t="s">
        <v>122</v>
      </c>
      <c r="B356" t="s">
        <v>445</v>
      </c>
      <c r="C356" t="s">
        <v>1432</v>
      </c>
    </row>
    <row r="357" spans="1:3" x14ac:dyDescent="0.25">
      <c r="A357" t="s">
        <v>122</v>
      </c>
      <c r="B357" t="s">
        <v>446</v>
      </c>
      <c r="C357" t="s">
        <v>1433</v>
      </c>
    </row>
    <row r="358" spans="1:3" x14ac:dyDescent="0.25">
      <c r="A358" t="s">
        <v>122</v>
      </c>
      <c r="B358" t="s">
        <v>447</v>
      </c>
      <c r="C358" t="s">
        <v>1434</v>
      </c>
    </row>
    <row r="359" spans="1:3" x14ac:dyDescent="0.25">
      <c r="A359" t="s">
        <v>122</v>
      </c>
      <c r="B359" t="s">
        <v>885</v>
      </c>
      <c r="C359" t="s">
        <v>1435</v>
      </c>
    </row>
    <row r="360" spans="1:3" x14ac:dyDescent="0.25">
      <c r="A360" t="s">
        <v>122</v>
      </c>
      <c r="B360" t="s">
        <v>448</v>
      </c>
      <c r="C360" t="s">
        <v>1436</v>
      </c>
    </row>
    <row r="361" spans="1:3" x14ac:dyDescent="0.25">
      <c r="A361" t="s">
        <v>122</v>
      </c>
      <c r="B361" t="s">
        <v>449</v>
      </c>
      <c r="C361" t="s">
        <v>1437</v>
      </c>
    </row>
    <row r="362" spans="1:3" x14ac:dyDescent="0.25">
      <c r="A362" t="s">
        <v>122</v>
      </c>
      <c r="B362" t="s">
        <v>450</v>
      </c>
      <c r="C362" t="s">
        <v>1438</v>
      </c>
    </row>
    <row r="363" spans="1:3" x14ac:dyDescent="0.25">
      <c r="A363" t="s">
        <v>122</v>
      </c>
      <c r="B363" t="s">
        <v>451</v>
      </c>
      <c r="C363" t="s">
        <v>1439</v>
      </c>
    </row>
    <row r="364" spans="1:3" x14ac:dyDescent="0.25">
      <c r="A364" t="s">
        <v>122</v>
      </c>
      <c r="B364" t="s">
        <v>452</v>
      </c>
      <c r="C364" t="s">
        <v>1440</v>
      </c>
    </row>
    <row r="365" spans="1:3" x14ac:dyDescent="0.25">
      <c r="A365" t="s">
        <v>122</v>
      </c>
      <c r="B365" t="s">
        <v>453</v>
      </c>
      <c r="C365" t="s">
        <v>1441</v>
      </c>
    </row>
    <row r="366" spans="1:3" x14ac:dyDescent="0.25">
      <c r="A366" t="s">
        <v>122</v>
      </c>
      <c r="B366" t="s">
        <v>454</v>
      </c>
      <c r="C366" t="s">
        <v>1442</v>
      </c>
    </row>
    <row r="367" spans="1:3" x14ac:dyDescent="0.25">
      <c r="A367" t="s">
        <v>122</v>
      </c>
      <c r="B367" t="s">
        <v>455</v>
      </c>
      <c r="C367" t="s">
        <v>1443</v>
      </c>
    </row>
    <row r="368" spans="1:3" x14ac:dyDescent="0.25">
      <c r="A368" t="s">
        <v>122</v>
      </c>
      <c r="B368" t="s">
        <v>456</v>
      </c>
      <c r="C368" t="s">
        <v>1444</v>
      </c>
    </row>
    <row r="369" spans="1:3" x14ac:dyDescent="0.25">
      <c r="A369" t="s">
        <v>122</v>
      </c>
      <c r="B369" t="s">
        <v>457</v>
      </c>
      <c r="C369" t="s">
        <v>1445</v>
      </c>
    </row>
    <row r="370" spans="1:3" x14ac:dyDescent="0.25">
      <c r="A370" t="s">
        <v>122</v>
      </c>
      <c r="B370" t="s">
        <v>458</v>
      </c>
      <c r="C370" t="s">
        <v>1446</v>
      </c>
    </row>
    <row r="371" spans="1:3" x14ac:dyDescent="0.25">
      <c r="A371" t="s">
        <v>122</v>
      </c>
      <c r="B371" t="s">
        <v>459</v>
      </c>
      <c r="C371" t="s">
        <v>1447</v>
      </c>
    </row>
    <row r="372" spans="1:3" x14ac:dyDescent="0.25">
      <c r="A372" t="s">
        <v>122</v>
      </c>
      <c r="B372" t="s">
        <v>460</v>
      </c>
      <c r="C372" t="s">
        <v>1448</v>
      </c>
    </row>
    <row r="373" spans="1:3" x14ac:dyDescent="0.25">
      <c r="A373" t="s">
        <v>122</v>
      </c>
      <c r="B373" t="s">
        <v>461</v>
      </c>
      <c r="C373" t="s">
        <v>1449</v>
      </c>
    </row>
    <row r="374" spans="1:3" x14ac:dyDescent="0.25">
      <c r="A374" t="s">
        <v>122</v>
      </c>
      <c r="B374" t="s">
        <v>462</v>
      </c>
      <c r="C374" t="s">
        <v>1450</v>
      </c>
    </row>
    <row r="375" spans="1:3" x14ac:dyDescent="0.25">
      <c r="A375" t="s">
        <v>122</v>
      </c>
      <c r="B375" t="s">
        <v>463</v>
      </c>
      <c r="C375" t="s">
        <v>1451</v>
      </c>
    </row>
    <row r="376" spans="1:3" x14ac:dyDescent="0.25">
      <c r="A376" t="s">
        <v>122</v>
      </c>
      <c r="B376" t="s">
        <v>464</v>
      </c>
      <c r="C376" t="s">
        <v>1452</v>
      </c>
    </row>
    <row r="377" spans="1:3" x14ac:dyDescent="0.25">
      <c r="A377" t="s">
        <v>122</v>
      </c>
      <c r="B377" t="s">
        <v>465</v>
      </c>
      <c r="C377" t="s">
        <v>1453</v>
      </c>
    </row>
    <row r="378" spans="1:3" x14ac:dyDescent="0.25">
      <c r="A378" t="s">
        <v>122</v>
      </c>
      <c r="B378" t="s">
        <v>466</v>
      </c>
      <c r="C378" t="s">
        <v>1454</v>
      </c>
    </row>
    <row r="379" spans="1:3" x14ac:dyDescent="0.25">
      <c r="A379" t="s">
        <v>122</v>
      </c>
      <c r="B379" t="s">
        <v>467</v>
      </c>
      <c r="C379" t="s">
        <v>1455</v>
      </c>
    </row>
    <row r="380" spans="1:3" x14ac:dyDescent="0.25">
      <c r="A380" t="s">
        <v>122</v>
      </c>
      <c r="B380" t="s">
        <v>886</v>
      </c>
      <c r="C380" t="s">
        <v>1456</v>
      </c>
    </row>
    <row r="381" spans="1:3" x14ac:dyDescent="0.25">
      <c r="A381" t="s">
        <v>122</v>
      </c>
      <c r="B381" t="s">
        <v>468</v>
      </c>
      <c r="C381" t="s">
        <v>1457</v>
      </c>
    </row>
    <row r="382" spans="1:3" x14ac:dyDescent="0.25">
      <c r="A382" t="s">
        <v>122</v>
      </c>
      <c r="B382" t="s">
        <v>469</v>
      </c>
      <c r="C382" t="s">
        <v>1458</v>
      </c>
    </row>
    <row r="383" spans="1:3" x14ac:dyDescent="0.25">
      <c r="A383" t="s">
        <v>122</v>
      </c>
      <c r="B383" t="s">
        <v>470</v>
      </c>
      <c r="C383" t="s">
        <v>1459</v>
      </c>
    </row>
    <row r="384" spans="1:3" x14ac:dyDescent="0.25">
      <c r="A384" t="s">
        <v>122</v>
      </c>
      <c r="B384" t="s">
        <v>471</v>
      </c>
      <c r="C384" t="s">
        <v>1460</v>
      </c>
    </row>
    <row r="385" spans="1:3" x14ac:dyDescent="0.25">
      <c r="A385" t="s">
        <v>122</v>
      </c>
      <c r="B385" t="s">
        <v>472</v>
      </c>
      <c r="C385" t="s">
        <v>1461</v>
      </c>
    </row>
    <row r="386" spans="1:3" x14ac:dyDescent="0.25">
      <c r="A386" t="s">
        <v>122</v>
      </c>
      <c r="B386" t="s">
        <v>473</v>
      </c>
      <c r="C386" t="s">
        <v>1462</v>
      </c>
    </row>
    <row r="387" spans="1:3" x14ac:dyDescent="0.25">
      <c r="A387" t="s">
        <v>122</v>
      </c>
      <c r="B387" t="s">
        <v>474</v>
      </c>
      <c r="C387" t="s">
        <v>1463</v>
      </c>
    </row>
    <row r="388" spans="1:3" x14ac:dyDescent="0.25">
      <c r="A388" t="s">
        <v>122</v>
      </c>
      <c r="B388" t="s">
        <v>475</v>
      </c>
      <c r="C388" t="s">
        <v>1464</v>
      </c>
    </row>
    <row r="389" spans="1:3" x14ac:dyDescent="0.25">
      <c r="A389" t="s">
        <v>122</v>
      </c>
      <c r="B389" t="s">
        <v>476</v>
      </c>
      <c r="C389" t="s">
        <v>1465</v>
      </c>
    </row>
    <row r="390" spans="1:3" x14ac:dyDescent="0.25">
      <c r="A390" t="s">
        <v>122</v>
      </c>
      <c r="B390" t="s">
        <v>477</v>
      </c>
      <c r="C390" t="s">
        <v>1466</v>
      </c>
    </row>
    <row r="391" spans="1:3" x14ac:dyDescent="0.25">
      <c r="A391" t="s">
        <v>122</v>
      </c>
      <c r="B391" t="s">
        <v>478</v>
      </c>
      <c r="C391" t="s">
        <v>1467</v>
      </c>
    </row>
    <row r="392" spans="1:3" x14ac:dyDescent="0.25">
      <c r="A392" t="s">
        <v>122</v>
      </c>
      <c r="B392" t="s">
        <v>479</v>
      </c>
      <c r="C392" t="s">
        <v>1468</v>
      </c>
    </row>
    <row r="393" spans="1:3" x14ac:dyDescent="0.25">
      <c r="A393" t="s">
        <v>122</v>
      </c>
      <c r="B393" t="s">
        <v>480</v>
      </c>
      <c r="C393" t="s">
        <v>1469</v>
      </c>
    </row>
    <row r="394" spans="1:3" x14ac:dyDescent="0.25">
      <c r="A394" t="s">
        <v>122</v>
      </c>
      <c r="B394" t="s">
        <v>481</v>
      </c>
      <c r="C394" t="s">
        <v>1470</v>
      </c>
    </row>
    <row r="395" spans="1:3" x14ac:dyDescent="0.25">
      <c r="A395" t="s">
        <v>122</v>
      </c>
      <c r="B395" t="s">
        <v>482</v>
      </c>
      <c r="C395" t="s">
        <v>1471</v>
      </c>
    </row>
    <row r="396" spans="1:3" x14ac:dyDescent="0.25">
      <c r="A396" t="s">
        <v>122</v>
      </c>
      <c r="B396" t="s">
        <v>483</v>
      </c>
      <c r="C396" t="s">
        <v>1472</v>
      </c>
    </row>
    <row r="397" spans="1:3" x14ac:dyDescent="0.25">
      <c r="A397" t="s">
        <v>122</v>
      </c>
      <c r="B397" t="s">
        <v>887</v>
      </c>
      <c r="C397" t="s">
        <v>1473</v>
      </c>
    </row>
    <row r="398" spans="1:3" x14ac:dyDescent="0.25">
      <c r="A398" t="s">
        <v>122</v>
      </c>
      <c r="B398" t="s">
        <v>484</v>
      </c>
      <c r="C398" t="s">
        <v>1474</v>
      </c>
    </row>
    <row r="399" spans="1:3" x14ac:dyDescent="0.25">
      <c r="A399" t="s">
        <v>122</v>
      </c>
      <c r="B399" t="s">
        <v>485</v>
      </c>
      <c r="C399" t="s">
        <v>1475</v>
      </c>
    </row>
    <row r="400" spans="1:3" x14ac:dyDescent="0.25">
      <c r="A400" t="s">
        <v>122</v>
      </c>
      <c r="B400" t="s">
        <v>486</v>
      </c>
      <c r="C400" t="s">
        <v>1476</v>
      </c>
    </row>
    <row r="401" spans="1:3" x14ac:dyDescent="0.25">
      <c r="A401" t="s">
        <v>122</v>
      </c>
      <c r="B401" t="s">
        <v>487</v>
      </c>
      <c r="C401" t="s">
        <v>1477</v>
      </c>
    </row>
    <row r="402" spans="1:3" x14ac:dyDescent="0.25">
      <c r="A402" t="s">
        <v>122</v>
      </c>
      <c r="B402" t="s">
        <v>888</v>
      </c>
      <c r="C402" t="s">
        <v>1478</v>
      </c>
    </row>
    <row r="403" spans="1:3" x14ac:dyDescent="0.25">
      <c r="A403" t="s">
        <v>122</v>
      </c>
      <c r="B403" t="s">
        <v>488</v>
      </c>
      <c r="C403" t="s">
        <v>1479</v>
      </c>
    </row>
    <row r="404" spans="1:3" x14ac:dyDescent="0.25">
      <c r="A404" t="s">
        <v>122</v>
      </c>
      <c r="B404" t="s">
        <v>489</v>
      </c>
      <c r="C404" t="s">
        <v>1480</v>
      </c>
    </row>
    <row r="405" spans="1:3" x14ac:dyDescent="0.25">
      <c r="A405" t="s">
        <v>122</v>
      </c>
      <c r="B405" t="s">
        <v>490</v>
      </c>
      <c r="C405" t="s">
        <v>1481</v>
      </c>
    </row>
    <row r="406" spans="1:3" x14ac:dyDescent="0.25">
      <c r="A406" t="s">
        <v>122</v>
      </c>
      <c r="B406" t="s">
        <v>889</v>
      </c>
      <c r="C406" t="s">
        <v>1482</v>
      </c>
    </row>
    <row r="407" spans="1:3" x14ac:dyDescent="0.25">
      <c r="A407" t="s">
        <v>122</v>
      </c>
      <c r="B407" t="s">
        <v>491</v>
      </c>
      <c r="C407" t="s">
        <v>1483</v>
      </c>
    </row>
    <row r="408" spans="1:3" x14ac:dyDescent="0.25">
      <c r="A408" t="s">
        <v>122</v>
      </c>
      <c r="B408" t="s">
        <v>492</v>
      </c>
      <c r="C408" t="s">
        <v>1484</v>
      </c>
    </row>
    <row r="409" spans="1:3" x14ac:dyDescent="0.25">
      <c r="A409" t="s">
        <v>122</v>
      </c>
      <c r="B409" t="s">
        <v>493</v>
      </c>
      <c r="C409" t="s">
        <v>1485</v>
      </c>
    </row>
    <row r="410" spans="1:3" x14ac:dyDescent="0.25">
      <c r="A410" t="s">
        <v>122</v>
      </c>
      <c r="B410" t="s">
        <v>494</v>
      </c>
      <c r="C410" t="s">
        <v>1486</v>
      </c>
    </row>
    <row r="411" spans="1:3" x14ac:dyDescent="0.25">
      <c r="A411" t="s">
        <v>122</v>
      </c>
      <c r="B411" t="s">
        <v>495</v>
      </c>
      <c r="C411" t="s">
        <v>1487</v>
      </c>
    </row>
    <row r="412" spans="1:3" x14ac:dyDescent="0.25">
      <c r="A412" t="s">
        <v>122</v>
      </c>
      <c r="B412" t="s">
        <v>496</v>
      </c>
      <c r="C412" t="s">
        <v>1488</v>
      </c>
    </row>
    <row r="413" spans="1:3" x14ac:dyDescent="0.25">
      <c r="A413" t="s">
        <v>122</v>
      </c>
      <c r="B413" t="s">
        <v>497</v>
      </c>
      <c r="C413" t="s">
        <v>1489</v>
      </c>
    </row>
    <row r="414" spans="1:3" x14ac:dyDescent="0.25">
      <c r="A414" t="s">
        <v>122</v>
      </c>
      <c r="B414" t="s">
        <v>498</v>
      </c>
      <c r="C414" t="s">
        <v>1490</v>
      </c>
    </row>
    <row r="415" spans="1:3" x14ac:dyDescent="0.25">
      <c r="A415" t="s">
        <v>122</v>
      </c>
      <c r="B415" t="s">
        <v>499</v>
      </c>
      <c r="C415" t="s">
        <v>1491</v>
      </c>
    </row>
    <row r="416" spans="1:3" x14ac:dyDescent="0.25">
      <c r="A416" t="s">
        <v>122</v>
      </c>
      <c r="B416" t="s">
        <v>500</v>
      </c>
      <c r="C416" t="s">
        <v>1492</v>
      </c>
    </row>
    <row r="417" spans="1:3" x14ac:dyDescent="0.25">
      <c r="A417" t="s">
        <v>122</v>
      </c>
      <c r="B417" t="s">
        <v>501</v>
      </c>
      <c r="C417" t="s">
        <v>1493</v>
      </c>
    </row>
    <row r="418" spans="1:3" x14ac:dyDescent="0.25">
      <c r="A418" t="s">
        <v>122</v>
      </c>
      <c r="B418" t="s">
        <v>502</v>
      </c>
      <c r="C418" t="s">
        <v>1494</v>
      </c>
    </row>
    <row r="419" spans="1:3" x14ac:dyDescent="0.25">
      <c r="A419" t="s">
        <v>122</v>
      </c>
      <c r="B419" t="s">
        <v>503</v>
      </c>
      <c r="C419" t="s">
        <v>1495</v>
      </c>
    </row>
    <row r="420" spans="1:3" x14ac:dyDescent="0.25">
      <c r="A420" t="s">
        <v>122</v>
      </c>
      <c r="B420" t="s">
        <v>504</v>
      </c>
      <c r="C420" t="s">
        <v>1496</v>
      </c>
    </row>
    <row r="421" spans="1:3" x14ac:dyDescent="0.25">
      <c r="A421" t="s">
        <v>122</v>
      </c>
      <c r="B421" t="s">
        <v>890</v>
      </c>
      <c r="C421" t="s">
        <v>1497</v>
      </c>
    </row>
    <row r="422" spans="1:3" x14ac:dyDescent="0.25">
      <c r="A422" t="s">
        <v>122</v>
      </c>
      <c r="B422" t="s">
        <v>505</v>
      </c>
      <c r="C422" t="s">
        <v>1498</v>
      </c>
    </row>
    <row r="423" spans="1:3" x14ac:dyDescent="0.25">
      <c r="A423" t="s">
        <v>122</v>
      </c>
      <c r="B423" t="s">
        <v>506</v>
      </c>
      <c r="C423" t="s">
        <v>1499</v>
      </c>
    </row>
    <row r="424" spans="1:3" x14ac:dyDescent="0.25">
      <c r="A424" t="s">
        <v>122</v>
      </c>
      <c r="B424" t="s">
        <v>507</v>
      </c>
      <c r="C424" t="s">
        <v>1500</v>
      </c>
    </row>
    <row r="425" spans="1:3" x14ac:dyDescent="0.25">
      <c r="A425" t="s">
        <v>122</v>
      </c>
      <c r="B425" t="s">
        <v>508</v>
      </c>
      <c r="C425" t="s">
        <v>1501</v>
      </c>
    </row>
    <row r="426" spans="1:3" x14ac:dyDescent="0.25">
      <c r="A426" t="s">
        <v>122</v>
      </c>
      <c r="B426" t="s">
        <v>509</v>
      </c>
      <c r="C426" t="s">
        <v>1502</v>
      </c>
    </row>
    <row r="427" spans="1:3" x14ac:dyDescent="0.25">
      <c r="A427" t="s">
        <v>122</v>
      </c>
      <c r="B427" t="s">
        <v>510</v>
      </c>
      <c r="C427" t="s">
        <v>1503</v>
      </c>
    </row>
    <row r="428" spans="1:3" x14ac:dyDescent="0.25">
      <c r="A428" t="s">
        <v>122</v>
      </c>
      <c r="B428" t="s">
        <v>511</v>
      </c>
      <c r="C428" t="s">
        <v>1504</v>
      </c>
    </row>
    <row r="429" spans="1:3" x14ac:dyDescent="0.25">
      <c r="A429" t="s">
        <v>122</v>
      </c>
      <c r="B429" t="s">
        <v>512</v>
      </c>
      <c r="C429" t="s">
        <v>1505</v>
      </c>
    </row>
    <row r="430" spans="1:3" x14ac:dyDescent="0.25">
      <c r="A430" t="s">
        <v>122</v>
      </c>
      <c r="B430" t="s">
        <v>970</v>
      </c>
      <c r="C430" t="s">
        <v>1506</v>
      </c>
    </row>
    <row r="431" spans="1:3" x14ac:dyDescent="0.25">
      <c r="A431" t="s">
        <v>122</v>
      </c>
      <c r="B431" t="s">
        <v>513</v>
      </c>
      <c r="C431" t="s">
        <v>1507</v>
      </c>
    </row>
    <row r="432" spans="1:3" x14ac:dyDescent="0.25">
      <c r="A432" t="s">
        <v>122</v>
      </c>
      <c r="B432" t="s">
        <v>891</v>
      </c>
      <c r="C432" t="s">
        <v>1508</v>
      </c>
    </row>
    <row r="433" spans="1:3" x14ac:dyDescent="0.25">
      <c r="A433" t="s">
        <v>122</v>
      </c>
      <c r="B433" t="s">
        <v>514</v>
      </c>
      <c r="C433" t="s">
        <v>1509</v>
      </c>
    </row>
    <row r="434" spans="1:3" x14ac:dyDescent="0.25">
      <c r="A434" t="s">
        <v>122</v>
      </c>
      <c r="B434" t="s">
        <v>515</v>
      </c>
      <c r="C434" t="s">
        <v>1510</v>
      </c>
    </row>
    <row r="435" spans="1:3" x14ac:dyDescent="0.25">
      <c r="A435" t="s">
        <v>122</v>
      </c>
      <c r="B435" t="s">
        <v>516</v>
      </c>
      <c r="C435" t="s">
        <v>1511</v>
      </c>
    </row>
    <row r="436" spans="1:3" x14ac:dyDescent="0.25">
      <c r="A436" t="s">
        <v>122</v>
      </c>
      <c r="B436" t="s">
        <v>517</v>
      </c>
      <c r="C436" t="s">
        <v>1512</v>
      </c>
    </row>
    <row r="437" spans="1:3" x14ac:dyDescent="0.25">
      <c r="A437" t="s">
        <v>122</v>
      </c>
      <c r="B437" t="s">
        <v>518</v>
      </c>
      <c r="C437" t="s">
        <v>1513</v>
      </c>
    </row>
    <row r="438" spans="1:3" x14ac:dyDescent="0.25">
      <c r="A438" t="s">
        <v>122</v>
      </c>
      <c r="B438" t="s">
        <v>519</v>
      </c>
      <c r="C438" t="s">
        <v>1514</v>
      </c>
    </row>
    <row r="439" spans="1:3" x14ac:dyDescent="0.25">
      <c r="A439" t="s">
        <v>122</v>
      </c>
      <c r="B439" t="s">
        <v>520</v>
      </c>
      <c r="C439" t="s">
        <v>1515</v>
      </c>
    </row>
    <row r="440" spans="1:3" x14ac:dyDescent="0.25">
      <c r="A440" t="s">
        <v>122</v>
      </c>
      <c r="B440" t="s">
        <v>521</v>
      </c>
      <c r="C440" t="s">
        <v>1516</v>
      </c>
    </row>
    <row r="441" spans="1:3" x14ac:dyDescent="0.25">
      <c r="A441" t="s">
        <v>122</v>
      </c>
      <c r="B441" t="s">
        <v>522</v>
      </c>
      <c r="C441" t="s">
        <v>1517</v>
      </c>
    </row>
    <row r="442" spans="1:3" x14ac:dyDescent="0.25">
      <c r="A442" t="s">
        <v>122</v>
      </c>
      <c r="B442" t="s">
        <v>523</v>
      </c>
      <c r="C442" t="s">
        <v>1518</v>
      </c>
    </row>
    <row r="443" spans="1:3" x14ac:dyDescent="0.25">
      <c r="A443" t="s">
        <v>122</v>
      </c>
      <c r="B443" t="s">
        <v>524</v>
      </c>
      <c r="C443" t="s">
        <v>1519</v>
      </c>
    </row>
    <row r="444" spans="1:3" x14ac:dyDescent="0.25">
      <c r="A444" t="s">
        <v>122</v>
      </c>
      <c r="B444" t="s">
        <v>525</v>
      </c>
      <c r="C444" t="s">
        <v>1520</v>
      </c>
    </row>
    <row r="445" spans="1:3" x14ac:dyDescent="0.25">
      <c r="A445" t="s">
        <v>122</v>
      </c>
      <c r="B445" t="s">
        <v>892</v>
      </c>
      <c r="C445" t="s">
        <v>1521</v>
      </c>
    </row>
    <row r="446" spans="1:3" x14ac:dyDescent="0.25">
      <c r="A446" t="s">
        <v>122</v>
      </c>
      <c r="B446" t="s">
        <v>526</v>
      </c>
      <c r="C446" t="s">
        <v>1522</v>
      </c>
    </row>
    <row r="447" spans="1:3" x14ac:dyDescent="0.25">
      <c r="A447" t="s">
        <v>122</v>
      </c>
      <c r="B447" t="s">
        <v>527</v>
      </c>
      <c r="C447" t="s">
        <v>1523</v>
      </c>
    </row>
    <row r="448" spans="1:3" x14ac:dyDescent="0.25">
      <c r="A448" t="s">
        <v>122</v>
      </c>
      <c r="B448" t="s">
        <v>528</v>
      </c>
      <c r="C448" t="s">
        <v>1524</v>
      </c>
    </row>
    <row r="449" spans="1:3" x14ac:dyDescent="0.25">
      <c r="A449" t="s">
        <v>122</v>
      </c>
      <c r="B449" t="s">
        <v>529</v>
      </c>
      <c r="C449" t="s">
        <v>1525</v>
      </c>
    </row>
    <row r="450" spans="1:3" x14ac:dyDescent="0.25">
      <c r="A450" t="s">
        <v>122</v>
      </c>
      <c r="B450" t="s">
        <v>530</v>
      </c>
      <c r="C450" t="s">
        <v>1526</v>
      </c>
    </row>
    <row r="451" spans="1:3" x14ac:dyDescent="0.25">
      <c r="A451" t="s">
        <v>122</v>
      </c>
      <c r="B451" t="s">
        <v>531</v>
      </c>
      <c r="C451" t="s">
        <v>1527</v>
      </c>
    </row>
    <row r="452" spans="1:3" x14ac:dyDescent="0.25">
      <c r="A452" t="s">
        <v>122</v>
      </c>
      <c r="B452" t="s">
        <v>532</v>
      </c>
      <c r="C452" t="s">
        <v>1528</v>
      </c>
    </row>
    <row r="453" spans="1:3" x14ac:dyDescent="0.25">
      <c r="A453" t="s">
        <v>122</v>
      </c>
      <c r="B453" t="s">
        <v>533</v>
      </c>
      <c r="C453" t="s">
        <v>1529</v>
      </c>
    </row>
    <row r="454" spans="1:3" x14ac:dyDescent="0.25">
      <c r="A454" t="s">
        <v>122</v>
      </c>
      <c r="B454" t="s">
        <v>534</v>
      </c>
      <c r="C454" t="s">
        <v>1530</v>
      </c>
    </row>
    <row r="455" spans="1:3" x14ac:dyDescent="0.25">
      <c r="A455" t="s">
        <v>122</v>
      </c>
      <c r="B455" t="s">
        <v>893</v>
      </c>
      <c r="C455" t="s">
        <v>1531</v>
      </c>
    </row>
    <row r="456" spans="1:3" x14ac:dyDescent="0.25">
      <c r="A456" t="s">
        <v>122</v>
      </c>
      <c r="B456" t="s">
        <v>535</v>
      </c>
      <c r="C456" t="s">
        <v>1532</v>
      </c>
    </row>
    <row r="457" spans="1:3" x14ac:dyDescent="0.25">
      <c r="A457" t="s">
        <v>122</v>
      </c>
      <c r="B457" t="s">
        <v>536</v>
      </c>
      <c r="C457" t="s">
        <v>1533</v>
      </c>
    </row>
    <row r="458" spans="1:3" x14ac:dyDescent="0.25">
      <c r="A458" t="s">
        <v>122</v>
      </c>
      <c r="B458" t="s">
        <v>537</v>
      </c>
      <c r="C458" t="s">
        <v>1534</v>
      </c>
    </row>
    <row r="459" spans="1:3" x14ac:dyDescent="0.25">
      <c r="A459" t="s">
        <v>122</v>
      </c>
      <c r="B459" t="s">
        <v>894</v>
      </c>
      <c r="C459" t="s">
        <v>1535</v>
      </c>
    </row>
    <row r="460" spans="1:3" x14ac:dyDescent="0.25">
      <c r="A460" t="s">
        <v>122</v>
      </c>
      <c r="B460" t="s">
        <v>538</v>
      </c>
      <c r="C460" t="s">
        <v>1536</v>
      </c>
    </row>
    <row r="461" spans="1:3" x14ac:dyDescent="0.25">
      <c r="A461" t="s">
        <v>122</v>
      </c>
      <c r="B461" t="s">
        <v>539</v>
      </c>
      <c r="C461" t="s">
        <v>1537</v>
      </c>
    </row>
    <row r="462" spans="1:3" x14ac:dyDescent="0.25">
      <c r="A462" t="s">
        <v>122</v>
      </c>
      <c r="B462" t="s">
        <v>540</v>
      </c>
      <c r="C462" t="s">
        <v>1538</v>
      </c>
    </row>
    <row r="463" spans="1:3" x14ac:dyDescent="0.25">
      <c r="A463" t="s">
        <v>122</v>
      </c>
      <c r="B463" t="s">
        <v>541</v>
      </c>
      <c r="C463" t="s">
        <v>1539</v>
      </c>
    </row>
    <row r="464" spans="1:3" x14ac:dyDescent="0.25">
      <c r="A464" t="s">
        <v>122</v>
      </c>
      <c r="B464" t="s">
        <v>542</v>
      </c>
      <c r="C464" t="s">
        <v>1540</v>
      </c>
    </row>
    <row r="465" spans="1:3" x14ac:dyDescent="0.25">
      <c r="A465" t="s">
        <v>122</v>
      </c>
      <c r="B465" t="s">
        <v>543</v>
      </c>
      <c r="C465" t="s">
        <v>1541</v>
      </c>
    </row>
    <row r="466" spans="1:3" x14ac:dyDescent="0.25">
      <c r="A466" t="s">
        <v>122</v>
      </c>
      <c r="B466" t="s">
        <v>544</v>
      </c>
      <c r="C466" t="s">
        <v>1542</v>
      </c>
    </row>
    <row r="467" spans="1:3" x14ac:dyDescent="0.25">
      <c r="A467" t="s">
        <v>122</v>
      </c>
      <c r="B467" t="s">
        <v>545</v>
      </c>
      <c r="C467" t="s">
        <v>1543</v>
      </c>
    </row>
    <row r="468" spans="1:3" x14ac:dyDescent="0.25">
      <c r="A468" t="s">
        <v>122</v>
      </c>
      <c r="B468" t="s">
        <v>546</v>
      </c>
      <c r="C468" t="s">
        <v>1544</v>
      </c>
    </row>
    <row r="469" spans="1:3" x14ac:dyDescent="0.25">
      <c r="A469" t="s">
        <v>122</v>
      </c>
      <c r="B469" t="s">
        <v>547</v>
      </c>
      <c r="C469" t="s">
        <v>1545</v>
      </c>
    </row>
    <row r="470" spans="1:3" x14ac:dyDescent="0.25">
      <c r="A470" t="s">
        <v>122</v>
      </c>
      <c r="B470" t="s">
        <v>548</v>
      </c>
      <c r="C470" t="s">
        <v>1546</v>
      </c>
    </row>
    <row r="471" spans="1:3" x14ac:dyDescent="0.25">
      <c r="A471" t="s">
        <v>122</v>
      </c>
      <c r="B471" t="s">
        <v>971</v>
      </c>
      <c r="C471" t="s">
        <v>1547</v>
      </c>
    </row>
    <row r="472" spans="1:3" x14ac:dyDescent="0.25">
      <c r="A472" t="s">
        <v>122</v>
      </c>
      <c r="B472" t="s">
        <v>549</v>
      </c>
      <c r="C472" t="s">
        <v>1548</v>
      </c>
    </row>
    <row r="473" spans="1:3" x14ac:dyDescent="0.25">
      <c r="A473" t="s">
        <v>122</v>
      </c>
      <c r="B473" t="s">
        <v>550</v>
      </c>
      <c r="C473" t="s">
        <v>1549</v>
      </c>
    </row>
    <row r="474" spans="1:3" x14ac:dyDescent="0.25">
      <c r="A474" t="s">
        <v>122</v>
      </c>
      <c r="B474" t="s">
        <v>551</v>
      </c>
      <c r="C474" t="s">
        <v>1550</v>
      </c>
    </row>
    <row r="475" spans="1:3" x14ac:dyDescent="0.25">
      <c r="A475" t="s">
        <v>122</v>
      </c>
      <c r="B475" t="s">
        <v>895</v>
      </c>
      <c r="C475" t="s">
        <v>1551</v>
      </c>
    </row>
    <row r="476" spans="1:3" x14ac:dyDescent="0.25">
      <c r="A476" t="s">
        <v>122</v>
      </c>
      <c r="B476" t="s">
        <v>896</v>
      </c>
      <c r="C476" t="s">
        <v>1552</v>
      </c>
    </row>
    <row r="477" spans="1:3" x14ac:dyDescent="0.25">
      <c r="A477" t="s">
        <v>122</v>
      </c>
      <c r="B477" t="s">
        <v>552</v>
      </c>
      <c r="C477" t="s">
        <v>1553</v>
      </c>
    </row>
    <row r="478" spans="1:3" x14ac:dyDescent="0.25">
      <c r="A478" t="s">
        <v>122</v>
      </c>
      <c r="B478" t="s">
        <v>553</v>
      </c>
      <c r="C478" t="s">
        <v>1554</v>
      </c>
    </row>
    <row r="479" spans="1:3" x14ac:dyDescent="0.25">
      <c r="A479" t="s">
        <v>122</v>
      </c>
      <c r="B479" t="s">
        <v>554</v>
      </c>
      <c r="C479" t="s">
        <v>1555</v>
      </c>
    </row>
    <row r="480" spans="1:3" x14ac:dyDescent="0.25">
      <c r="A480" t="s">
        <v>122</v>
      </c>
      <c r="B480" t="s">
        <v>555</v>
      </c>
      <c r="C480" t="s">
        <v>1556</v>
      </c>
    </row>
    <row r="481" spans="1:3" x14ac:dyDescent="0.25">
      <c r="A481" t="s">
        <v>122</v>
      </c>
      <c r="B481" t="s">
        <v>556</v>
      </c>
      <c r="C481" t="s">
        <v>1557</v>
      </c>
    </row>
    <row r="482" spans="1:3" x14ac:dyDescent="0.25">
      <c r="A482" t="s">
        <v>122</v>
      </c>
      <c r="B482" t="s">
        <v>557</v>
      </c>
      <c r="C482" t="s">
        <v>1558</v>
      </c>
    </row>
    <row r="483" spans="1:3" x14ac:dyDescent="0.25">
      <c r="A483" t="s">
        <v>122</v>
      </c>
      <c r="B483" t="s">
        <v>558</v>
      </c>
      <c r="C483" t="s">
        <v>1559</v>
      </c>
    </row>
    <row r="484" spans="1:3" x14ac:dyDescent="0.25">
      <c r="A484" t="s">
        <v>122</v>
      </c>
      <c r="B484" t="s">
        <v>559</v>
      </c>
      <c r="C484" t="s">
        <v>1560</v>
      </c>
    </row>
    <row r="485" spans="1:3" x14ac:dyDescent="0.25">
      <c r="A485" t="s">
        <v>122</v>
      </c>
      <c r="B485" t="s">
        <v>560</v>
      </c>
      <c r="C485" t="s">
        <v>1561</v>
      </c>
    </row>
    <row r="486" spans="1:3" x14ac:dyDescent="0.25">
      <c r="A486" t="s">
        <v>122</v>
      </c>
      <c r="B486" t="s">
        <v>561</v>
      </c>
      <c r="C486" t="s">
        <v>1562</v>
      </c>
    </row>
    <row r="487" spans="1:3" x14ac:dyDescent="0.25">
      <c r="A487" t="s">
        <v>122</v>
      </c>
      <c r="B487" t="s">
        <v>562</v>
      </c>
      <c r="C487" t="s">
        <v>1563</v>
      </c>
    </row>
    <row r="488" spans="1:3" x14ac:dyDescent="0.25">
      <c r="A488" t="s">
        <v>122</v>
      </c>
      <c r="B488" t="s">
        <v>563</v>
      </c>
      <c r="C488" t="s">
        <v>1564</v>
      </c>
    </row>
    <row r="489" spans="1:3" x14ac:dyDescent="0.25">
      <c r="A489" t="s">
        <v>122</v>
      </c>
      <c r="B489" t="s">
        <v>564</v>
      </c>
      <c r="C489" t="s">
        <v>1565</v>
      </c>
    </row>
    <row r="490" spans="1:3" x14ac:dyDescent="0.25">
      <c r="A490" t="s">
        <v>122</v>
      </c>
      <c r="B490" t="s">
        <v>565</v>
      </c>
      <c r="C490" t="s">
        <v>1566</v>
      </c>
    </row>
    <row r="491" spans="1:3" x14ac:dyDescent="0.25">
      <c r="A491" t="s">
        <v>122</v>
      </c>
      <c r="B491" t="s">
        <v>897</v>
      </c>
      <c r="C491" t="s">
        <v>1567</v>
      </c>
    </row>
    <row r="492" spans="1:3" x14ac:dyDescent="0.25">
      <c r="A492" t="s">
        <v>122</v>
      </c>
      <c r="B492" t="s">
        <v>566</v>
      </c>
      <c r="C492" t="s">
        <v>1568</v>
      </c>
    </row>
    <row r="493" spans="1:3" x14ac:dyDescent="0.25">
      <c r="A493" t="s">
        <v>122</v>
      </c>
      <c r="B493" t="s">
        <v>567</v>
      </c>
      <c r="C493" t="s">
        <v>1569</v>
      </c>
    </row>
    <row r="494" spans="1:3" x14ac:dyDescent="0.25">
      <c r="A494" t="s">
        <v>122</v>
      </c>
      <c r="B494" t="s">
        <v>568</v>
      </c>
      <c r="C494" t="s">
        <v>1570</v>
      </c>
    </row>
    <row r="495" spans="1:3" x14ac:dyDescent="0.25">
      <c r="A495" t="s">
        <v>122</v>
      </c>
      <c r="B495" t="s">
        <v>569</v>
      </c>
      <c r="C495" t="s">
        <v>1571</v>
      </c>
    </row>
    <row r="496" spans="1:3" x14ac:dyDescent="0.25">
      <c r="A496" t="s">
        <v>122</v>
      </c>
      <c r="B496" t="s">
        <v>570</v>
      </c>
      <c r="C496" t="s">
        <v>1572</v>
      </c>
    </row>
    <row r="497" spans="1:3" x14ac:dyDescent="0.25">
      <c r="A497" t="s">
        <v>122</v>
      </c>
      <c r="B497" t="s">
        <v>571</v>
      </c>
      <c r="C497" t="s">
        <v>1573</v>
      </c>
    </row>
    <row r="498" spans="1:3" x14ac:dyDescent="0.25">
      <c r="A498" t="s">
        <v>122</v>
      </c>
      <c r="B498" t="s">
        <v>572</v>
      </c>
      <c r="C498" t="s">
        <v>1574</v>
      </c>
    </row>
    <row r="499" spans="1:3" x14ac:dyDescent="0.25">
      <c r="A499" t="s">
        <v>122</v>
      </c>
      <c r="B499" t="s">
        <v>573</v>
      </c>
      <c r="C499" t="s">
        <v>1575</v>
      </c>
    </row>
    <row r="500" spans="1:3" x14ac:dyDescent="0.25">
      <c r="A500" t="s">
        <v>122</v>
      </c>
      <c r="B500" t="s">
        <v>574</v>
      </c>
      <c r="C500" t="s">
        <v>1576</v>
      </c>
    </row>
    <row r="501" spans="1:3" x14ac:dyDescent="0.25">
      <c r="A501" t="s">
        <v>122</v>
      </c>
      <c r="B501" t="s">
        <v>575</v>
      </c>
      <c r="C501" t="s">
        <v>1577</v>
      </c>
    </row>
    <row r="502" spans="1:3" x14ac:dyDescent="0.25">
      <c r="A502" t="s">
        <v>122</v>
      </c>
      <c r="B502" t="s">
        <v>898</v>
      </c>
      <c r="C502" t="s">
        <v>1578</v>
      </c>
    </row>
    <row r="503" spans="1:3" x14ac:dyDescent="0.25">
      <c r="A503" t="s">
        <v>122</v>
      </c>
      <c r="B503" t="s">
        <v>576</v>
      </c>
      <c r="C503" t="s">
        <v>1579</v>
      </c>
    </row>
    <row r="504" spans="1:3" x14ac:dyDescent="0.25">
      <c r="A504" t="s">
        <v>122</v>
      </c>
      <c r="B504" t="s">
        <v>577</v>
      </c>
      <c r="C504" t="s">
        <v>1580</v>
      </c>
    </row>
    <row r="505" spans="1:3" x14ac:dyDescent="0.25">
      <c r="A505" t="s">
        <v>122</v>
      </c>
      <c r="B505" t="s">
        <v>578</v>
      </c>
      <c r="C505" t="s">
        <v>1581</v>
      </c>
    </row>
    <row r="506" spans="1:3" x14ac:dyDescent="0.25">
      <c r="A506" t="s">
        <v>122</v>
      </c>
      <c r="B506" t="s">
        <v>579</v>
      </c>
      <c r="C506" t="s">
        <v>1582</v>
      </c>
    </row>
    <row r="507" spans="1:3" x14ac:dyDescent="0.25">
      <c r="A507" t="s">
        <v>122</v>
      </c>
      <c r="B507" t="s">
        <v>580</v>
      </c>
      <c r="C507" t="s">
        <v>1583</v>
      </c>
    </row>
    <row r="508" spans="1:3" x14ac:dyDescent="0.25">
      <c r="A508" t="s">
        <v>122</v>
      </c>
      <c r="B508" t="s">
        <v>581</v>
      </c>
      <c r="C508" t="s">
        <v>1584</v>
      </c>
    </row>
    <row r="509" spans="1:3" x14ac:dyDescent="0.25">
      <c r="A509" t="s">
        <v>122</v>
      </c>
      <c r="B509" t="s">
        <v>582</v>
      </c>
      <c r="C509" t="s">
        <v>1585</v>
      </c>
    </row>
    <row r="510" spans="1:3" x14ac:dyDescent="0.25">
      <c r="A510" t="s">
        <v>122</v>
      </c>
      <c r="B510" t="s">
        <v>583</v>
      </c>
      <c r="C510" t="s">
        <v>1586</v>
      </c>
    </row>
    <row r="511" spans="1:3" x14ac:dyDescent="0.25">
      <c r="A511" t="s">
        <v>122</v>
      </c>
      <c r="B511" t="s">
        <v>584</v>
      </c>
      <c r="C511" t="s">
        <v>1587</v>
      </c>
    </row>
    <row r="512" spans="1:3" x14ac:dyDescent="0.25">
      <c r="A512" t="s">
        <v>122</v>
      </c>
      <c r="B512" t="s">
        <v>585</v>
      </c>
      <c r="C512" t="s">
        <v>1588</v>
      </c>
    </row>
    <row r="513" spans="1:3" x14ac:dyDescent="0.25">
      <c r="A513" t="s">
        <v>122</v>
      </c>
      <c r="B513" t="s">
        <v>586</v>
      </c>
      <c r="C513" t="s">
        <v>1589</v>
      </c>
    </row>
    <row r="514" spans="1:3" x14ac:dyDescent="0.25">
      <c r="A514" t="s">
        <v>122</v>
      </c>
      <c r="B514" t="s">
        <v>587</v>
      </c>
      <c r="C514" t="s">
        <v>1590</v>
      </c>
    </row>
    <row r="515" spans="1:3" x14ac:dyDescent="0.25">
      <c r="A515" t="s">
        <v>122</v>
      </c>
      <c r="B515" t="s">
        <v>588</v>
      </c>
      <c r="C515" t="s">
        <v>1591</v>
      </c>
    </row>
    <row r="516" spans="1:3" x14ac:dyDescent="0.25">
      <c r="A516" t="s">
        <v>122</v>
      </c>
      <c r="B516" t="s">
        <v>589</v>
      </c>
      <c r="C516" t="s">
        <v>1592</v>
      </c>
    </row>
    <row r="517" spans="1:3" x14ac:dyDescent="0.25">
      <c r="A517" t="s">
        <v>122</v>
      </c>
      <c r="B517" t="s">
        <v>590</v>
      </c>
      <c r="C517" t="s">
        <v>1593</v>
      </c>
    </row>
    <row r="518" spans="1:3" x14ac:dyDescent="0.25">
      <c r="A518" t="s">
        <v>122</v>
      </c>
      <c r="B518" t="s">
        <v>591</v>
      </c>
      <c r="C518" t="s">
        <v>1594</v>
      </c>
    </row>
    <row r="519" spans="1:3" x14ac:dyDescent="0.25">
      <c r="A519" t="s">
        <v>122</v>
      </c>
      <c r="B519" t="s">
        <v>592</v>
      </c>
      <c r="C519" t="s">
        <v>1595</v>
      </c>
    </row>
    <row r="520" spans="1:3" x14ac:dyDescent="0.25">
      <c r="A520" t="s">
        <v>122</v>
      </c>
      <c r="B520" t="s">
        <v>593</v>
      </c>
      <c r="C520" t="s">
        <v>1596</v>
      </c>
    </row>
    <row r="521" spans="1:3" x14ac:dyDescent="0.25">
      <c r="A521" t="s">
        <v>122</v>
      </c>
      <c r="B521" t="s">
        <v>594</v>
      </c>
      <c r="C521" t="s">
        <v>1597</v>
      </c>
    </row>
    <row r="522" spans="1:3" x14ac:dyDescent="0.25">
      <c r="A522" t="s">
        <v>122</v>
      </c>
      <c r="B522" t="s">
        <v>595</v>
      </c>
      <c r="C522" t="s">
        <v>1598</v>
      </c>
    </row>
    <row r="523" spans="1:3" x14ac:dyDescent="0.25">
      <c r="A523" t="s">
        <v>122</v>
      </c>
      <c r="B523" t="s">
        <v>899</v>
      </c>
      <c r="C523" t="s">
        <v>1599</v>
      </c>
    </row>
    <row r="524" spans="1:3" x14ac:dyDescent="0.25">
      <c r="A524" t="s">
        <v>122</v>
      </c>
      <c r="B524" t="s">
        <v>596</v>
      </c>
      <c r="C524" t="s">
        <v>1600</v>
      </c>
    </row>
    <row r="525" spans="1:3" x14ac:dyDescent="0.25">
      <c r="A525" t="s">
        <v>122</v>
      </c>
      <c r="B525" t="s">
        <v>597</v>
      </c>
      <c r="C525" t="s">
        <v>1601</v>
      </c>
    </row>
    <row r="526" spans="1:3" x14ac:dyDescent="0.25">
      <c r="A526" t="s">
        <v>122</v>
      </c>
      <c r="B526" t="s">
        <v>598</v>
      </c>
      <c r="C526" t="s">
        <v>1602</v>
      </c>
    </row>
    <row r="527" spans="1:3" x14ac:dyDescent="0.25">
      <c r="A527" t="s">
        <v>122</v>
      </c>
      <c r="B527" t="s">
        <v>599</v>
      </c>
      <c r="C527" t="s">
        <v>1603</v>
      </c>
    </row>
    <row r="528" spans="1:3" x14ac:dyDescent="0.25">
      <c r="A528" t="s">
        <v>122</v>
      </c>
      <c r="B528" t="s">
        <v>600</v>
      </c>
      <c r="C528" t="s">
        <v>1604</v>
      </c>
    </row>
    <row r="529" spans="1:3" x14ac:dyDescent="0.25">
      <c r="A529" t="s">
        <v>122</v>
      </c>
      <c r="B529" t="s">
        <v>900</v>
      </c>
      <c r="C529" t="s">
        <v>1605</v>
      </c>
    </row>
    <row r="530" spans="1:3" x14ac:dyDescent="0.25">
      <c r="A530" t="s">
        <v>122</v>
      </c>
      <c r="B530" t="s">
        <v>601</v>
      </c>
      <c r="C530" t="s">
        <v>1606</v>
      </c>
    </row>
    <row r="531" spans="1:3" x14ac:dyDescent="0.25">
      <c r="A531" t="s">
        <v>122</v>
      </c>
      <c r="B531" t="s">
        <v>602</v>
      </c>
      <c r="C531" t="s">
        <v>1607</v>
      </c>
    </row>
    <row r="532" spans="1:3" x14ac:dyDescent="0.25">
      <c r="A532" t="s">
        <v>122</v>
      </c>
      <c r="B532" t="s">
        <v>603</v>
      </c>
      <c r="C532" t="s">
        <v>1608</v>
      </c>
    </row>
    <row r="533" spans="1:3" x14ac:dyDescent="0.25">
      <c r="A533" t="s">
        <v>122</v>
      </c>
      <c r="B533" t="s">
        <v>901</v>
      </c>
      <c r="C533" t="s">
        <v>1609</v>
      </c>
    </row>
    <row r="534" spans="1:3" x14ac:dyDescent="0.25">
      <c r="A534" t="s">
        <v>122</v>
      </c>
      <c r="B534" t="s">
        <v>604</v>
      </c>
      <c r="C534" t="s">
        <v>1610</v>
      </c>
    </row>
    <row r="535" spans="1:3" x14ac:dyDescent="0.25">
      <c r="A535" t="s">
        <v>122</v>
      </c>
      <c r="B535" t="s">
        <v>605</v>
      </c>
      <c r="C535" t="s">
        <v>1611</v>
      </c>
    </row>
    <row r="536" spans="1:3" x14ac:dyDescent="0.25">
      <c r="A536" t="s">
        <v>122</v>
      </c>
      <c r="B536" t="s">
        <v>606</v>
      </c>
      <c r="C536" t="s">
        <v>1612</v>
      </c>
    </row>
    <row r="537" spans="1:3" x14ac:dyDescent="0.25">
      <c r="A537" t="s">
        <v>122</v>
      </c>
      <c r="B537" t="s">
        <v>607</v>
      </c>
      <c r="C537" t="s">
        <v>1613</v>
      </c>
    </row>
    <row r="538" spans="1:3" x14ac:dyDescent="0.25">
      <c r="A538" t="s">
        <v>122</v>
      </c>
      <c r="B538" t="s">
        <v>608</v>
      </c>
      <c r="C538" t="s">
        <v>1614</v>
      </c>
    </row>
    <row r="539" spans="1:3" x14ac:dyDescent="0.25">
      <c r="A539" t="s">
        <v>122</v>
      </c>
      <c r="B539" t="s">
        <v>609</v>
      </c>
      <c r="C539" t="s">
        <v>1615</v>
      </c>
    </row>
    <row r="540" spans="1:3" x14ac:dyDescent="0.25">
      <c r="A540" t="s">
        <v>122</v>
      </c>
      <c r="B540" t="s">
        <v>610</v>
      </c>
      <c r="C540" t="s">
        <v>1616</v>
      </c>
    </row>
    <row r="541" spans="1:3" x14ac:dyDescent="0.25">
      <c r="A541" t="s">
        <v>122</v>
      </c>
      <c r="B541" t="s">
        <v>611</v>
      </c>
      <c r="C541" t="s">
        <v>1617</v>
      </c>
    </row>
    <row r="542" spans="1:3" x14ac:dyDescent="0.25">
      <c r="A542" t="s">
        <v>122</v>
      </c>
      <c r="B542" t="s">
        <v>612</v>
      </c>
      <c r="C542" t="s">
        <v>1618</v>
      </c>
    </row>
    <row r="543" spans="1:3" x14ac:dyDescent="0.25">
      <c r="A543" t="s">
        <v>122</v>
      </c>
      <c r="B543" t="s">
        <v>613</v>
      </c>
      <c r="C543" t="s">
        <v>1619</v>
      </c>
    </row>
    <row r="544" spans="1:3" x14ac:dyDescent="0.25">
      <c r="A544" t="s">
        <v>122</v>
      </c>
      <c r="B544" t="s">
        <v>614</v>
      </c>
      <c r="C544" t="s">
        <v>1620</v>
      </c>
    </row>
    <row r="545" spans="1:3" x14ac:dyDescent="0.25">
      <c r="A545" t="s">
        <v>122</v>
      </c>
      <c r="B545" t="s">
        <v>615</v>
      </c>
      <c r="C545" t="s">
        <v>1621</v>
      </c>
    </row>
    <row r="546" spans="1:3" x14ac:dyDescent="0.25">
      <c r="A546" t="s">
        <v>122</v>
      </c>
      <c r="B546" t="s">
        <v>616</v>
      </c>
      <c r="C546" t="s">
        <v>1622</v>
      </c>
    </row>
    <row r="547" spans="1:3" x14ac:dyDescent="0.25">
      <c r="A547" t="s">
        <v>122</v>
      </c>
      <c r="B547" t="s">
        <v>617</v>
      </c>
      <c r="C547" t="s">
        <v>1623</v>
      </c>
    </row>
    <row r="548" spans="1:3" x14ac:dyDescent="0.25">
      <c r="A548" t="s">
        <v>122</v>
      </c>
      <c r="B548" t="s">
        <v>618</v>
      </c>
      <c r="C548" t="s">
        <v>1624</v>
      </c>
    </row>
    <row r="549" spans="1:3" x14ac:dyDescent="0.25">
      <c r="A549" t="s">
        <v>122</v>
      </c>
      <c r="B549" t="s">
        <v>619</v>
      </c>
      <c r="C549" t="s">
        <v>1625</v>
      </c>
    </row>
    <row r="550" spans="1:3" x14ac:dyDescent="0.25">
      <c r="A550" t="s">
        <v>122</v>
      </c>
      <c r="B550" t="s">
        <v>902</v>
      </c>
      <c r="C550" t="s">
        <v>1626</v>
      </c>
    </row>
    <row r="551" spans="1:3" x14ac:dyDescent="0.25">
      <c r="A551" t="s">
        <v>122</v>
      </c>
      <c r="B551" t="s">
        <v>903</v>
      </c>
      <c r="C551" t="s">
        <v>1627</v>
      </c>
    </row>
    <row r="552" spans="1:3" x14ac:dyDescent="0.25">
      <c r="A552" t="s">
        <v>122</v>
      </c>
      <c r="B552" t="s">
        <v>904</v>
      </c>
      <c r="C552" t="s">
        <v>1628</v>
      </c>
    </row>
    <row r="553" spans="1:3" x14ac:dyDescent="0.25">
      <c r="A553" t="s">
        <v>122</v>
      </c>
      <c r="B553" t="s">
        <v>620</v>
      </c>
      <c r="C553" t="s">
        <v>1629</v>
      </c>
    </row>
    <row r="554" spans="1:3" x14ac:dyDescent="0.25">
      <c r="A554" t="s">
        <v>122</v>
      </c>
      <c r="B554" t="s">
        <v>621</v>
      </c>
      <c r="C554" t="s">
        <v>1630</v>
      </c>
    </row>
    <row r="555" spans="1:3" x14ac:dyDescent="0.25">
      <c r="A555" t="s">
        <v>122</v>
      </c>
      <c r="B555" t="s">
        <v>622</v>
      </c>
      <c r="C555" t="s">
        <v>1631</v>
      </c>
    </row>
    <row r="556" spans="1:3" x14ac:dyDescent="0.25">
      <c r="A556" t="s">
        <v>122</v>
      </c>
      <c r="B556" t="s">
        <v>623</v>
      </c>
      <c r="C556" t="s">
        <v>1632</v>
      </c>
    </row>
    <row r="557" spans="1:3" x14ac:dyDescent="0.25">
      <c r="A557" t="s">
        <v>122</v>
      </c>
      <c r="B557" t="s">
        <v>624</v>
      </c>
      <c r="C557" t="s">
        <v>1633</v>
      </c>
    </row>
    <row r="558" spans="1:3" x14ac:dyDescent="0.25">
      <c r="A558" t="s">
        <v>122</v>
      </c>
      <c r="B558" t="s">
        <v>625</v>
      </c>
      <c r="C558" t="s">
        <v>1634</v>
      </c>
    </row>
    <row r="559" spans="1:3" x14ac:dyDescent="0.25">
      <c r="A559" t="s">
        <v>122</v>
      </c>
      <c r="B559" t="s">
        <v>626</v>
      </c>
      <c r="C559" t="s">
        <v>1635</v>
      </c>
    </row>
    <row r="560" spans="1:3" x14ac:dyDescent="0.25">
      <c r="A560" t="s">
        <v>122</v>
      </c>
      <c r="B560" t="s">
        <v>627</v>
      </c>
      <c r="C560" t="s">
        <v>1636</v>
      </c>
    </row>
    <row r="561" spans="1:3" x14ac:dyDescent="0.25">
      <c r="A561" t="s">
        <v>122</v>
      </c>
      <c r="B561" t="s">
        <v>628</v>
      </c>
      <c r="C561" t="s">
        <v>1637</v>
      </c>
    </row>
    <row r="562" spans="1:3" x14ac:dyDescent="0.25">
      <c r="A562" t="s">
        <v>122</v>
      </c>
      <c r="B562" t="s">
        <v>629</v>
      </c>
      <c r="C562" t="s">
        <v>1638</v>
      </c>
    </row>
    <row r="563" spans="1:3" x14ac:dyDescent="0.25">
      <c r="A563" t="s">
        <v>122</v>
      </c>
      <c r="B563" t="s">
        <v>630</v>
      </c>
      <c r="C563" t="s">
        <v>1639</v>
      </c>
    </row>
    <row r="564" spans="1:3" x14ac:dyDescent="0.25">
      <c r="A564" t="s">
        <v>122</v>
      </c>
      <c r="B564" t="s">
        <v>631</v>
      </c>
      <c r="C564" t="s">
        <v>1640</v>
      </c>
    </row>
    <row r="565" spans="1:3" x14ac:dyDescent="0.25">
      <c r="A565" t="s">
        <v>122</v>
      </c>
      <c r="B565" t="s">
        <v>632</v>
      </c>
      <c r="C565" t="s">
        <v>1641</v>
      </c>
    </row>
    <row r="566" spans="1:3" x14ac:dyDescent="0.25">
      <c r="A566" t="s">
        <v>122</v>
      </c>
      <c r="B566" t="s">
        <v>633</v>
      </c>
      <c r="C566" t="s">
        <v>1642</v>
      </c>
    </row>
    <row r="567" spans="1:3" x14ac:dyDescent="0.25">
      <c r="A567" t="s">
        <v>122</v>
      </c>
      <c r="B567" t="s">
        <v>634</v>
      </c>
      <c r="C567" t="s">
        <v>1643</v>
      </c>
    </row>
    <row r="568" spans="1:3" x14ac:dyDescent="0.25">
      <c r="A568" t="s">
        <v>122</v>
      </c>
      <c r="B568" t="s">
        <v>635</v>
      </c>
      <c r="C568" t="s">
        <v>1644</v>
      </c>
    </row>
    <row r="569" spans="1:3" x14ac:dyDescent="0.25">
      <c r="A569" t="s">
        <v>122</v>
      </c>
      <c r="B569" t="s">
        <v>636</v>
      </c>
      <c r="C569" t="s">
        <v>1645</v>
      </c>
    </row>
    <row r="570" spans="1:3" x14ac:dyDescent="0.25">
      <c r="A570" t="s">
        <v>122</v>
      </c>
      <c r="B570" t="s">
        <v>637</v>
      </c>
      <c r="C570" t="s">
        <v>1646</v>
      </c>
    </row>
    <row r="571" spans="1:3" x14ac:dyDescent="0.25">
      <c r="A571" t="s">
        <v>122</v>
      </c>
      <c r="B571" t="s">
        <v>638</v>
      </c>
      <c r="C571" t="s">
        <v>1647</v>
      </c>
    </row>
    <row r="572" spans="1:3" x14ac:dyDescent="0.25">
      <c r="A572" t="s">
        <v>122</v>
      </c>
      <c r="B572" t="s">
        <v>639</v>
      </c>
      <c r="C572" t="s">
        <v>1648</v>
      </c>
    </row>
    <row r="573" spans="1:3" x14ac:dyDescent="0.25">
      <c r="A573" t="s">
        <v>122</v>
      </c>
      <c r="B573" t="s">
        <v>640</v>
      </c>
      <c r="C573" t="s">
        <v>1649</v>
      </c>
    </row>
    <row r="574" spans="1:3" x14ac:dyDescent="0.25">
      <c r="A574" t="s">
        <v>122</v>
      </c>
      <c r="B574" t="s">
        <v>905</v>
      </c>
      <c r="C574" t="s">
        <v>1650</v>
      </c>
    </row>
    <row r="575" spans="1:3" x14ac:dyDescent="0.25">
      <c r="A575" t="s">
        <v>122</v>
      </c>
      <c r="B575" t="s">
        <v>641</v>
      </c>
      <c r="C575" t="s">
        <v>1651</v>
      </c>
    </row>
    <row r="576" spans="1:3" x14ac:dyDescent="0.25">
      <c r="A576" t="s">
        <v>122</v>
      </c>
      <c r="B576" t="s">
        <v>642</v>
      </c>
      <c r="C576" t="s">
        <v>1652</v>
      </c>
    </row>
    <row r="577" spans="1:3" x14ac:dyDescent="0.25">
      <c r="A577" t="s">
        <v>122</v>
      </c>
      <c r="B577" t="s">
        <v>643</v>
      </c>
      <c r="C577" t="s">
        <v>1653</v>
      </c>
    </row>
    <row r="578" spans="1:3" x14ac:dyDescent="0.25">
      <c r="A578" t="s">
        <v>122</v>
      </c>
      <c r="B578" t="s">
        <v>644</v>
      </c>
      <c r="C578" t="s">
        <v>1654</v>
      </c>
    </row>
    <row r="579" spans="1:3" x14ac:dyDescent="0.25">
      <c r="A579" t="s">
        <v>122</v>
      </c>
      <c r="B579" t="s">
        <v>645</v>
      </c>
      <c r="C579" t="s">
        <v>1655</v>
      </c>
    </row>
    <row r="580" spans="1:3" x14ac:dyDescent="0.25">
      <c r="A580" t="s">
        <v>122</v>
      </c>
      <c r="B580" t="s">
        <v>646</v>
      </c>
      <c r="C580" t="s">
        <v>1656</v>
      </c>
    </row>
    <row r="581" spans="1:3" x14ac:dyDescent="0.25">
      <c r="A581" t="s">
        <v>122</v>
      </c>
      <c r="B581" t="s">
        <v>647</v>
      </c>
      <c r="C581" t="s">
        <v>1657</v>
      </c>
    </row>
    <row r="582" spans="1:3" x14ac:dyDescent="0.25">
      <c r="A582" t="s">
        <v>122</v>
      </c>
      <c r="B582" t="s">
        <v>648</v>
      </c>
      <c r="C582" t="s">
        <v>1658</v>
      </c>
    </row>
    <row r="583" spans="1:3" x14ac:dyDescent="0.25">
      <c r="A583" t="s">
        <v>122</v>
      </c>
      <c r="B583" t="s">
        <v>649</v>
      </c>
      <c r="C583" t="s">
        <v>1659</v>
      </c>
    </row>
    <row r="584" spans="1:3" x14ac:dyDescent="0.25">
      <c r="A584" t="s">
        <v>122</v>
      </c>
      <c r="B584" t="s">
        <v>650</v>
      </c>
      <c r="C584" t="s">
        <v>1660</v>
      </c>
    </row>
    <row r="585" spans="1:3" x14ac:dyDescent="0.25">
      <c r="A585" t="s">
        <v>122</v>
      </c>
      <c r="B585" t="s">
        <v>651</v>
      </c>
      <c r="C585" t="s">
        <v>1661</v>
      </c>
    </row>
    <row r="586" spans="1:3" x14ac:dyDescent="0.25">
      <c r="A586" t="s">
        <v>122</v>
      </c>
      <c r="B586" t="s">
        <v>652</v>
      </c>
      <c r="C586" t="s">
        <v>1662</v>
      </c>
    </row>
    <row r="587" spans="1:3" x14ac:dyDescent="0.25">
      <c r="A587" t="s">
        <v>122</v>
      </c>
      <c r="B587" t="s">
        <v>653</v>
      </c>
      <c r="C587" t="s">
        <v>1663</v>
      </c>
    </row>
    <row r="588" spans="1:3" x14ac:dyDescent="0.25">
      <c r="A588" t="s">
        <v>122</v>
      </c>
      <c r="B588" t="s">
        <v>654</v>
      </c>
      <c r="C588" t="s">
        <v>1664</v>
      </c>
    </row>
    <row r="589" spans="1:3" x14ac:dyDescent="0.25">
      <c r="A589" t="s">
        <v>122</v>
      </c>
      <c r="B589" t="s">
        <v>655</v>
      </c>
      <c r="C589" t="s">
        <v>1665</v>
      </c>
    </row>
    <row r="590" spans="1:3" x14ac:dyDescent="0.25">
      <c r="A590" t="s">
        <v>122</v>
      </c>
      <c r="B590" t="s">
        <v>656</v>
      </c>
      <c r="C590" t="s">
        <v>1666</v>
      </c>
    </row>
    <row r="591" spans="1:3" x14ac:dyDescent="0.25">
      <c r="A591" t="s">
        <v>122</v>
      </c>
      <c r="B591" t="s">
        <v>657</v>
      </c>
      <c r="C591" t="s">
        <v>1667</v>
      </c>
    </row>
    <row r="592" spans="1:3" x14ac:dyDescent="0.25">
      <c r="A592" t="s">
        <v>122</v>
      </c>
      <c r="B592" t="s">
        <v>658</v>
      </c>
      <c r="C592" t="s">
        <v>1668</v>
      </c>
    </row>
    <row r="593" spans="1:3" x14ac:dyDescent="0.25">
      <c r="A593" t="s">
        <v>122</v>
      </c>
      <c r="B593" t="s">
        <v>659</v>
      </c>
      <c r="C593" t="s">
        <v>1669</v>
      </c>
    </row>
    <row r="594" spans="1:3" x14ac:dyDescent="0.25">
      <c r="A594" t="s">
        <v>122</v>
      </c>
      <c r="B594" t="s">
        <v>660</v>
      </c>
      <c r="C594" t="s">
        <v>1670</v>
      </c>
    </row>
    <row r="595" spans="1:3" x14ac:dyDescent="0.25">
      <c r="A595" t="s">
        <v>122</v>
      </c>
      <c r="B595" t="s">
        <v>661</v>
      </c>
      <c r="C595" t="s">
        <v>1671</v>
      </c>
    </row>
    <row r="596" spans="1:3" x14ac:dyDescent="0.25">
      <c r="A596" t="s">
        <v>122</v>
      </c>
      <c r="B596" t="s">
        <v>662</v>
      </c>
      <c r="C596" t="s">
        <v>1672</v>
      </c>
    </row>
    <row r="597" spans="1:3" x14ac:dyDescent="0.25">
      <c r="A597" t="s">
        <v>122</v>
      </c>
      <c r="B597" t="s">
        <v>663</v>
      </c>
      <c r="C597" t="s">
        <v>1673</v>
      </c>
    </row>
    <row r="598" spans="1:3" x14ac:dyDescent="0.25">
      <c r="A598" t="s">
        <v>122</v>
      </c>
      <c r="B598" t="s">
        <v>664</v>
      </c>
      <c r="C598" t="s">
        <v>1674</v>
      </c>
    </row>
    <row r="599" spans="1:3" x14ac:dyDescent="0.25">
      <c r="A599" t="s">
        <v>122</v>
      </c>
      <c r="B599" t="s">
        <v>665</v>
      </c>
      <c r="C599" t="s">
        <v>1675</v>
      </c>
    </row>
    <row r="600" spans="1:3" x14ac:dyDescent="0.25">
      <c r="A600" t="s">
        <v>122</v>
      </c>
      <c r="B600" t="s">
        <v>666</v>
      </c>
      <c r="C600" t="s">
        <v>1676</v>
      </c>
    </row>
    <row r="601" spans="1:3" x14ac:dyDescent="0.25">
      <c r="A601" t="s">
        <v>122</v>
      </c>
      <c r="B601" t="s">
        <v>906</v>
      </c>
      <c r="C601" t="s">
        <v>1677</v>
      </c>
    </row>
    <row r="602" spans="1:3" x14ac:dyDescent="0.25">
      <c r="A602" t="s">
        <v>122</v>
      </c>
      <c r="B602" t="s">
        <v>667</v>
      </c>
      <c r="C602" t="s">
        <v>1678</v>
      </c>
    </row>
    <row r="603" spans="1:3" x14ac:dyDescent="0.25">
      <c r="A603" t="s">
        <v>122</v>
      </c>
      <c r="B603" t="s">
        <v>668</v>
      </c>
      <c r="C603" t="s">
        <v>1679</v>
      </c>
    </row>
    <row r="604" spans="1:3" x14ac:dyDescent="0.25">
      <c r="A604" t="s">
        <v>122</v>
      </c>
      <c r="B604" t="s">
        <v>669</v>
      </c>
      <c r="C604" t="s">
        <v>1680</v>
      </c>
    </row>
    <row r="605" spans="1:3" x14ac:dyDescent="0.25">
      <c r="A605" t="s">
        <v>122</v>
      </c>
      <c r="B605" t="s">
        <v>670</v>
      </c>
      <c r="C605" t="s">
        <v>1681</v>
      </c>
    </row>
    <row r="606" spans="1:3" x14ac:dyDescent="0.25">
      <c r="A606" t="s">
        <v>122</v>
      </c>
      <c r="B606" t="s">
        <v>671</v>
      </c>
      <c r="C606" t="s">
        <v>1682</v>
      </c>
    </row>
    <row r="607" spans="1:3" x14ac:dyDescent="0.25">
      <c r="A607" t="s">
        <v>122</v>
      </c>
      <c r="B607" t="s">
        <v>672</v>
      </c>
      <c r="C607" t="s">
        <v>1683</v>
      </c>
    </row>
    <row r="608" spans="1:3" x14ac:dyDescent="0.25">
      <c r="A608" t="s">
        <v>122</v>
      </c>
      <c r="B608" t="s">
        <v>673</v>
      </c>
      <c r="C608" t="s">
        <v>1684</v>
      </c>
    </row>
    <row r="609" spans="1:3" x14ac:dyDescent="0.25">
      <c r="A609" t="s">
        <v>122</v>
      </c>
      <c r="B609" t="s">
        <v>674</v>
      </c>
      <c r="C609" t="s">
        <v>1685</v>
      </c>
    </row>
    <row r="610" spans="1:3" x14ac:dyDescent="0.25">
      <c r="A610" t="s">
        <v>122</v>
      </c>
      <c r="B610" t="s">
        <v>675</v>
      </c>
      <c r="C610" t="s">
        <v>1686</v>
      </c>
    </row>
    <row r="611" spans="1:3" x14ac:dyDescent="0.25">
      <c r="A611" t="s">
        <v>122</v>
      </c>
      <c r="B611" t="s">
        <v>676</v>
      </c>
      <c r="C611" t="s">
        <v>1687</v>
      </c>
    </row>
    <row r="612" spans="1:3" x14ac:dyDescent="0.25">
      <c r="A612" t="s">
        <v>122</v>
      </c>
      <c r="B612" t="s">
        <v>677</v>
      </c>
      <c r="C612" t="s">
        <v>1688</v>
      </c>
    </row>
    <row r="613" spans="1:3" x14ac:dyDescent="0.25">
      <c r="A613" t="s">
        <v>122</v>
      </c>
      <c r="B613" t="s">
        <v>678</v>
      </c>
      <c r="C613" t="s">
        <v>1689</v>
      </c>
    </row>
    <row r="614" spans="1:3" x14ac:dyDescent="0.25">
      <c r="A614" t="s">
        <v>122</v>
      </c>
      <c r="B614" t="s">
        <v>679</v>
      </c>
      <c r="C614" t="s">
        <v>1690</v>
      </c>
    </row>
    <row r="615" spans="1:3" x14ac:dyDescent="0.25">
      <c r="A615" t="s">
        <v>122</v>
      </c>
      <c r="B615" t="s">
        <v>972</v>
      </c>
      <c r="C615" t="s">
        <v>1691</v>
      </c>
    </row>
    <row r="616" spans="1:3" x14ac:dyDescent="0.25">
      <c r="A616" t="s">
        <v>122</v>
      </c>
      <c r="B616" t="s">
        <v>680</v>
      </c>
      <c r="C616" t="s">
        <v>1692</v>
      </c>
    </row>
    <row r="617" spans="1:3" x14ac:dyDescent="0.25">
      <c r="A617" t="s">
        <v>122</v>
      </c>
      <c r="B617" t="s">
        <v>681</v>
      </c>
      <c r="C617" t="s">
        <v>1693</v>
      </c>
    </row>
    <row r="618" spans="1:3" x14ac:dyDescent="0.25">
      <c r="A618" t="s">
        <v>122</v>
      </c>
      <c r="B618" t="s">
        <v>682</v>
      </c>
      <c r="C618" t="s">
        <v>1694</v>
      </c>
    </row>
    <row r="619" spans="1:3" x14ac:dyDescent="0.25">
      <c r="A619" t="s">
        <v>122</v>
      </c>
      <c r="B619" t="s">
        <v>683</v>
      </c>
      <c r="C619" t="s">
        <v>1695</v>
      </c>
    </row>
    <row r="620" spans="1:3" x14ac:dyDescent="0.25">
      <c r="A620" t="s">
        <v>122</v>
      </c>
      <c r="B620" t="s">
        <v>684</v>
      </c>
      <c r="C620" t="s">
        <v>1696</v>
      </c>
    </row>
    <row r="621" spans="1:3" x14ac:dyDescent="0.25">
      <c r="A621" t="s">
        <v>122</v>
      </c>
      <c r="B621" t="s">
        <v>685</v>
      </c>
      <c r="C621" t="s">
        <v>1697</v>
      </c>
    </row>
    <row r="622" spans="1:3" x14ac:dyDescent="0.25">
      <c r="A622" t="s">
        <v>122</v>
      </c>
      <c r="B622" t="s">
        <v>686</v>
      </c>
      <c r="C622" t="s">
        <v>1698</v>
      </c>
    </row>
    <row r="623" spans="1:3" x14ac:dyDescent="0.25">
      <c r="A623" t="s">
        <v>122</v>
      </c>
      <c r="B623" t="s">
        <v>687</v>
      </c>
      <c r="C623" t="s">
        <v>1699</v>
      </c>
    </row>
    <row r="624" spans="1:3" x14ac:dyDescent="0.25">
      <c r="A624" t="s">
        <v>122</v>
      </c>
      <c r="B624" t="s">
        <v>688</v>
      </c>
      <c r="C624" t="s">
        <v>1700</v>
      </c>
    </row>
    <row r="625" spans="1:3" x14ac:dyDescent="0.25">
      <c r="A625" t="s">
        <v>122</v>
      </c>
      <c r="B625" t="s">
        <v>689</v>
      </c>
      <c r="C625" t="s">
        <v>1701</v>
      </c>
    </row>
    <row r="626" spans="1:3" x14ac:dyDescent="0.25">
      <c r="A626" t="s">
        <v>122</v>
      </c>
      <c r="B626" t="s">
        <v>690</v>
      </c>
      <c r="C626" t="s">
        <v>1702</v>
      </c>
    </row>
    <row r="627" spans="1:3" x14ac:dyDescent="0.25">
      <c r="A627" t="s">
        <v>122</v>
      </c>
      <c r="B627" t="s">
        <v>691</v>
      </c>
      <c r="C627" t="s">
        <v>1703</v>
      </c>
    </row>
    <row r="628" spans="1:3" x14ac:dyDescent="0.25">
      <c r="A628" t="s">
        <v>122</v>
      </c>
      <c r="B628" t="s">
        <v>692</v>
      </c>
      <c r="C628" t="s">
        <v>1704</v>
      </c>
    </row>
    <row r="629" spans="1:3" x14ac:dyDescent="0.25">
      <c r="A629" t="s">
        <v>122</v>
      </c>
      <c r="B629" t="s">
        <v>693</v>
      </c>
      <c r="C629" t="s">
        <v>1705</v>
      </c>
    </row>
    <row r="630" spans="1:3" x14ac:dyDescent="0.25">
      <c r="A630" t="s">
        <v>122</v>
      </c>
      <c r="B630" t="s">
        <v>694</v>
      </c>
      <c r="C630" t="s">
        <v>1706</v>
      </c>
    </row>
    <row r="631" spans="1:3" x14ac:dyDescent="0.25">
      <c r="A631" t="s">
        <v>122</v>
      </c>
      <c r="B631" t="s">
        <v>695</v>
      </c>
      <c r="C631" t="s">
        <v>1707</v>
      </c>
    </row>
    <row r="632" spans="1:3" x14ac:dyDescent="0.25">
      <c r="A632" t="s">
        <v>122</v>
      </c>
      <c r="B632" t="s">
        <v>696</v>
      </c>
      <c r="C632" t="s">
        <v>1708</v>
      </c>
    </row>
    <row r="633" spans="1:3" x14ac:dyDescent="0.25">
      <c r="A633" t="s">
        <v>122</v>
      </c>
      <c r="B633" t="s">
        <v>907</v>
      </c>
      <c r="C633" t="s">
        <v>1709</v>
      </c>
    </row>
    <row r="634" spans="1:3" x14ac:dyDescent="0.25">
      <c r="A634" t="s">
        <v>122</v>
      </c>
      <c r="B634" t="s">
        <v>697</v>
      </c>
      <c r="C634" t="s">
        <v>1710</v>
      </c>
    </row>
    <row r="635" spans="1:3" x14ac:dyDescent="0.25">
      <c r="A635" t="s">
        <v>122</v>
      </c>
      <c r="B635" t="s">
        <v>698</v>
      </c>
      <c r="C635" t="s">
        <v>1711</v>
      </c>
    </row>
    <row r="636" spans="1:3" x14ac:dyDescent="0.25">
      <c r="A636" t="s">
        <v>122</v>
      </c>
      <c r="B636" t="s">
        <v>699</v>
      </c>
      <c r="C636" t="s">
        <v>1712</v>
      </c>
    </row>
    <row r="637" spans="1:3" x14ac:dyDescent="0.25">
      <c r="A637" t="s">
        <v>122</v>
      </c>
      <c r="B637" t="s">
        <v>700</v>
      </c>
      <c r="C637" t="s">
        <v>1713</v>
      </c>
    </row>
    <row r="638" spans="1:3" x14ac:dyDescent="0.25">
      <c r="A638" t="s">
        <v>122</v>
      </c>
      <c r="B638" t="s">
        <v>701</v>
      </c>
      <c r="C638" t="s">
        <v>1714</v>
      </c>
    </row>
    <row r="639" spans="1:3" x14ac:dyDescent="0.25">
      <c r="A639" t="s">
        <v>122</v>
      </c>
      <c r="B639" t="s">
        <v>702</v>
      </c>
      <c r="C639" t="s">
        <v>1715</v>
      </c>
    </row>
    <row r="640" spans="1:3" x14ac:dyDescent="0.25">
      <c r="A640" t="s">
        <v>122</v>
      </c>
      <c r="B640" t="s">
        <v>703</v>
      </c>
      <c r="C640" t="s">
        <v>1716</v>
      </c>
    </row>
    <row r="641" spans="1:3" x14ac:dyDescent="0.25">
      <c r="A641" t="s">
        <v>122</v>
      </c>
      <c r="B641" t="s">
        <v>704</v>
      </c>
      <c r="C641" t="s">
        <v>1717</v>
      </c>
    </row>
    <row r="642" spans="1:3" x14ac:dyDescent="0.25">
      <c r="A642" t="s">
        <v>122</v>
      </c>
      <c r="B642" t="s">
        <v>705</v>
      </c>
      <c r="C642" t="s">
        <v>1718</v>
      </c>
    </row>
    <row r="643" spans="1:3" x14ac:dyDescent="0.25">
      <c r="A643" t="s">
        <v>122</v>
      </c>
      <c r="B643" t="s">
        <v>706</v>
      </c>
      <c r="C643" t="s">
        <v>1719</v>
      </c>
    </row>
    <row r="644" spans="1:3" x14ac:dyDescent="0.25">
      <c r="A644" t="s">
        <v>122</v>
      </c>
      <c r="B644" t="s">
        <v>707</v>
      </c>
      <c r="C644" t="s">
        <v>1720</v>
      </c>
    </row>
    <row r="645" spans="1:3" x14ac:dyDescent="0.25">
      <c r="A645" t="s">
        <v>122</v>
      </c>
      <c r="B645" t="s">
        <v>708</v>
      </c>
      <c r="C645" t="s">
        <v>1721</v>
      </c>
    </row>
    <row r="646" spans="1:3" x14ac:dyDescent="0.25">
      <c r="A646" t="s">
        <v>122</v>
      </c>
      <c r="B646" t="s">
        <v>709</v>
      </c>
      <c r="C646" t="s">
        <v>1722</v>
      </c>
    </row>
    <row r="647" spans="1:3" x14ac:dyDescent="0.25">
      <c r="A647" t="s">
        <v>122</v>
      </c>
      <c r="B647" t="s">
        <v>710</v>
      </c>
      <c r="C647" t="s">
        <v>1723</v>
      </c>
    </row>
    <row r="648" spans="1:3" x14ac:dyDescent="0.25">
      <c r="A648" t="s">
        <v>122</v>
      </c>
      <c r="B648" t="s">
        <v>711</v>
      </c>
      <c r="C648" t="s">
        <v>1724</v>
      </c>
    </row>
    <row r="649" spans="1:3" x14ac:dyDescent="0.25">
      <c r="A649" t="s">
        <v>122</v>
      </c>
      <c r="B649" t="s">
        <v>712</v>
      </c>
      <c r="C649" t="s">
        <v>1725</v>
      </c>
    </row>
    <row r="650" spans="1:3" x14ac:dyDescent="0.25">
      <c r="A650" t="s">
        <v>122</v>
      </c>
      <c r="B650" t="s">
        <v>713</v>
      </c>
      <c r="C650" t="s">
        <v>1726</v>
      </c>
    </row>
    <row r="651" spans="1:3" x14ac:dyDescent="0.25">
      <c r="A651" t="s">
        <v>122</v>
      </c>
      <c r="B651" t="s">
        <v>714</v>
      </c>
      <c r="C651" t="s">
        <v>1727</v>
      </c>
    </row>
    <row r="652" spans="1:3" x14ac:dyDescent="0.25">
      <c r="A652" t="s">
        <v>122</v>
      </c>
      <c r="B652" t="s">
        <v>715</v>
      </c>
      <c r="C652" t="s">
        <v>1728</v>
      </c>
    </row>
    <row r="653" spans="1:3" x14ac:dyDescent="0.25">
      <c r="A653" t="s">
        <v>122</v>
      </c>
      <c r="B653" t="s">
        <v>716</v>
      </c>
      <c r="C653" t="s">
        <v>1729</v>
      </c>
    </row>
    <row r="654" spans="1:3" x14ac:dyDescent="0.25">
      <c r="A654" t="s">
        <v>122</v>
      </c>
      <c r="B654" t="s">
        <v>717</v>
      </c>
      <c r="C654" t="s">
        <v>1730</v>
      </c>
    </row>
    <row r="655" spans="1:3" x14ac:dyDescent="0.25">
      <c r="A655" t="s">
        <v>122</v>
      </c>
      <c r="B655" t="s">
        <v>718</v>
      </c>
      <c r="C655" t="s">
        <v>1731</v>
      </c>
    </row>
    <row r="656" spans="1:3" x14ac:dyDescent="0.25">
      <c r="A656" t="s">
        <v>122</v>
      </c>
      <c r="B656" t="s">
        <v>719</v>
      </c>
      <c r="C656" t="s">
        <v>1732</v>
      </c>
    </row>
    <row r="657" spans="1:3" x14ac:dyDescent="0.25">
      <c r="A657" t="s">
        <v>122</v>
      </c>
      <c r="B657" t="s">
        <v>720</v>
      </c>
      <c r="C657" t="s">
        <v>1733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G133"/>
  <sheetViews>
    <sheetView workbookViewId="0">
      <selection sqref="A1:G104"/>
    </sheetView>
  </sheetViews>
  <sheetFormatPr defaultRowHeight="15" x14ac:dyDescent="0.25"/>
  <cols>
    <col min="1" max="1" width="8.5703125" bestFit="1" customWidth="1"/>
    <col min="2" max="2" width="24.42578125" bestFit="1" customWidth="1"/>
    <col min="3" max="3" width="23.42578125" bestFit="1" customWidth="1"/>
    <col min="4" max="4" width="23.28515625" bestFit="1" customWidth="1"/>
    <col min="5" max="5" width="29.28515625" bestFit="1" customWidth="1"/>
    <col min="6" max="6" width="21.42578125" bestFit="1" customWidth="1"/>
    <col min="7" max="7" width="26.140625" bestFit="1" customWidth="1"/>
  </cols>
  <sheetData>
    <row r="1" spans="1:7" x14ac:dyDescent="0.25">
      <c r="A1" t="s">
        <v>4</v>
      </c>
      <c r="B1" t="s">
        <v>758</v>
      </c>
      <c r="C1" t="s">
        <v>759</v>
      </c>
      <c r="D1" t="s">
        <v>760</v>
      </c>
      <c r="E1" t="s">
        <v>761</v>
      </c>
      <c r="F1" t="s">
        <v>762</v>
      </c>
      <c r="G1" t="s">
        <v>763</v>
      </c>
    </row>
    <row r="2" spans="1:7" x14ac:dyDescent="0.25">
      <c r="A2" s="3" t="s">
        <v>764</v>
      </c>
      <c r="B2" t="s">
        <v>23</v>
      </c>
      <c r="C2">
        <v>2</v>
      </c>
      <c r="D2">
        <v>1047552</v>
      </c>
      <c r="E2">
        <v>393216</v>
      </c>
      <c r="F2">
        <v>28672</v>
      </c>
      <c r="G2">
        <v>8</v>
      </c>
    </row>
    <row r="3" spans="1:7" x14ac:dyDescent="0.25">
      <c r="A3" s="3" t="s">
        <v>764</v>
      </c>
      <c r="B3" t="s">
        <v>24</v>
      </c>
      <c r="C3">
        <v>4</v>
      </c>
      <c r="D3">
        <v>1047552</v>
      </c>
      <c r="E3">
        <v>786432</v>
      </c>
      <c r="F3">
        <v>57344</v>
      </c>
      <c r="G3">
        <v>16</v>
      </c>
    </row>
    <row r="4" spans="1:7" x14ac:dyDescent="0.25">
      <c r="A4" s="3" t="s">
        <v>764</v>
      </c>
      <c r="B4" t="s">
        <v>25</v>
      </c>
      <c r="C4">
        <v>8</v>
      </c>
      <c r="D4">
        <v>1047552</v>
      </c>
      <c r="E4">
        <v>1572864</v>
      </c>
      <c r="F4">
        <v>114688</v>
      </c>
      <c r="G4">
        <v>32</v>
      </c>
    </row>
    <row r="5" spans="1:7" x14ac:dyDescent="0.25">
      <c r="A5" s="3" t="s">
        <v>764</v>
      </c>
      <c r="B5" t="s">
        <v>26</v>
      </c>
      <c r="C5">
        <v>16</v>
      </c>
      <c r="D5">
        <v>1047552</v>
      </c>
      <c r="E5">
        <v>3145728</v>
      </c>
      <c r="F5">
        <v>229376</v>
      </c>
      <c r="G5">
        <v>64</v>
      </c>
    </row>
    <row r="6" spans="1:7" x14ac:dyDescent="0.25">
      <c r="A6" s="3" t="s">
        <v>764</v>
      </c>
      <c r="B6" t="s">
        <v>27</v>
      </c>
      <c r="C6">
        <v>32</v>
      </c>
      <c r="D6">
        <v>1047552</v>
      </c>
      <c r="E6">
        <v>6291456</v>
      </c>
      <c r="F6">
        <v>458752</v>
      </c>
      <c r="G6">
        <v>64</v>
      </c>
    </row>
    <row r="7" spans="1:7" x14ac:dyDescent="0.25">
      <c r="A7" s="3" t="s">
        <v>764</v>
      </c>
      <c r="B7" t="s">
        <v>28</v>
      </c>
      <c r="C7">
        <v>2</v>
      </c>
      <c r="D7">
        <v>1047552</v>
      </c>
      <c r="E7">
        <v>57344</v>
      </c>
      <c r="F7">
        <v>28672</v>
      </c>
      <c r="G7">
        <v>8</v>
      </c>
    </row>
    <row r="8" spans="1:7" x14ac:dyDescent="0.25">
      <c r="A8" s="3" t="s">
        <v>764</v>
      </c>
      <c r="B8" t="s">
        <v>29</v>
      </c>
      <c r="C8">
        <v>4</v>
      </c>
      <c r="D8">
        <v>1047552</v>
      </c>
      <c r="E8">
        <v>114688</v>
      </c>
      <c r="F8">
        <v>57344</v>
      </c>
      <c r="G8">
        <v>16</v>
      </c>
    </row>
    <row r="9" spans="1:7" x14ac:dyDescent="0.25">
      <c r="A9" s="3" t="s">
        <v>764</v>
      </c>
      <c r="B9" t="s">
        <v>30</v>
      </c>
      <c r="C9">
        <v>8</v>
      </c>
      <c r="D9">
        <v>1047552</v>
      </c>
      <c r="E9">
        <v>229376</v>
      </c>
      <c r="F9">
        <v>114688</v>
      </c>
      <c r="G9">
        <v>32</v>
      </c>
    </row>
    <row r="10" spans="1:7" x14ac:dyDescent="0.25">
      <c r="A10" s="3" t="s">
        <v>764</v>
      </c>
      <c r="B10" t="s">
        <v>31</v>
      </c>
      <c r="C10">
        <v>16</v>
      </c>
      <c r="D10">
        <v>1047552</v>
      </c>
      <c r="E10">
        <v>458752</v>
      </c>
      <c r="F10">
        <v>229376</v>
      </c>
      <c r="G10">
        <v>64</v>
      </c>
    </row>
    <row r="11" spans="1:7" x14ac:dyDescent="0.25">
      <c r="A11" s="3" t="s">
        <v>764</v>
      </c>
      <c r="B11" t="s">
        <v>1020</v>
      </c>
      <c r="C11">
        <v>16</v>
      </c>
      <c r="D11">
        <v>1047552</v>
      </c>
      <c r="E11">
        <v>458752</v>
      </c>
      <c r="F11">
        <v>229376</v>
      </c>
      <c r="G11">
        <v>64</v>
      </c>
    </row>
    <row r="12" spans="1:7" x14ac:dyDescent="0.25">
      <c r="A12" s="3" t="s">
        <v>764</v>
      </c>
      <c r="B12" t="s">
        <v>1021</v>
      </c>
      <c r="C12">
        <v>16</v>
      </c>
      <c r="D12">
        <v>1047552</v>
      </c>
      <c r="E12">
        <v>458752</v>
      </c>
      <c r="F12">
        <v>229376</v>
      </c>
      <c r="G12">
        <v>64</v>
      </c>
    </row>
    <row r="13" spans="1:7" x14ac:dyDescent="0.25">
      <c r="A13" s="3" t="s">
        <v>764</v>
      </c>
      <c r="B13" t="s">
        <v>32</v>
      </c>
      <c r="C13">
        <v>32</v>
      </c>
      <c r="D13">
        <v>1047552</v>
      </c>
      <c r="E13">
        <v>917504</v>
      </c>
      <c r="F13">
        <v>458752</v>
      </c>
      <c r="G13">
        <v>64</v>
      </c>
    </row>
    <row r="14" spans="1:7" x14ac:dyDescent="0.25">
      <c r="A14" s="3" t="s">
        <v>764</v>
      </c>
      <c r="B14" t="s">
        <v>1022</v>
      </c>
      <c r="C14">
        <v>32</v>
      </c>
      <c r="D14">
        <v>1047552</v>
      </c>
      <c r="E14">
        <v>917504</v>
      </c>
      <c r="F14">
        <v>458752</v>
      </c>
      <c r="G14">
        <v>64</v>
      </c>
    </row>
    <row r="15" spans="1:7" x14ac:dyDescent="0.25">
      <c r="A15" s="3" t="s">
        <v>764</v>
      </c>
      <c r="B15" t="s">
        <v>1023</v>
      </c>
      <c r="C15">
        <v>32</v>
      </c>
      <c r="D15">
        <v>1047552</v>
      </c>
      <c r="E15">
        <v>917504</v>
      </c>
      <c r="F15">
        <v>458752</v>
      </c>
      <c r="G15">
        <v>64</v>
      </c>
    </row>
    <row r="16" spans="1:7" x14ac:dyDescent="0.25">
      <c r="A16" s="3" t="s">
        <v>764</v>
      </c>
      <c r="B16" t="s">
        <v>33</v>
      </c>
      <c r="C16">
        <v>4</v>
      </c>
      <c r="D16">
        <v>1047552</v>
      </c>
      <c r="E16">
        <v>694272</v>
      </c>
      <c r="F16">
        <v>32768</v>
      </c>
      <c r="G16">
        <v>16</v>
      </c>
    </row>
    <row r="17" spans="1:7" x14ac:dyDescent="0.25">
      <c r="A17" s="3" t="s">
        <v>764</v>
      </c>
      <c r="B17" t="s">
        <v>34</v>
      </c>
      <c r="C17">
        <v>8</v>
      </c>
      <c r="D17">
        <v>1047552</v>
      </c>
      <c r="E17">
        <v>1421312</v>
      </c>
      <c r="F17">
        <v>65536</v>
      </c>
      <c r="G17">
        <v>32</v>
      </c>
    </row>
    <row r="18" spans="1:7" x14ac:dyDescent="0.25">
      <c r="A18" s="3" t="s">
        <v>764</v>
      </c>
      <c r="B18" t="s">
        <v>35</v>
      </c>
      <c r="C18">
        <v>16</v>
      </c>
      <c r="D18">
        <v>1047552</v>
      </c>
      <c r="E18">
        <v>2874368</v>
      </c>
      <c r="F18">
        <v>131072</v>
      </c>
      <c r="G18">
        <v>64</v>
      </c>
    </row>
    <row r="19" spans="1:7" x14ac:dyDescent="0.25">
      <c r="A19" s="3" t="s">
        <v>764</v>
      </c>
      <c r="B19" t="s">
        <v>36</v>
      </c>
      <c r="C19">
        <v>32</v>
      </c>
      <c r="D19">
        <v>1047552</v>
      </c>
      <c r="E19">
        <v>5765120</v>
      </c>
      <c r="F19">
        <v>262144</v>
      </c>
      <c r="G19">
        <v>64</v>
      </c>
    </row>
    <row r="20" spans="1:7" x14ac:dyDescent="0.25">
      <c r="A20" s="3" t="s">
        <v>764</v>
      </c>
      <c r="B20" t="s">
        <v>37</v>
      </c>
      <c r="C20">
        <v>1</v>
      </c>
      <c r="D20">
        <v>1047552</v>
      </c>
      <c r="E20">
        <v>20480</v>
      </c>
      <c r="F20">
        <v>768</v>
      </c>
      <c r="G20">
        <v>1</v>
      </c>
    </row>
    <row r="21" spans="1:7" x14ac:dyDescent="0.25">
      <c r="A21" s="3" t="s">
        <v>764</v>
      </c>
      <c r="B21" t="s">
        <v>38</v>
      </c>
      <c r="C21">
        <v>1</v>
      </c>
      <c r="D21">
        <v>1047552</v>
      </c>
      <c r="E21">
        <v>71680</v>
      </c>
      <c r="F21">
        <v>1792</v>
      </c>
      <c r="G21">
        <v>2</v>
      </c>
    </row>
    <row r="22" spans="1:7" x14ac:dyDescent="0.25">
      <c r="A22" s="3" t="s">
        <v>764</v>
      </c>
      <c r="B22" t="s">
        <v>39</v>
      </c>
      <c r="C22">
        <v>2</v>
      </c>
      <c r="D22">
        <v>1047552</v>
      </c>
      <c r="E22">
        <v>138240</v>
      </c>
      <c r="F22">
        <v>3584</v>
      </c>
      <c r="G22">
        <v>4</v>
      </c>
    </row>
    <row r="23" spans="1:7" x14ac:dyDescent="0.25">
      <c r="A23" s="3" t="s">
        <v>764</v>
      </c>
      <c r="B23" t="s">
        <v>40</v>
      </c>
      <c r="C23">
        <v>4</v>
      </c>
      <c r="D23">
        <v>1047552</v>
      </c>
      <c r="E23">
        <v>291840</v>
      </c>
      <c r="F23">
        <v>7168</v>
      </c>
      <c r="G23">
        <v>8</v>
      </c>
    </row>
    <row r="24" spans="1:7" x14ac:dyDescent="0.25">
      <c r="A24" s="3" t="s">
        <v>764</v>
      </c>
      <c r="B24" t="s">
        <v>41</v>
      </c>
      <c r="C24">
        <v>2</v>
      </c>
      <c r="D24">
        <v>1047552</v>
      </c>
      <c r="E24">
        <v>138240</v>
      </c>
      <c r="F24">
        <v>14336</v>
      </c>
      <c r="G24">
        <v>4</v>
      </c>
    </row>
    <row r="25" spans="1:7" x14ac:dyDescent="0.25">
      <c r="A25" s="3" t="s">
        <v>764</v>
      </c>
      <c r="B25" t="s">
        <v>42</v>
      </c>
      <c r="C25">
        <v>8</v>
      </c>
      <c r="D25">
        <v>1047552</v>
      </c>
      <c r="E25">
        <v>619520</v>
      </c>
      <c r="F25">
        <v>14336</v>
      </c>
      <c r="G25">
        <v>16</v>
      </c>
    </row>
    <row r="26" spans="1:7" x14ac:dyDescent="0.25">
      <c r="A26" s="3" t="s">
        <v>764</v>
      </c>
      <c r="B26" t="s">
        <v>43</v>
      </c>
      <c r="C26">
        <v>4</v>
      </c>
      <c r="D26">
        <v>1047552</v>
      </c>
      <c r="E26">
        <v>291840</v>
      </c>
      <c r="F26">
        <v>28672</v>
      </c>
      <c r="G26">
        <v>8</v>
      </c>
    </row>
    <row r="27" spans="1:7" x14ac:dyDescent="0.25">
      <c r="A27" s="3" t="s">
        <v>764</v>
      </c>
      <c r="B27" t="s">
        <v>44</v>
      </c>
      <c r="C27">
        <v>8</v>
      </c>
      <c r="D27">
        <v>1047552</v>
      </c>
      <c r="E27">
        <v>619520</v>
      </c>
      <c r="F27">
        <v>57344</v>
      </c>
      <c r="G27">
        <v>16</v>
      </c>
    </row>
    <row r="28" spans="1:7" x14ac:dyDescent="0.25">
      <c r="A28" s="3" t="s">
        <v>764</v>
      </c>
      <c r="B28" t="s">
        <v>45</v>
      </c>
      <c r="C28">
        <v>1</v>
      </c>
      <c r="D28">
        <v>1047552</v>
      </c>
      <c r="E28">
        <v>20480</v>
      </c>
      <c r="F28">
        <v>768</v>
      </c>
      <c r="G28">
        <v>1</v>
      </c>
    </row>
    <row r="29" spans="1:7" x14ac:dyDescent="0.25">
      <c r="A29" s="3" t="s">
        <v>764</v>
      </c>
      <c r="B29" t="s">
        <v>46</v>
      </c>
      <c r="C29">
        <v>1</v>
      </c>
      <c r="D29">
        <v>1047552</v>
      </c>
      <c r="E29">
        <v>40960</v>
      </c>
      <c r="F29">
        <v>1792</v>
      </c>
      <c r="G29">
        <v>2</v>
      </c>
    </row>
    <row r="30" spans="1:7" x14ac:dyDescent="0.25">
      <c r="A30" s="3" t="s">
        <v>764</v>
      </c>
      <c r="B30" t="s">
        <v>47</v>
      </c>
      <c r="C30">
        <v>2</v>
      </c>
      <c r="D30">
        <v>1047552</v>
      </c>
      <c r="E30">
        <v>61440</v>
      </c>
      <c r="F30">
        <v>3584</v>
      </c>
      <c r="G30">
        <v>4</v>
      </c>
    </row>
    <row r="31" spans="1:7" x14ac:dyDescent="0.25">
      <c r="A31" s="3" t="s">
        <v>764</v>
      </c>
      <c r="B31" t="s">
        <v>48</v>
      </c>
      <c r="C31">
        <v>4</v>
      </c>
      <c r="D31">
        <v>1047552</v>
      </c>
      <c r="E31">
        <v>122880</v>
      </c>
      <c r="F31">
        <v>7168</v>
      </c>
      <c r="G31">
        <v>8</v>
      </c>
    </row>
    <row r="32" spans="1:7" x14ac:dyDescent="0.25">
      <c r="A32" s="3" t="s">
        <v>764</v>
      </c>
      <c r="B32" t="s">
        <v>49</v>
      </c>
      <c r="C32">
        <v>8</v>
      </c>
      <c r="D32">
        <v>1047552</v>
      </c>
      <c r="E32">
        <v>245760</v>
      </c>
      <c r="F32">
        <v>14336</v>
      </c>
      <c r="G32">
        <v>16</v>
      </c>
    </row>
    <row r="33" spans="1:7" x14ac:dyDescent="0.25">
      <c r="A33" s="3" t="s">
        <v>764</v>
      </c>
      <c r="B33" t="s">
        <v>50</v>
      </c>
      <c r="C33">
        <v>1</v>
      </c>
      <c r="D33">
        <v>1047552</v>
      </c>
      <c r="E33">
        <v>51200</v>
      </c>
      <c r="F33">
        <v>3584</v>
      </c>
      <c r="G33">
        <v>4</v>
      </c>
    </row>
    <row r="34" spans="1:7" x14ac:dyDescent="0.25">
      <c r="A34" s="3" t="s">
        <v>764</v>
      </c>
      <c r="B34" t="s">
        <v>51</v>
      </c>
      <c r="C34">
        <v>2</v>
      </c>
      <c r="D34">
        <v>1047552</v>
      </c>
      <c r="E34">
        <v>102400</v>
      </c>
      <c r="F34">
        <v>7168</v>
      </c>
      <c r="G34">
        <v>8</v>
      </c>
    </row>
    <row r="35" spans="1:7" x14ac:dyDescent="0.25">
      <c r="A35" s="3" t="s">
        <v>764</v>
      </c>
      <c r="B35" t="s">
        <v>52</v>
      </c>
      <c r="C35">
        <v>4</v>
      </c>
      <c r="D35">
        <v>1047552</v>
      </c>
      <c r="E35">
        <v>204800</v>
      </c>
      <c r="F35">
        <v>14336</v>
      </c>
      <c r="G35">
        <v>16</v>
      </c>
    </row>
    <row r="36" spans="1:7" x14ac:dyDescent="0.25">
      <c r="A36" s="3" t="s">
        <v>764</v>
      </c>
      <c r="B36" t="s">
        <v>53</v>
      </c>
      <c r="C36">
        <v>8</v>
      </c>
      <c r="D36">
        <v>1047552</v>
      </c>
      <c r="E36">
        <v>409600</v>
      </c>
      <c r="F36">
        <v>28672</v>
      </c>
      <c r="G36">
        <v>32</v>
      </c>
    </row>
    <row r="37" spans="1:7" x14ac:dyDescent="0.25">
      <c r="A37" s="3" t="s">
        <v>764</v>
      </c>
      <c r="B37" t="s">
        <v>54</v>
      </c>
      <c r="C37">
        <v>16</v>
      </c>
      <c r="D37">
        <v>1047552</v>
      </c>
      <c r="E37">
        <v>819200</v>
      </c>
      <c r="F37">
        <v>57344</v>
      </c>
      <c r="G37">
        <v>64</v>
      </c>
    </row>
    <row r="38" spans="1:7" x14ac:dyDescent="0.25">
      <c r="A38" s="3" t="s">
        <v>764</v>
      </c>
      <c r="B38" t="s">
        <v>55</v>
      </c>
      <c r="C38">
        <v>2</v>
      </c>
      <c r="D38">
        <v>1047552</v>
      </c>
      <c r="E38">
        <v>102400</v>
      </c>
      <c r="F38">
        <v>14336</v>
      </c>
      <c r="G38">
        <v>8</v>
      </c>
    </row>
    <row r="39" spans="1:7" x14ac:dyDescent="0.25">
      <c r="A39" s="3" t="s">
        <v>764</v>
      </c>
      <c r="B39" t="s">
        <v>56</v>
      </c>
      <c r="C39">
        <v>4</v>
      </c>
      <c r="D39">
        <v>1047552</v>
      </c>
      <c r="E39">
        <v>204800</v>
      </c>
      <c r="F39">
        <v>28672</v>
      </c>
      <c r="G39">
        <v>16</v>
      </c>
    </row>
    <row r="40" spans="1:7" x14ac:dyDescent="0.25">
      <c r="A40" s="3" t="s">
        <v>764</v>
      </c>
      <c r="B40" t="s">
        <v>57</v>
      </c>
      <c r="C40">
        <v>8</v>
      </c>
      <c r="D40">
        <v>1047552</v>
      </c>
      <c r="E40">
        <v>409600</v>
      </c>
      <c r="F40">
        <v>57344</v>
      </c>
      <c r="G40">
        <v>32</v>
      </c>
    </row>
    <row r="41" spans="1:7" x14ac:dyDescent="0.25">
      <c r="A41" s="3" t="s">
        <v>764</v>
      </c>
      <c r="B41" t="s">
        <v>58</v>
      </c>
      <c r="C41">
        <v>16</v>
      </c>
      <c r="D41">
        <v>1047552</v>
      </c>
      <c r="E41">
        <v>819200</v>
      </c>
      <c r="F41">
        <v>114688</v>
      </c>
      <c r="G41">
        <v>64</v>
      </c>
    </row>
    <row r="42" spans="1:7" x14ac:dyDescent="0.25">
      <c r="A42" s="3" t="s">
        <v>764</v>
      </c>
      <c r="B42" t="s">
        <v>59</v>
      </c>
      <c r="C42">
        <v>20</v>
      </c>
      <c r="D42">
        <v>1047552</v>
      </c>
      <c r="E42">
        <v>286720</v>
      </c>
      <c r="F42">
        <v>143360</v>
      </c>
      <c r="G42">
        <v>64</v>
      </c>
    </row>
    <row r="43" spans="1:7" x14ac:dyDescent="0.25">
      <c r="A43" s="3" t="s">
        <v>764</v>
      </c>
      <c r="B43" t="s">
        <v>60</v>
      </c>
      <c r="C43">
        <v>2</v>
      </c>
      <c r="D43">
        <v>1047552</v>
      </c>
      <c r="E43">
        <v>102400</v>
      </c>
      <c r="F43">
        <v>7168</v>
      </c>
      <c r="G43">
        <v>8</v>
      </c>
    </row>
    <row r="44" spans="1:7" x14ac:dyDescent="0.25">
      <c r="A44" s="3" t="s">
        <v>764</v>
      </c>
      <c r="B44" t="s">
        <v>61</v>
      </c>
      <c r="C44">
        <v>4</v>
      </c>
      <c r="D44">
        <v>1047552</v>
      </c>
      <c r="E44">
        <v>204800</v>
      </c>
      <c r="F44">
        <v>14336</v>
      </c>
      <c r="G44">
        <v>16</v>
      </c>
    </row>
    <row r="45" spans="1:7" x14ac:dyDescent="0.25">
      <c r="A45" s="3" t="s">
        <v>764</v>
      </c>
      <c r="B45" t="s">
        <v>62</v>
      </c>
      <c r="C45">
        <v>8</v>
      </c>
      <c r="D45">
        <v>1047552</v>
      </c>
      <c r="E45">
        <v>409600</v>
      </c>
      <c r="F45">
        <v>28672</v>
      </c>
      <c r="G45">
        <v>32</v>
      </c>
    </row>
    <row r="46" spans="1:7" x14ac:dyDescent="0.25">
      <c r="A46" s="3" t="s">
        <v>764</v>
      </c>
      <c r="B46" t="s">
        <v>63</v>
      </c>
      <c r="C46">
        <v>16</v>
      </c>
      <c r="D46">
        <v>1047552</v>
      </c>
      <c r="E46">
        <v>819200</v>
      </c>
      <c r="F46">
        <v>57344</v>
      </c>
      <c r="G46">
        <v>64</v>
      </c>
    </row>
    <row r="47" spans="1:7" x14ac:dyDescent="0.25">
      <c r="A47" s="3" t="s">
        <v>764</v>
      </c>
      <c r="B47" t="s">
        <v>64</v>
      </c>
      <c r="C47">
        <v>2</v>
      </c>
      <c r="D47">
        <v>1047552</v>
      </c>
      <c r="E47">
        <v>102400</v>
      </c>
      <c r="F47">
        <v>14336</v>
      </c>
      <c r="G47">
        <v>8</v>
      </c>
    </row>
    <row r="48" spans="1:7" x14ac:dyDescent="0.25">
      <c r="A48" s="3" t="s">
        <v>764</v>
      </c>
      <c r="B48" t="s">
        <v>65</v>
      </c>
      <c r="C48">
        <v>4</v>
      </c>
      <c r="D48">
        <v>1047552</v>
      </c>
      <c r="E48">
        <v>204800</v>
      </c>
      <c r="F48">
        <v>28672</v>
      </c>
      <c r="G48">
        <v>16</v>
      </c>
    </row>
    <row r="49" spans="1:7" x14ac:dyDescent="0.25">
      <c r="A49" s="3" t="s">
        <v>764</v>
      </c>
      <c r="B49" t="s">
        <v>66</v>
      </c>
      <c r="C49">
        <v>8</v>
      </c>
      <c r="D49">
        <v>1047552</v>
      </c>
      <c r="E49">
        <v>409600</v>
      </c>
      <c r="F49">
        <v>57344</v>
      </c>
      <c r="G49">
        <v>32</v>
      </c>
    </row>
    <row r="50" spans="1:7" x14ac:dyDescent="0.25">
      <c r="A50" s="3" t="s">
        <v>764</v>
      </c>
      <c r="B50" t="s">
        <v>67</v>
      </c>
      <c r="C50">
        <v>16</v>
      </c>
      <c r="D50">
        <v>1047552</v>
      </c>
      <c r="E50">
        <v>819200</v>
      </c>
      <c r="F50">
        <v>114688</v>
      </c>
      <c r="G50">
        <v>64</v>
      </c>
    </row>
    <row r="51" spans="1:7" x14ac:dyDescent="0.25">
      <c r="A51" s="3" t="s">
        <v>764</v>
      </c>
      <c r="B51" t="s">
        <v>68</v>
      </c>
      <c r="C51">
        <v>1</v>
      </c>
      <c r="D51">
        <v>1047552</v>
      </c>
      <c r="E51">
        <v>16384</v>
      </c>
      <c r="F51">
        <v>2048</v>
      </c>
      <c r="G51">
        <v>4</v>
      </c>
    </row>
    <row r="52" spans="1:7" x14ac:dyDescent="0.25">
      <c r="A52" s="3" t="s">
        <v>764</v>
      </c>
      <c r="B52" t="s">
        <v>69</v>
      </c>
      <c r="C52">
        <v>2</v>
      </c>
      <c r="D52">
        <v>1047552</v>
      </c>
      <c r="E52">
        <v>32768</v>
      </c>
      <c r="F52">
        <v>4096</v>
      </c>
      <c r="G52">
        <v>8</v>
      </c>
    </row>
    <row r="53" spans="1:7" x14ac:dyDescent="0.25">
      <c r="A53" s="3" t="s">
        <v>764</v>
      </c>
      <c r="B53" t="s">
        <v>70</v>
      </c>
      <c r="C53">
        <v>4</v>
      </c>
      <c r="D53">
        <v>1047552</v>
      </c>
      <c r="E53">
        <v>65536</v>
      </c>
      <c r="F53">
        <v>8192</v>
      </c>
      <c r="G53">
        <v>16</v>
      </c>
    </row>
    <row r="54" spans="1:7" x14ac:dyDescent="0.25">
      <c r="A54" s="3" t="s">
        <v>764</v>
      </c>
      <c r="B54" t="s">
        <v>71</v>
      </c>
      <c r="C54">
        <v>8</v>
      </c>
      <c r="D54">
        <v>1047552</v>
      </c>
      <c r="E54">
        <v>131072</v>
      </c>
      <c r="F54">
        <v>16384</v>
      </c>
      <c r="G54">
        <v>32</v>
      </c>
    </row>
    <row r="55" spans="1:7" x14ac:dyDescent="0.25">
      <c r="A55" s="3" t="s">
        <v>764</v>
      </c>
      <c r="B55" t="s">
        <v>72</v>
      </c>
      <c r="C55">
        <v>16</v>
      </c>
      <c r="D55">
        <v>1047552</v>
      </c>
      <c r="E55">
        <v>262144</v>
      </c>
      <c r="F55">
        <v>32768</v>
      </c>
      <c r="G55">
        <v>64</v>
      </c>
    </row>
    <row r="56" spans="1:7" x14ac:dyDescent="0.25">
      <c r="A56" s="3" t="s">
        <v>764</v>
      </c>
      <c r="B56" t="s">
        <v>73</v>
      </c>
      <c r="C56">
        <v>1</v>
      </c>
      <c r="D56">
        <v>1047552</v>
      </c>
      <c r="E56">
        <v>10240</v>
      </c>
      <c r="F56">
        <v>2048</v>
      </c>
      <c r="G56">
        <v>2</v>
      </c>
    </row>
    <row r="57" spans="1:7" x14ac:dyDescent="0.25">
      <c r="A57" s="3" t="s">
        <v>764</v>
      </c>
      <c r="B57" t="s">
        <v>74</v>
      </c>
      <c r="C57">
        <v>2</v>
      </c>
      <c r="D57">
        <v>1047552</v>
      </c>
      <c r="E57">
        <v>20480</v>
      </c>
      <c r="F57">
        <v>16384</v>
      </c>
      <c r="G57">
        <v>4</v>
      </c>
    </row>
    <row r="58" spans="1:7" x14ac:dyDescent="0.25">
      <c r="A58" s="3" t="s">
        <v>764</v>
      </c>
      <c r="B58" t="s">
        <v>75</v>
      </c>
      <c r="C58">
        <v>2</v>
      </c>
      <c r="D58">
        <v>1047552</v>
      </c>
      <c r="E58">
        <v>20480</v>
      </c>
      <c r="F58">
        <v>4096</v>
      </c>
      <c r="G58">
        <v>4</v>
      </c>
    </row>
    <row r="59" spans="1:7" x14ac:dyDescent="0.25">
      <c r="A59" s="3" t="s">
        <v>764</v>
      </c>
      <c r="B59" t="s">
        <v>76</v>
      </c>
      <c r="C59">
        <v>4</v>
      </c>
      <c r="D59">
        <v>1047552</v>
      </c>
      <c r="E59">
        <v>40960</v>
      </c>
      <c r="F59">
        <v>32768</v>
      </c>
      <c r="G59">
        <v>8</v>
      </c>
    </row>
    <row r="60" spans="1:7" x14ac:dyDescent="0.25">
      <c r="A60" s="3" t="s">
        <v>764</v>
      </c>
      <c r="B60" t="s">
        <v>77</v>
      </c>
      <c r="C60">
        <v>4</v>
      </c>
      <c r="D60">
        <v>1047552</v>
      </c>
      <c r="E60">
        <v>40960</v>
      </c>
      <c r="F60">
        <v>8192</v>
      </c>
      <c r="G60">
        <v>8</v>
      </c>
    </row>
    <row r="61" spans="1:7" x14ac:dyDescent="0.25">
      <c r="A61" s="3" t="s">
        <v>764</v>
      </c>
      <c r="B61" t="s">
        <v>78</v>
      </c>
      <c r="C61">
        <v>8</v>
      </c>
      <c r="D61">
        <v>1047552</v>
      </c>
      <c r="E61">
        <v>81920</v>
      </c>
      <c r="F61">
        <v>65536</v>
      </c>
      <c r="G61">
        <v>16</v>
      </c>
    </row>
    <row r="62" spans="1:7" x14ac:dyDescent="0.25">
      <c r="A62" s="3" t="s">
        <v>764</v>
      </c>
      <c r="B62" t="s">
        <v>79</v>
      </c>
      <c r="C62">
        <v>8</v>
      </c>
      <c r="D62">
        <v>1047552</v>
      </c>
      <c r="E62">
        <v>81920</v>
      </c>
      <c r="F62">
        <v>16384</v>
      </c>
      <c r="G62">
        <v>16</v>
      </c>
    </row>
    <row r="63" spans="1:7" x14ac:dyDescent="0.25">
      <c r="A63" s="3" t="s">
        <v>764</v>
      </c>
      <c r="B63" t="s">
        <v>80</v>
      </c>
      <c r="C63">
        <v>1</v>
      </c>
      <c r="D63">
        <v>1047552</v>
      </c>
      <c r="E63">
        <v>51200</v>
      </c>
      <c r="F63">
        <v>3584</v>
      </c>
      <c r="G63">
        <v>4</v>
      </c>
    </row>
    <row r="64" spans="1:7" x14ac:dyDescent="0.25">
      <c r="A64" s="3" t="s">
        <v>764</v>
      </c>
      <c r="B64" t="s">
        <v>81</v>
      </c>
      <c r="C64">
        <v>2</v>
      </c>
      <c r="D64">
        <v>1047552</v>
      </c>
      <c r="E64">
        <v>102400</v>
      </c>
      <c r="F64">
        <v>7168</v>
      </c>
      <c r="G64">
        <v>8</v>
      </c>
    </row>
    <row r="65" spans="1:7" x14ac:dyDescent="0.25">
      <c r="A65" s="3" t="s">
        <v>764</v>
      </c>
      <c r="B65" t="s">
        <v>82</v>
      </c>
      <c r="C65">
        <v>4</v>
      </c>
      <c r="D65">
        <v>1047552</v>
      </c>
      <c r="E65">
        <v>204800</v>
      </c>
      <c r="F65">
        <v>14336</v>
      </c>
      <c r="G65">
        <v>16</v>
      </c>
    </row>
    <row r="66" spans="1:7" x14ac:dyDescent="0.25">
      <c r="A66" s="3" t="s">
        <v>764</v>
      </c>
      <c r="B66" t="s">
        <v>83</v>
      </c>
      <c r="C66">
        <v>8</v>
      </c>
      <c r="D66">
        <v>1047552</v>
      </c>
      <c r="E66">
        <v>409600</v>
      </c>
      <c r="F66">
        <v>28672</v>
      </c>
      <c r="G66">
        <v>32</v>
      </c>
    </row>
    <row r="67" spans="1:7" x14ac:dyDescent="0.25">
      <c r="A67" s="3" t="s">
        <v>764</v>
      </c>
      <c r="B67" t="s">
        <v>84</v>
      </c>
      <c r="C67">
        <v>2</v>
      </c>
      <c r="D67">
        <v>1047552</v>
      </c>
      <c r="E67">
        <v>102400</v>
      </c>
      <c r="F67">
        <v>14336</v>
      </c>
      <c r="G67">
        <v>8</v>
      </c>
    </row>
    <row r="68" spans="1:7" x14ac:dyDescent="0.25">
      <c r="A68" s="3" t="s">
        <v>764</v>
      </c>
      <c r="B68" t="s">
        <v>85</v>
      </c>
      <c r="C68">
        <v>4</v>
      </c>
      <c r="D68">
        <v>1047552</v>
      </c>
      <c r="E68">
        <v>204800</v>
      </c>
      <c r="F68">
        <v>28672</v>
      </c>
      <c r="G68">
        <v>16</v>
      </c>
    </row>
    <row r="69" spans="1:7" x14ac:dyDescent="0.25">
      <c r="A69" s="3" t="s">
        <v>764</v>
      </c>
      <c r="B69" t="s">
        <v>86</v>
      </c>
      <c r="C69">
        <v>8</v>
      </c>
      <c r="D69">
        <v>1047552</v>
      </c>
      <c r="E69">
        <v>409600</v>
      </c>
      <c r="F69">
        <v>57344</v>
      </c>
      <c r="G69">
        <v>32</v>
      </c>
    </row>
    <row r="70" spans="1:7" x14ac:dyDescent="0.25">
      <c r="A70" s="3" t="s">
        <v>764</v>
      </c>
      <c r="B70" t="s">
        <v>87</v>
      </c>
      <c r="C70">
        <v>16</v>
      </c>
      <c r="D70">
        <v>1047552</v>
      </c>
      <c r="E70">
        <v>819200</v>
      </c>
      <c r="F70">
        <v>114688</v>
      </c>
      <c r="G70">
        <v>64</v>
      </c>
    </row>
    <row r="71" spans="1:7" x14ac:dyDescent="0.25">
      <c r="A71" s="3" t="s">
        <v>764</v>
      </c>
      <c r="B71" t="s">
        <v>88</v>
      </c>
      <c r="C71">
        <v>1</v>
      </c>
      <c r="D71">
        <v>1047552</v>
      </c>
      <c r="E71">
        <v>7168</v>
      </c>
      <c r="F71">
        <v>3584</v>
      </c>
      <c r="G71">
        <v>4</v>
      </c>
    </row>
    <row r="72" spans="1:7" x14ac:dyDescent="0.25">
      <c r="A72" s="3" t="s">
        <v>764</v>
      </c>
      <c r="B72" t="s">
        <v>89</v>
      </c>
      <c r="C72">
        <v>2</v>
      </c>
      <c r="D72">
        <v>1047552</v>
      </c>
      <c r="E72">
        <v>14336</v>
      </c>
      <c r="F72">
        <v>7168</v>
      </c>
      <c r="G72">
        <v>8</v>
      </c>
    </row>
    <row r="73" spans="1:7" x14ac:dyDescent="0.25">
      <c r="A73" s="3" t="s">
        <v>764</v>
      </c>
      <c r="B73" t="s">
        <v>90</v>
      </c>
      <c r="C73">
        <v>4</v>
      </c>
      <c r="D73">
        <v>1047552</v>
      </c>
      <c r="E73">
        <v>28672</v>
      </c>
      <c r="F73">
        <v>14336</v>
      </c>
      <c r="G73">
        <v>16</v>
      </c>
    </row>
    <row r="74" spans="1:7" x14ac:dyDescent="0.25">
      <c r="A74" s="3" t="s">
        <v>764</v>
      </c>
      <c r="B74" t="s">
        <v>91</v>
      </c>
      <c r="C74">
        <v>8</v>
      </c>
      <c r="D74">
        <v>1047552</v>
      </c>
      <c r="E74">
        <v>57344</v>
      </c>
      <c r="F74">
        <v>28672</v>
      </c>
      <c r="G74">
        <v>32</v>
      </c>
    </row>
    <row r="75" spans="1:7" x14ac:dyDescent="0.25">
      <c r="A75" s="3" t="s">
        <v>764</v>
      </c>
      <c r="B75" t="s">
        <v>92</v>
      </c>
      <c r="C75">
        <v>16</v>
      </c>
      <c r="D75">
        <v>1047552</v>
      </c>
      <c r="E75">
        <v>114688</v>
      </c>
      <c r="F75">
        <v>57344</v>
      </c>
      <c r="G75">
        <v>64</v>
      </c>
    </row>
    <row r="76" spans="1:7" x14ac:dyDescent="0.25">
      <c r="A76" s="3" t="s">
        <v>764</v>
      </c>
      <c r="B76" t="s">
        <v>93</v>
      </c>
      <c r="C76">
        <v>2</v>
      </c>
      <c r="D76">
        <v>1047552</v>
      </c>
      <c r="E76">
        <v>28672</v>
      </c>
      <c r="F76">
        <v>14336</v>
      </c>
      <c r="G76">
        <v>8</v>
      </c>
    </row>
    <row r="77" spans="1:7" x14ac:dyDescent="0.25">
      <c r="A77" s="3" t="s">
        <v>764</v>
      </c>
      <c r="B77" t="s">
        <v>94</v>
      </c>
      <c r="C77">
        <v>4</v>
      </c>
      <c r="D77">
        <v>1047552</v>
      </c>
      <c r="E77">
        <v>57344</v>
      </c>
      <c r="F77">
        <v>28672</v>
      </c>
      <c r="G77">
        <v>16</v>
      </c>
    </row>
    <row r="78" spans="1:7" x14ac:dyDescent="0.25">
      <c r="A78" s="3" t="s">
        <v>764</v>
      </c>
      <c r="B78" t="s">
        <v>1024</v>
      </c>
      <c r="C78">
        <v>8</v>
      </c>
      <c r="D78">
        <v>1047552</v>
      </c>
      <c r="E78">
        <v>114688</v>
      </c>
      <c r="F78">
        <v>57344</v>
      </c>
      <c r="G78">
        <v>32</v>
      </c>
    </row>
    <row r="79" spans="1:7" x14ac:dyDescent="0.25">
      <c r="A79" s="3" t="s">
        <v>764</v>
      </c>
      <c r="B79" t="s">
        <v>1025</v>
      </c>
      <c r="C79">
        <v>8</v>
      </c>
      <c r="D79">
        <v>1047552</v>
      </c>
      <c r="E79">
        <v>114688</v>
      </c>
      <c r="F79">
        <v>57344</v>
      </c>
      <c r="G79">
        <v>32</v>
      </c>
    </row>
    <row r="80" spans="1:7" x14ac:dyDescent="0.25">
      <c r="A80" s="3" t="s">
        <v>764</v>
      </c>
      <c r="B80" t="s">
        <v>95</v>
      </c>
      <c r="C80">
        <v>8</v>
      </c>
      <c r="D80">
        <v>1047552</v>
      </c>
      <c r="E80">
        <v>114688</v>
      </c>
      <c r="F80">
        <v>57344</v>
      </c>
      <c r="G80">
        <v>32</v>
      </c>
    </row>
    <row r="81" spans="1:7" x14ac:dyDescent="0.25">
      <c r="A81" s="3" t="s">
        <v>764</v>
      </c>
      <c r="B81" t="s">
        <v>1026</v>
      </c>
      <c r="C81">
        <v>16</v>
      </c>
      <c r="D81">
        <v>1047552</v>
      </c>
      <c r="E81">
        <v>229376</v>
      </c>
      <c r="F81">
        <v>114688</v>
      </c>
      <c r="G81">
        <v>64</v>
      </c>
    </row>
    <row r="82" spans="1:7" x14ac:dyDescent="0.25">
      <c r="A82" s="3" t="s">
        <v>764</v>
      </c>
      <c r="B82" t="s">
        <v>1027</v>
      </c>
      <c r="C82">
        <v>16</v>
      </c>
      <c r="D82">
        <v>1047552</v>
      </c>
      <c r="E82">
        <v>229376</v>
      </c>
      <c r="F82">
        <v>114688</v>
      </c>
      <c r="G82">
        <v>64</v>
      </c>
    </row>
    <row r="83" spans="1:7" x14ac:dyDescent="0.25">
      <c r="A83" s="3" t="s">
        <v>764</v>
      </c>
      <c r="B83" t="s">
        <v>96</v>
      </c>
      <c r="C83">
        <v>16</v>
      </c>
      <c r="D83">
        <v>1047552</v>
      </c>
      <c r="E83">
        <v>229376</v>
      </c>
      <c r="F83">
        <v>114688</v>
      </c>
      <c r="G83">
        <v>64</v>
      </c>
    </row>
    <row r="84" spans="1:7" x14ac:dyDescent="0.25">
      <c r="A84" s="3" t="s">
        <v>764</v>
      </c>
      <c r="B84" t="s">
        <v>97</v>
      </c>
      <c r="C84">
        <v>20</v>
      </c>
      <c r="D84">
        <v>1047552</v>
      </c>
      <c r="E84">
        <v>286720</v>
      </c>
      <c r="F84">
        <v>143360</v>
      </c>
      <c r="G84">
        <v>64</v>
      </c>
    </row>
    <row r="85" spans="1:7" x14ac:dyDescent="0.25">
      <c r="A85" s="3" t="s">
        <v>764</v>
      </c>
      <c r="B85" t="s">
        <v>98</v>
      </c>
      <c r="C85">
        <v>2</v>
      </c>
      <c r="D85">
        <v>1047552</v>
      </c>
      <c r="E85">
        <v>14336</v>
      </c>
      <c r="F85">
        <v>7168</v>
      </c>
      <c r="G85">
        <v>8</v>
      </c>
    </row>
    <row r="86" spans="1:7" x14ac:dyDescent="0.25">
      <c r="A86" s="3" t="s">
        <v>764</v>
      </c>
      <c r="B86" t="s">
        <v>99</v>
      </c>
      <c r="C86">
        <v>4</v>
      </c>
      <c r="D86">
        <v>1047552</v>
      </c>
      <c r="E86">
        <v>28672</v>
      </c>
      <c r="F86">
        <v>14336</v>
      </c>
      <c r="G86">
        <v>16</v>
      </c>
    </row>
    <row r="87" spans="1:7" x14ac:dyDescent="0.25">
      <c r="A87" s="3" t="s">
        <v>764</v>
      </c>
      <c r="B87" t="s">
        <v>100</v>
      </c>
      <c r="C87">
        <v>8</v>
      </c>
      <c r="D87">
        <v>1047552</v>
      </c>
      <c r="E87">
        <v>57344</v>
      </c>
      <c r="F87">
        <v>28672</v>
      </c>
      <c r="G87">
        <v>32</v>
      </c>
    </row>
    <row r="88" spans="1:7" x14ac:dyDescent="0.25">
      <c r="A88" s="3" t="s">
        <v>764</v>
      </c>
      <c r="B88" t="s">
        <v>101</v>
      </c>
      <c r="C88">
        <v>16</v>
      </c>
      <c r="D88">
        <v>1047552</v>
      </c>
      <c r="E88">
        <v>114688</v>
      </c>
      <c r="F88">
        <v>57344</v>
      </c>
      <c r="G88">
        <v>64</v>
      </c>
    </row>
    <row r="89" spans="1:7" x14ac:dyDescent="0.25">
      <c r="A89" s="3" t="s">
        <v>764</v>
      </c>
      <c r="B89" t="s">
        <v>102</v>
      </c>
      <c r="C89">
        <v>2</v>
      </c>
      <c r="D89">
        <v>1047552</v>
      </c>
      <c r="E89">
        <v>28672</v>
      </c>
      <c r="F89">
        <v>14336</v>
      </c>
      <c r="G89">
        <v>8</v>
      </c>
    </row>
    <row r="90" spans="1:7" x14ac:dyDescent="0.25">
      <c r="A90" s="3" t="s">
        <v>764</v>
      </c>
      <c r="B90" t="s">
        <v>103</v>
      </c>
      <c r="C90">
        <v>4</v>
      </c>
      <c r="D90">
        <v>1047552</v>
      </c>
      <c r="E90">
        <v>57344</v>
      </c>
      <c r="F90">
        <v>28672</v>
      </c>
      <c r="G90">
        <v>16</v>
      </c>
    </row>
    <row r="91" spans="1:7" x14ac:dyDescent="0.25">
      <c r="A91" s="3" t="s">
        <v>764</v>
      </c>
      <c r="B91" t="s">
        <v>104</v>
      </c>
      <c r="C91">
        <v>8</v>
      </c>
      <c r="D91">
        <v>1047552</v>
      </c>
      <c r="E91">
        <v>114688</v>
      </c>
      <c r="F91">
        <v>57344</v>
      </c>
      <c r="G91">
        <v>32</v>
      </c>
    </row>
    <row r="92" spans="1:7" x14ac:dyDescent="0.25">
      <c r="A92" s="3" t="s">
        <v>764</v>
      </c>
      <c r="B92" t="s">
        <v>105</v>
      </c>
      <c r="C92">
        <v>16</v>
      </c>
      <c r="D92">
        <v>1047552</v>
      </c>
      <c r="E92">
        <v>229376</v>
      </c>
      <c r="F92">
        <v>114688</v>
      </c>
      <c r="G92">
        <v>64</v>
      </c>
    </row>
    <row r="93" spans="1:7" x14ac:dyDescent="0.25">
      <c r="A93" s="3" t="s">
        <v>764</v>
      </c>
      <c r="B93" t="s">
        <v>106</v>
      </c>
      <c r="C93">
        <v>1</v>
      </c>
      <c r="D93">
        <v>1047552</v>
      </c>
      <c r="E93">
        <v>4096</v>
      </c>
      <c r="F93">
        <v>2048</v>
      </c>
      <c r="G93">
        <v>4</v>
      </c>
    </row>
    <row r="94" spans="1:7" x14ac:dyDescent="0.25">
      <c r="A94" s="3" t="s">
        <v>764</v>
      </c>
      <c r="B94" t="s">
        <v>107</v>
      </c>
      <c r="C94">
        <v>2</v>
      </c>
      <c r="D94">
        <v>1047552</v>
      </c>
      <c r="E94">
        <v>8192</v>
      </c>
      <c r="F94">
        <v>4096</v>
      </c>
      <c r="G94">
        <v>8</v>
      </c>
    </row>
    <row r="95" spans="1:7" x14ac:dyDescent="0.25">
      <c r="A95" s="3" t="s">
        <v>764</v>
      </c>
      <c r="B95" t="s">
        <v>108</v>
      </c>
      <c r="C95">
        <v>4</v>
      </c>
      <c r="D95">
        <v>1047552</v>
      </c>
      <c r="E95">
        <v>16384</v>
      </c>
      <c r="F95">
        <v>8192</v>
      </c>
      <c r="G95">
        <v>16</v>
      </c>
    </row>
    <row r="96" spans="1:7" x14ac:dyDescent="0.25">
      <c r="A96" s="3" t="s">
        <v>764</v>
      </c>
      <c r="B96" t="s">
        <v>109</v>
      </c>
      <c r="C96">
        <v>8</v>
      </c>
      <c r="D96">
        <v>1047552</v>
      </c>
      <c r="E96">
        <v>32768</v>
      </c>
      <c r="F96">
        <v>16384</v>
      </c>
      <c r="G96">
        <v>32</v>
      </c>
    </row>
    <row r="97" spans="1:7" x14ac:dyDescent="0.25">
      <c r="A97" s="3" t="s">
        <v>764</v>
      </c>
      <c r="B97" t="s">
        <v>110</v>
      </c>
      <c r="C97">
        <v>16</v>
      </c>
      <c r="D97">
        <v>1047552</v>
      </c>
      <c r="E97">
        <v>65536</v>
      </c>
      <c r="F97">
        <v>32768</v>
      </c>
      <c r="G97">
        <v>64</v>
      </c>
    </row>
    <row r="98" spans="1:7" x14ac:dyDescent="0.25">
      <c r="A98" s="3" t="s">
        <v>764</v>
      </c>
      <c r="B98" t="s">
        <v>111</v>
      </c>
      <c r="C98">
        <v>1</v>
      </c>
      <c r="D98">
        <v>1047552</v>
      </c>
      <c r="E98">
        <v>7168</v>
      </c>
      <c r="F98">
        <v>3584</v>
      </c>
      <c r="G98">
        <v>4</v>
      </c>
    </row>
    <row r="99" spans="1:7" x14ac:dyDescent="0.25">
      <c r="A99" s="3" t="s">
        <v>764</v>
      </c>
      <c r="B99" t="s">
        <v>112</v>
      </c>
      <c r="C99">
        <v>2</v>
      </c>
      <c r="D99">
        <v>1047552</v>
      </c>
      <c r="E99">
        <v>14336</v>
      </c>
      <c r="F99">
        <v>7168</v>
      </c>
      <c r="G99">
        <v>8</v>
      </c>
    </row>
    <row r="100" spans="1:7" x14ac:dyDescent="0.25">
      <c r="A100" s="3" t="s">
        <v>764</v>
      </c>
      <c r="B100" t="s">
        <v>113</v>
      </c>
      <c r="C100">
        <v>4</v>
      </c>
      <c r="D100">
        <v>1047552</v>
      </c>
      <c r="E100">
        <v>28672</v>
      </c>
      <c r="F100">
        <v>14336</v>
      </c>
      <c r="G100">
        <v>16</v>
      </c>
    </row>
    <row r="101" spans="1:7" x14ac:dyDescent="0.25">
      <c r="A101" s="3" t="s">
        <v>764</v>
      </c>
      <c r="B101" t="s">
        <v>114</v>
      </c>
      <c r="C101">
        <v>8</v>
      </c>
      <c r="D101">
        <v>1047552</v>
      </c>
      <c r="E101">
        <v>57344</v>
      </c>
      <c r="F101">
        <v>28672</v>
      </c>
      <c r="G101">
        <v>32</v>
      </c>
    </row>
    <row r="102" spans="1:7" x14ac:dyDescent="0.25">
      <c r="A102" s="3" t="s">
        <v>764</v>
      </c>
      <c r="B102" t="s">
        <v>115</v>
      </c>
      <c r="C102">
        <v>2</v>
      </c>
      <c r="D102">
        <v>1047552</v>
      </c>
      <c r="E102">
        <v>28672</v>
      </c>
      <c r="F102">
        <v>14336</v>
      </c>
      <c r="G102">
        <v>8</v>
      </c>
    </row>
    <row r="103" spans="1:7" x14ac:dyDescent="0.25">
      <c r="A103" s="3" t="s">
        <v>764</v>
      </c>
      <c r="B103" t="s">
        <v>116</v>
      </c>
      <c r="C103">
        <v>4</v>
      </c>
      <c r="D103">
        <v>1047552</v>
      </c>
      <c r="E103">
        <v>57344</v>
      </c>
      <c r="F103">
        <v>28672</v>
      </c>
      <c r="G103">
        <v>16</v>
      </c>
    </row>
    <row r="104" spans="1:7" x14ac:dyDescent="0.25">
      <c r="A104" s="3" t="s">
        <v>764</v>
      </c>
      <c r="B104" t="s">
        <v>117</v>
      </c>
      <c r="C104">
        <v>8</v>
      </c>
      <c r="D104">
        <v>1047552</v>
      </c>
      <c r="E104">
        <v>114688</v>
      </c>
      <c r="F104">
        <v>57344</v>
      </c>
      <c r="G104">
        <v>32</v>
      </c>
    </row>
    <row r="105" spans="1:7" x14ac:dyDescent="0.25">
      <c r="A105" s="3" t="s">
        <v>764</v>
      </c>
      <c r="B105" t="s">
        <v>118</v>
      </c>
      <c r="C105">
        <v>16</v>
      </c>
      <c r="D105">
        <v>1047552</v>
      </c>
      <c r="E105">
        <v>229376</v>
      </c>
      <c r="F105">
        <v>114688</v>
      </c>
      <c r="G105">
        <v>64</v>
      </c>
    </row>
    <row r="106" spans="1:7" x14ac:dyDescent="0.25">
      <c r="A106" s="3" t="s">
        <v>764</v>
      </c>
      <c r="B106" t="s">
        <v>1028</v>
      </c>
      <c r="C106">
        <v>2</v>
      </c>
      <c r="D106">
        <v>1047552</v>
      </c>
      <c r="E106">
        <v>51200</v>
      </c>
      <c r="F106">
        <v>8192</v>
      </c>
      <c r="G106">
        <v>4</v>
      </c>
    </row>
    <row r="107" spans="1:7" x14ac:dyDescent="0.25">
      <c r="A107" s="3" t="s">
        <v>764</v>
      </c>
      <c r="B107" t="s">
        <v>1029</v>
      </c>
      <c r="C107">
        <v>4</v>
      </c>
      <c r="D107">
        <v>1047552</v>
      </c>
      <c r="E107">
        <v>102400</v>
      </c>
      <c r="F107">
        <v>16384</v>
      </c>
      <c r="G107">
        <v>8</v>
      </c>
    </row>
    <row r="108" spans="1:7" x14ac:dyDescent="0.25">
      <c r="A108" s="3" t="s">
        <v>764</v>
      </c>
      <c r="B108" t="s">
        <v>1030</v>
      </c>
      <c r="C108">
        <v>8</v>
      </c>
      <c r="D108">
        <v>1047552</v>
      </c>
      <c r="E108">
        <v>204800</v>
      </c>
      <c r="F108">
        <v>32768</v>
      </c>
      <c r="G108">
        <v>16</v>
      </c>
    </row>
    <row r="109" spans="1:7" x14ac:dyDescent="0.25">
      <c r="A109" s="3" t="s">
        <v>764</v>
      </c>
      <c r="B109" t="s">
        <v>1031</v>
      </c>
      <c r="C109">
        <v>16</v>
      </c>
      <c r="D109">
        <v>1047552</v>
      </c>
      <c r="E109">
        <v>409600</v>
      </c>
      <c r="F109">
        <v>65636</v>
      </c>
      <c r="G109">
        <v>32</v>
      </c>
    </row>
    <row r="110" spans="1:7" x14ac:dyDescent="0.25">
      <c r="A110" s="3" t="s">
        <v>764</v>
      </c>
      <c r="B110" t="s">
        <v>1032</v>
      </c>
      <c r="C110">
        <v>32</v>
      </c>
      <c r="D110">
        <v>1047552</v>
      </c>
      <c r="E110">
        <v>819200</v>
      </c>
      <c r="F110">
        <v>131072</v>
      </c>
      <c r="G110">
        <v>32</v>
      </c>
    </row>
    <row r="111" spans="1:7" x14ac:dyDescent="0.25">
      <c r="A111" s="3" t="s">
        <v>764</v>
      </c>
      <c r="B111" t="s">
        <v>1033</v>
      </c>
      <c r="C111">
        <v>64</v>
      </c>
      <c r="D111">
        <v>1047552</v>
      </c>
      <c r="E111">
        <v>1638400</v>
      </c>
      <c r="F111">
        <v>262144</v>
      </c>
      <c r="G111">
        <v>32</v>
      </c>
    </row>
    <row r="112" spans="1:7" x14ac:dyDescent="0.25">
      <c r="A112" s="3" t="s">
        <v>764</v>
      </c>
      <c r="B112" t="s">
        <v>1034</v>
      </c>
      <c r="C112">
        <v>2</v>
      </c>
      <c r="D112">
        <v>1047552</v>
      </c>
      <c r="E112">
        <v>16384</v>
      </c>
      <c r="F112">
        <v>8192</v>
      </c>
      <c r="G112">
        <v>4</v>
      </c>
    </row>
    <row r="113" spans="1:7" x14ac:dyDescent="0.25">
      <c r="A113" s="3" t="s">
        <v>764</v>
      </c>
      <c r="B113" t="s">
        <v>1035</v>
      </c>
      <c r="C113">
        <v>4</v>
      </c>
      <c r="D113">
        <v>1047552</v>
      </c>
      <c r="E113">
        <v>32768</v>
      </c>
      <c r="F113">
        <v>16384</v>
      </c>
      <c r="G113">
        <v>8</v>
      </c>
    </row>
    <row r="114" spans="1:7" x14ac:dyDescent="0.25">
      <c r="A114" s="3" t="s">
        <v>764</v>
      </c>
      <c r="B114" t="s">
        <v>1036</v>
      </c>
      <c r="C114">
        <v>8</v>
      </c>
      <c r="D114">
        <v>1047552</v>
      </c>
      <c r="E114">
        <v>65536</v>
      </c>
      <c r="F114">
        <v>32768</v>
      </c>
      <c r="G114">
        <v>16</v>
      </c>
    </row>
    <row r="115" spans="1:7" x14ac:dyDescent="0.25">
      <c r="A115" s="3" t="s">
        <v>764</v>
      </c>
      <c r="B115" t="s">
        <v>1037</v>
      </c>
      <c r="C115">
        <v>16</v>
      </c>
      <c r="D115">
        <v>1047552</v>
      </c>
      <c r="E115">
        <v>131072</v>
      </c>
      <c r="F115">
        <v>65536</v>
      </c>
      <c r="G115">
        <v>32</v>
      </c>
    </row>
    <row r="116" spans="1:7" x14ac:dyDescent="0.25">
      <c r="A116" s="3" t="s">
        <v>764</v>
      </c>
      <c r="B116" t="s">
        <v>1038</v>
      </c>
      <c r="C116">
        <v>32</v>
      </c>
      <c r="D116">
        <v>1047552</v>
      </c>
      <c r="E116">
        <v>262144</v>
      </c>
      <c r="F116">
        <v>131072</v>
      </c>
      <c r="G116">
        <v>32</v>
      </c>
    </row>
    <row r="117" spans="1:7" x14ac:dyDescent="0.25">
      <c r="A117" s="3" t="s">
        <v>764</v>
      </c>
      <c r="B117" t="s">
        <v>1039</v>
      </c>
      <c r="C117">
        <v>64</v>
      </c>
      <c r="D117">
        <v>1047552</v>
      </c>
      <c r="E117">
        <v>524288</v>
      </c>
      <c r="F117">
        <v>262144</v>
      </c>
      <c r="G117">
        <v>32</v>
      </c>
    </row>
    <row r="118" spans="1:7" x14ac:dyDescent="0.25">
      <c r="A118" s="3" t="s">
        <v>764</v>
      </c>
      <c r="B118" t="s">
        <v>1040</v>
      </c>
      <c r="C118">
        <v>2</v>
      </c>
      <c r="D118">
        <v>1047552</v>
      </c>
      <c r="E118">
        <v>51200</v>
      </c>
      <c r="F118">
        <v>16384</v>
      </c>
      <c r="G118">
        <v>4</v>
      </c>
    </row>
    <row r="119" spans="1:7" x14ac:dyDescent="0.25">
      <c r="A119" s="3" t="s">
        <v>764</v>
      </c>
      <c r="B119" t="s">
        <v>1041</v>
      </c>
      <c r="C119">
        <v>4</v>
      </c>
      <c r="D119">
        <v>1047552</v>
      </c>
      <c r="E119">
        <v>102400</v>
      </c>
      <c r="F119">
        <v>32768</v>
      </c>
      <c r="G119">
        <v>8</v>
      </c>
    </row>
    <row r="120" spans="1:7" x14ac:dyDescent="0.25">
      <c r="A120" s="3" t="s">
        <v>764</v>
      </c>
      <c r="B120" t="s">
        <v>1042</v>
      </c>
      <c r="C120">
        <v>8</v>
      </c>
      <c r="D120">
        <v>1047552</v>
      </c>
      <c r="E120">
        <v>204800</v>
      </c>
      <c r="F120">
        <v>65536</v>
      </c>
      <c r="G120">
        <v>16</v>
      </c>
    </row>
    <row r="121" spans="1:7" x14ac:dyDescent="0.25">
      <c r="A121" s="3" t="s">
        <v>764</v>
      </c>
      <c r="B121" t="s">
        <v>1043</v>
      </c>
      <c r="C121">
        <v>16</v>
      </c>
      <c r="D121">
        <v>1047552</v>
      </c>
      <c r="E121">
        <v>409600</v>
      </c>
      <c r="F121">
        <v>131072</v>
      </c>
      <c r="G121">
        <v>32</v>
      </c>
    </row>
    <row r="122" spans="1:7" x14ac:dyDescent="0.25">
      <c r="A122" s="3" t="s">
        <v>764</v>
      </c>
      <c r="B122" t="s">
        <v>1044</v>
      </c>
      <c r="C122">
        <v>32</v>
      </c>
      <c r="D122">
        <v>1047552</v>
      </c>
      <c r="E122">
        <v>819200</v>
      </c>
      <c r="F122">
        <v>262144</v>
      </c>
      <c r="G122">
        <v>32</v>
      </c>
    </row>
    <row r="123" spans="1:7" x14ac:dyDescent="0.25">
      <c r="A123" s="3" t="s">
        <v>764</v>
      </c>
      <c r="B123" t="s">
        <v>1045</v>
      </c>
      <c r="C123">
        <v>64</v>
      </c>
      <c r="D123">
        <v>1047552</v>
      </c>
      <c r="E123">
        <v>1638400</v>
      </c>
      <c r="F123">
        <v>442368</v>
      </c>
      <c r="G123">
        <v>32</v>
      </c>
    </row>
    <row r="124" spans="1:7" x14ac:dyDescent="0.25">
      <c r="A124" s="3" t="s">
        <v>764</v>
      </c>
      <c r="B124" t="s">
        <v>1046</v>
      </c>
      <c r="C124">
        <v>2</v>
      </c>
      <c r="D124">
        <v>1047552</v>
      </c>
      <c r="E124">
        <v>32768</v>
      </c>
      <c r="F124">
        <v>16384</v>
      </c>
      <c r="G124">
        <v>4</v>
      </c>
    </row>
    <row r="125" spans="1:7" x14ac:dyDescent="0.25">
      <c r="A125" s="3" t="s">
        <v>764</v>
      </c>
      <c r="B125" t="s">
        <v>1047</v>
      </c>
      <c r="C125">
        <v>4</v>
      </c>
      <c r="D125">
        <v>1047552</v>
      </c>
      <c r="E125">
        <v>65536</v>
      </c>
      <c r="F125">
        <v>32768</v>
      </c>
      <c r="G125">
        <v>8</v>
      </c>
    </row>
    <row r="126" spans="1:7" x14ac:dyDescent="0.25">
      <c r="A126" s="3" t="s">
        <v>764</v>
      </c>
      <c r="B126" t="s">
        <v>1048</v>
      </c>
      <c r="C126">
        <v>8</v>
      </c>
      <c r="D126">
        <v>1047552</v>
      </c>
      <c r="E126">
        <v>131072</v>
      </c>
      <c r="F126">
        <v>65536</v>
      </c>
      <c r="G126">
        <v>16</v>
      </c>
    </row>
    <row r="127" spans="1:7" x14ac:dyDescent="0.25">
      <c r="A127" s="3" t="s">
        <v>764</v>
      </c>
      <c r="B127" t="s">
        <v>1049</v>
      </c>
      <c r="C127">
        <v>16</v>
      </c>
      <c r="D127">
        <v>1047552</v>
      </c>
      <c r="E127">
        <v>262144</v>
      </c>
      <c r="F127">
        <v>131072</v>
      </c>
      <c r="G127">
        <v>32</v>
      </c>
    </row>
    <row r="128" spans="1:7" x14ac:dyDescent="0.25">
      <c r="A128" s="3" t="s">
        <v>764</v>
      </c>
      <c r="B128" t="s">
        <v>1050</v>
      </c>
      <c r="C128">
        <v>32</v>
      </c>
      <c r="D128">
        <v>1047552</v>
      </c>
      <c r="E128">
        <v>524288</v>
      </c>
      <c r="F128">
        <v>262144</v>
      </c>
      <c r="G128">
        <v>32</v>
      </c>
    </row>
    <row r="129" spans="1:7" x14ac:dyDescent="0.25">
      <c r="A129" s="3" t="s">
        <v>764</v>
      </c>
      <c r="B129" t="s">
        <v>1051</v>
      </c>
      <c r="C129">
        <v>32</v>
      </c>
      <c r="D129">
        <v>1047552</v>
      </c>
      <c r="E129">
        <v>524288</v>
      </c>
      <c r="F129">
        <v>262144</v>
      </c>
      <c r="G129">
        <v>32</v>
      </c>
    </row>
    <row r="130" spans="1:7" x14ac:dyDescent="0.25">
      <c r="A130" s="3" t="s">
        <v>764</v>
      </c>
      <c r="B130" t="s">
        <v>1052</v>
      </c>
      <c r="C130">
        <v>32</v>
      </c>
      <c r="D130">
        <v>1047552</v>
      </c>
      <c r="E130">
        <v>524288</v>
      </c>
      <c r="F130">
        <v>262144</v>
      </c>
      <c r="G130">
        <v>32</v>
      </c>
    </row>
    <row r="131" spans="1:7" x14ac:dyDescent="0.25">
      <c r="A131" s="3" t="s">
        <v>764</v>
      </c>
      <c r="B131" t="s">
        <v>1053</v>
      </c>
      <c r="C131">
        <v>64</v>
      </c>
      <c r="D131">
        <v>1047552</v>
      </c>
      <c r="E131">
        <v>884736</v>
      </c>
      <c r="F131">
        <v>442368</v>
      </c>
      <c r="G131">
        <v>32</v>
      </c>
    </row>
    <row r="132" spans="1:7" x14ac:dyDescent="0.25">
      <c r="A132" s="3" t="s">
        <v>764</v>
      </c>
      <c r="B132" t="s">
        <v>1054</v>
      </c>
      <c r="C132">
        <v>64</v>
      </c>
      <c r="D132">
        <v>1047552</v>
      </c>
      <c r="E132">
        <v>884736</v>
      </c>
      <c r="F132">
        <v>442368</v>
      </c>
      <c r="G132">
        <v>32</v>
      </c>
    </row>
    <row r="133" spans="1:7" x14ac:dyDescent="0.25">
      <c r="A133" s="3" t="s">
        <v>764</v>
      </c>
      <c r="B133" t="s">
        <v>1055</v>
      </c>
      <c r="C133">
        <v>64</v>
      </c>
      <c r="D133">
        <v>1047552</v>
      </c>
      <c r="E133">
        <v>884736</v>
      </c>
      <c r="F133">
        <v>442368</v>
      </c>
      <c r="G133">
        <v>32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G6"/>
  <sheetViews>
    <sheetView workbookViewId="0">
      <selection sqref="A1:G6"/>
    </sheetView>
  </sheetViews>
  <sheetFormatPr defaultRowHeight="15" x14ac:dyDescent="0.25"/>
  <cols>
    <col min="1" max="1" width="8.5703125" bestFit="1" customWidth="1"/>
    <col min="2" max="2" width="27.7109375" bestFit="1" customWidth="1"/>
    <col min="3" max="3" width="81.140625" bestFit="1" customWidth="1"/>
    <col min="4" max="4" width="42.42578125" bestFit="1" customWidth="1"/>
    <col min="5" max="5" width="33.5703125" bestFit="1" customWidth="1"/>
    <col min="6" max="6" width="17.5703125" bestFit="1" customWidth="1"/>
    <col min="7" max="7" width="18.42578125" bestFit="1" customWidth="1"/>
  </cols>
  <sheetData>
    <row r="1" spans="1:7" x14ac:dyDescent="0.25">
      <c r="A1" t="s">
        <v>4</v>
      </c>
      <c r="B1" t="s">
        <v>758</v>
      </c>
      <c r="C1" t="s">
        <v>781</v>
      </c>
      <c r="D1" t="s">
        <v>782</v>
      </c>
      <c r="E1" t="s">
        <v>783</v>
      </c>
      <c r="F1" t="s">
        <v>784</v>
      </c>
      <c r="G1" t="s">
        <v>785</v>
      </c>
    </row>
    <row r="2" spans="1:7" x14ac:dyDescent="0.25">
      <c r="A2" s="3" t="s">
        <v>764</v>
      </c>
      <c r="B2" t="s">
        <v>973</v>
      </c>
      <c r="C2" t="s">
        <v>974</v>
      </c>
      <c r="D2" t="s">
        <v>1077</v>
      </c>
      <c r="E2" t="s">
        <v>786</v>
      </c>
      <c r="F2" t="s">
        <v>122</v>
      </c>
      <c r="G2" t="s">
        <v>787</v>
      </c>
    </row>
    <row r="3" spans="1:7" x14ac:dyDescent="0.25">
      <c r="A3" s="3" t="s">
        <v>764</v>
      </c>
      <c r="B3" t="s">
        <v>975</v>
      </c>
      <c r="C3" t="s">
        <v>976</v>
      </c>
      <c r="D3" t="s">
        <v>977</v>
      </c>
      <c r="E3" t="s">
        <v>786</v>
      </c>
      <c r="F3" t="s">
        <v>122</v>
      </c>
      <c r="G3" t="s">
        <v>787</v>
      </c>
    </row>
    <row r="4" spans="1:7" x14ac:dyDescent="0.25">
      <c r="A4" s="3" t="s">
        <v>764</v>
      </c>
      <c r="B4" t="s">
        <v>978</v>
      </c>
      <c r="C4" t="s">
        <v>979</v>
      </c>
      <c r="D4" t="s">
        <v>980</v>
      </c>
      <c r="E4" t="s">
        <v>786</v>
      </c>
      <c r="F4" t="s">
        <v>122</v>
      </c>
      <c r="G4" t="s">
        <v>787</v>
      </c>
    </row>
    <row r="5" spans="1:7" x14ac:dyDescent="0.25">
      <c r="A5" s="3" t="s">
        <v>764</v>
      </c>
      <c r="B5" t="s">
        <v>981</v>
      </c>
      <c r="C5" t="s">
        <v>982</v>
      </c>
      <c r="D5" t="s">
        <v>983</v>
      </c>
      <c r="E5" t="s">
        <v>786</v>
      </c>
      <c r="F5" t="s">
        <v>122</v>
      </c>
      <c r="G5" t="s">
        <v>787</v>
      </c>
    </row>
    <row r="6" spans="1:7" x14ac:dyDescent="0.25">
      <c r="A6" s="3" t="s">
        <v>764</v>
      </c>
      <c r="B6" t="s">
        <v>984</v>
      </c>
      <c r="C6" t="s">
        <v>985</v>
      </c>
      <c r="D6" t="s">
        <v>986</v>
      </c>
      <c r="E6" t="s">
        <v>786</v>
      </c>
      <c r="F6" t="s">
        <v>788</v>
      </c>
      <c r="G6" t="s">
        <v>787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6AAA2-19AC-4D58-AEEB-F62C11FC9E03}">
  <sheetPr codeName="Sheet7"/>
  <dimension ref="A1:Q5"/>
  <sheetViews>
    <sheetView topLeftCell="A4" workbookViewId="0">
      <selection activeCell="B5" sqref="B5"/>
    </sheetView>
  </sheetViews>
  <sheetFormatPr defaultRowHeight="15" x14ac:dyDescent="0.25"/>
  <cols>
    <col min="1" max="1" width="8.5703125" bestFit="1" customWidth="1"/>
    <col min="2" max="2" width="46.28515625" bestFit="1" customWidth="1"/>
    <col min="3" max="3" width="12.28515625" bestFit="1" customWidth="1"/>
    <col min="4" max="4" width="12.7109375" bestFit="1" customWidth="1"/>
    <col min="5" max="5" width="36.5703125" bestFit="1" customWidth="1"/>
    <col min="6" max="6" width="15.140625" bestFit="1" customWidth="1"/>
    <col min="7" max="7" width="24.28515625" bestFit="1" customWidth="1"/>
    <col min="8" max="8" width="12.28515625" bestFit="1" customWidth="1"/>
    <col min="9" max="9" width="18" bestFit="1" customWidth="1"/>
    <col min="10" max="10" width="15.42578125" bestFit="1" customWidth="1"/>
    <col min="11" max="11" width="26.85546875" bestFit="1" customWidth="1"/>
    <col min="12" max="12" width="13.28515625" bestFit="1" customWidth="1"/>
    <col min="13" max="13" width="46.28515625" bestFit="1" customWidth="1"/>
    <col min="14" max="14" width="41.85546875" bestFit="1" customWidth="1"/>
    <col min="15" max="15" width="35.140625" customWidth="1"/>
    <col min="16" max="16" width="31.5703125" bestFit="1" customWidth="1"/>
    <col min="17" max="17" width="34.28515625" bestFit="1" customWidth="1"/>
    <col min="18" max="18" width="31.5703125" bestFit="1" customWidth="1"/>
    <col min="19" max="19" width="81.140625" bestFit="1" customWidth="1"/>
  </cols>
  <sheetData>
    <row r="1" spans="1:17" x14ac:dyDescent="0.25">
      <c r="A1" t="s">
        <v>4</v>
      </c>
      <c r="B1" t="s">
        <v>758</v>
      </c>
      <c r="C1" t="s">
        <v>1056</v>
      </c>
      <c r="D1" t="s">
        <v>1057</v>
      </c>
      <c r="E1" t="s">
        <v>1058</v>
      </c>
      <c r="F1" t="s">
        <v>1059</v>
      </c>
      <c r="G1" t="s">
        <v>1060</v>
      </c>
      <c r="H1" t="s">
        <v>1061</v>
      </c>
      <c r="I1" t="s">
        <v>1062</v>
      </c>
      <c r="J1" t="s">
        <v>1063</v>
      </c>
      <c r="K1" t="s">
        <v>1064</v>
      </c>
      <c r="L1" t="s">
        <v>1065</v>
      </c>
      <c r="M1" t="s">
        <v>1066</v>
      </c>
      <c r="N1" t="s">
        <v>782</v>
      </c>
      <c r="O1" t="s">
        <v>790</v>
      </c>
      <c r="P1" t="s">
        <v>791</v>
      </c>
      <c r="Q1" t="s">
        <v>1067</v>
      </c>
    </row>
    <row r="2" spans="1:17" x14ac:dyDescent="0.25">
      <c r="A2" s="3" t="s">
        <v>764</v>
      </c>
      <c r="B2" t="s">
        <v>993</v>
      </c>
      <c r="C2" t="s">
        <v>1068</v>
      </c>
      <c r="D2" t="s">
        <v>1069</v>
      </c>
      <c r="E2" t="s">
        <v>949</v>
      </c>
      <c r="F2" t="s">
        <v>1070</v>
      </c>
      <c r="G2" t="s">
        <v>1071</v>
      </c>
      <c r="H2" t="s">
        <v>1072</v>
      </c>
      <c r="I2" t="s">
        <v>1073</v>
      </c>
      <c r="J2" t="s">
        <v>1074</v>
      </c>
      <c r="K2" t="s">
        <v>984</v>
      </c>
      <c r="L2" t="s">
        <v>1075</v>
      </c>
      <c r="M2" t="s">
        <v>993</v>
      </c>
      <c r="N2" t="s">
        <v>986</v>
      </c>
      <c r="O2" t="s">
        <v>792</v>
      </c>
      <c r="P2" t="s">
        <v>995</v>
      </c>
      <c r="Q2" t="s">
        <v>1076</v>
      </c>
    </row>
    <row r="3" spans="1:17" x14ac:dyDescent="0.25">
      <c r="A3" s="3" t="s">
        <v>764</v>
      </c>
      <c r="B3" t="s">
        <v>998</v>
      </c>
      <c r="C3" t="s">
        <v>1068</v>
      </c>
      <c r="D3" t="s">
        <v>1069</v>
      </c>
      <c r="E3" t="s">
        <v>949</v>
      </c>
      <c r="F3" t="s">
        <v>1070</v>
      </c>
      <c r="G3" t="s">
        <v>1071</v>
      </c>
      <c r="H3" t="s">
        <v>1072</v>
      </c>
      <c r="I3" t="s">
        <v>1073</v>
      </c>
      <c r="J3" t="s">
        <v>1074</v>
      </c>
      <c r="K3" t="s">
        <v>984</v>
      </c>
      <c r="L3" t="s">
        <v>1075</v>
      </c>
      <c r="M3" t="s">
        <v>998</v>
      </c>
      <c r="N3" t="s">
        <v>986</v>
      </c>
      <c r="O3" t="s">
        <v>792</v>
      </c>
      <c r="P3" t="s">
        <v>1000</v>
      </c>
    </row>
    <row r="4" spans="1:17" x14ac:dyDescent="0.25">
      <c r="A4" s="3" t="s">
        <v>764</v>
      </c>
      <c r="B4" t="s">
        <v>1001</v>
      </c>
      <c r="C4" t="s">
        <v>1068</v>
      </c>
      <c r="D4" t="s">
        <v>1069</v>
      </c>
      <c r="E4" t="s">
        <v>949</v>
      </c>
      <c r="F4" t="s">
        <v>1070</v>
      </c>
      <c r="G4" t="s">
        <v>1071</v>
      </c>
      <c r="H4" t="s">
        <v>1072</v>
      </c>
      <c r="I4" t="s">
        <v>1073</v>
      </c>
      <c r="J4" t="s">
        <v>1074</v>
      </c>
      <c r="K4" t="s">
        <v>984</v>
      </c>
      <c r="L4" t="s">
        <v>1075</v>
      </c>
      <c r="M4" t="s">
        <v>1001</v>
      </c>
      <c r="N4" t="s">
        <v>986</v>
      </c>
      <c r="O4" t="s">
        <v>792</v>
      </c>
      <c r="P4" t="s">
        <v>1003</v>
      </c>
    </row>
    <row r="5" spans="1:17" x14ac:dyDescent="0.25">
      <c r="A5" s="3" t="s">
        <v>764</v>
      </c>
      <c r="B5" t="s">
        <v>1004</v>
      </c>
      <c r="C5" t="s">
        <v>1068</v>
      </c>
      <c r="D5" t="s">
        <v>1069</v>
      </c>
      <c r="E5" t="s">
        <v>949</v>
      </c>
      <c r="F5" t="s">
        <v>1070</v>
      </c>
      <c r="G5" t="s">
        <v>1071</v>
      </c>
      <c r="H5" t="s">
        <v>1072</v>
      </c>
      <c r="I5" t="s">
        <v>1073</v>
      </c>
      <c r="J5" t="s">
        <v>1074</v>
      </c>
      <c r="K5" t="s">
        <v>984</v>
      </c>
      <c r="L5" t="s">
        <v>1075</v>
      </c>
      <c r="M5" t="s">
        <v>1004</v>
      </c>
      <c r="N5" t="s">
        <v>986</v>
      </c>
      <c r="O5" t="s">
        <v>792</v>
      </c>
      <c r="P5" t="s">
        <v>1006</v>
      </c>
      <c r="Q5" t="s">
        <v>1076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/>
  <dimension ref="A1:G6"/>
  <sheetViews>
    <sheetView workbookViewId="0">
      <selection sqref="A1:G3"/>
    </sheetView>
  </sheetViews>
  <sheetFormatPr defaultRowHeight="15" x14ac:dyDescent="0.25"/>
  <cols>
    <col min="1" max="1" width="8.5703125" bestFit="1" customWidth="1"/>
    <col min="2" max="2" width="46.28515625" bestFit="1" customWidth="1"/>
    <col min="3" max="3" width="81.140625" bestFit="1" customWidth="1"/>
    <col min="4" max="4" width="41.85546875" bestFit="1" customWidth="1"/>
    <col min="5" max="5" width="35.140625" bestFit="1" customWidth="1"/>
    <col min="6" max="6" width="31.5703125" bestFit="1" customWidth="1"/>
    <col min="7" max="7" width="81.140625" bestFit="1" customWidth="1"/>
    <col min="8" max="8" width="34.28515625" bestFit="1" customWidth="1"/>
    <col min="9" max="9" width="8.42578125" bestFit="1" customWidth="1"/>
    <col min="10" max="10" width="19.42578125" bestFit="1" customWidth="1"/>
    <col min="11" max="11" width="81.140625" bestFit="1" customWidth="1"/>
    <col min="12" max="12" width="42.85546875" bestFit="1" customWidth="1"/>
    <col min="13" max="13" width="33.5703125" bestFit="1" customWidth="1"/>
    <col min="14" max="14" width="17.5703125" bestFit="1" customWidth="1"/>
    <col min="15" max="15" width="18.42578125" bestFit="1" customWidth="1"/>
  </cols>
  <sheetData>
    <row r="1" spans="1:7" x14ac:dyDescent="0.25">
      <c r="A1" t="s">
        <v>4</v>
      </c>
      <c r="B1" t="s">
        <v>758</v>
      </c>
      <c r="C1" t="s">
        <v>781</v>
      </c>
      <c r="D1" t="s">
        <v>782</v>
      </c>
      <c r="E1" t="s">
        <v>790</v>
      </c>
      <c r="F1" t="s">
        <v>791</v>
      </c>
      <c r="G1" t="s">
        <v>793</v>
      </c>
    </row>
    <row r="2" spans="1:7" x14ac:dyDescent="0.25">
      <c r="A2" s="3" t="s">
        <v>764</v>
      </c>
      <c r="B2" t="s">
        <v>993</v>
      </c>
      <c r="C2" t="s">
        <v>994</v>
      </c>
      <c r="D2" t="s">
        <v>986</v>
      </c>
      <c r="E2" t="s">
        <v>792</v>
      </c>
      <c r="F2" t="s">
        <v>995</v>
      </c>
      <c r="G2" t="s">
        <v>996</v>
      </c>
    </row>
    <row r="3" spans="1:7" x14ac:dyDescent="0.25">
      <c r="A3" s="3" t="s">
        <v>764</v>
      </c>
      <c r="B3" t="s">
        <v>993</v>
      </c>
      <c r="C3" t="s">
        <v>994</v>
      </c>
      <c r="D3" t="s">
        <v>986</v>
      </c>
      <c r="E3" t="s">
        <v>792</v>
      </c>
      <c r="F3" t="s">
        <v>995</v>
      </c>
      <c r="G3" t="s">
        <v>997</v>
      </c>
    </row>
    <row r="4" spans="1:7" x14ac:dyDescent="0.25">
      <c r="A4" s="3" t="s">
        <v>764</v>
      </c>
      <c r="B4" t="s">
        <v>998</v>
      </c>
      <c r="C4" t="s">
        <v>999</v>
      </c>
      <c r="D4" t="s">
        <v>986</v>
      </c>
      <c r="E4" t="s">
        <v>792</v>
      </c>
      <c r="F4" t="s">
        <v>1000</v>
      </c>
    </row>
    <row r="5" spans="1:7" x14ac:dyDescent="0.25">
      <c r="A5" s="3" t="s">
        <v>764</v>
      </c>
      <c r="B5" t="s">
        <v>1001</v>
      </c>
      <c r="C5" t="s">
        <v>1002</v>
      </c>
      <c r="D5" t="s">
        <v>986</v>
      </c>
      <c r="E5" t="s">
        <v>792</v>
      </c>
      <c r="F5" t="s">
        <v>1003</v>
      </c>
    </row>
    <row r="6" spans="1:7" x14ac:dyDescent="0.25">
      <c r="A6" s="3" t="s">
        <v>764</v>
      </c>
      <c r="B6" t="s">
        <v>1004</v>
      </c>
      <c r="C6" t="s">
        <v>1005</v>
      </c>
      <c r="D6" t="s">
        <v>986</v>
      </c>
      <c r="E6" t="s">
        <v>792</v>
      </c>
      <c r="F6" t="s">
        <v>1006</v>
      </c>
      <c r="G6" t="s">
        <v>1007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1856A3-48B3-4C89-A761-CCB6B829A3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9</vt:i4>
      </vt:variant>
    </vt:vector>
  </HeadingPairs>
  <TitlesOfParts>
    <vt:vector size="24" baseType="lpstr">
      <vt:lpstr>InputPage</vt:lpstr>
      <vt:lpstr>ExporttoCSV</vt:lpstr>
      <vt:lpstr>Lookups</vt:lpstr>
      <vt:lpstr>AzureVMImage</vt:lpstr>
      <vt:lpstr>AzureImageSKU</vt:lpstr>
      <vt:lpstr>AzurePubOffers</vt:lpstr>
      <vt:lpstr>FXSourceValue</vt:lpstr>
      <vt:lpstr>Key</vt:lpstr>
      <vt:lpstr>AzureAutomationKeys</vt:lpstr>
      <vt:lpstr>AzureAutomation</vt:lpstr>
      <vt:lpstr>AzurePublishers</vt:lpstr>
      <vt:lpstr>AzureVMSize</vt:lpstr>
      <vt:lpstr>vNetLookup</vt:lpstr>
      <vt:lpstr>vNetRGLookup</vt:lpstr>
      <vt:lpstr>SubnetID</vt:lpstr>
      <vt:lpstr>AutomationAccount</vt:lpstr>
      <vt:lpstr>env</vt:lpstr>
      <vt:lpstr>PublishersDropDown</vt:lpstr>
      <vt:lpstr>SourceImageSku</vt:lpstr>
      <vt:lpstr>SourceLookupUrl</vt:lpstr>
      <vt:lpstr>SourcePublisher</vt:lpstr>
      <vt:lpstr>SourcePubOffers</vt:lpstr>
      <vt:lpstr>SourceResourceGroup</vt:lpstr>
      <vt:lpstr>SourceSubscriptionID</vt:lpstr>
    </vt:vector>
  </TitlesOfParts>
  <Company>Essential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Fitzroy</dc:creator>
  <cp:lastModifiedBy>Brett Odgers-Jewell</cp:lastModifiedBy>
  <cp:lastPrinted>2015-09-29T05:52:36Z</cp:lastPrinted>
  <dcterms:created xsi:type="dcterms:W3CDTF">2015-08-11T03:52:18Z</dcterms:created>
  <dcterms:modified xsi:type="dcterms:W3CDTF">2017-09-26T03:38:24Z</dcterms:modified>
</cp:coreProperties>
</file>